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https://lenteingenierossl-my.sharepoint.com/personal/pol_campana_impulsosolar_eu/Documents/20260224 Pol/5.- altres/"/>
    </mc:Choice>
  </mc:AlternateContent>
  <xr:revisionPtr revIDLastSave="26" documentId="8_{84B92D88-F5CB-452F-A340-E747D9E4DDDF}" xr6:coauthVersionLast="47" xr6:coauthVersionMax="47" xr10:uidLastSave="{F9B065BD-3026-4FD7-87B3-D803D8353BA1}"/>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AB32" i="3" s="1"/>
  <c r="B60" i="31"/>
  <c r="B13" i="31"/>
  <c r="F28"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 i="32" l="1"/>
  <c r="Y5" i="3" s="1"/>
  <c r="C28" i="32"/>
  <c r="X28" i="3" s="1"/>
  <c r="C143" i="32"/>
  <c r="X143" i="3" s="1"/>
  <c r="C134" i="32"/>
  <c r="Y134" i="3" s="1"/>
  <c r="C84" i="32"/>
  <c r="X84" i="3" s="1"/>
  <c r="C113" i="32"/>
  <c r="X113" i="3" s="1"/>
  <c r="C64" i="32"/>
  <c r="Y64" i="3" s="1"/>
  <c r="C94" i="32"/>
  <c r="X94" i="3" s="1"/>
  <c r="C60" i="32"/>
  <c r="Y60" i="3" s="1"/>
  <c r="C92" i="32"/>
  <c r="X92" i="3" s="1"/>
  <c r="C88" i="32"/>
  <c r="X88" i="3" s="1"/>
  <c r="C103" i="32"/>
  <c r="X103" i="3" s="1"/>
  <c r="C101" i="32"/>
  <c r="Y101" i="3" s="1"/>
  <c r="C65" i="32"/>
  <c r="Y65" i="3" s="1"/>
  <c r="C106" i="32"/>
  <c r="Y106" i="3" s="1"/>
  <c r="C110" i="32"/>
  <c r="X110" i="3" s="1"/>
  <c r="C33" i="32"/>
  <c r="X33" i="3" s="1"/>
  <c r="C49" i="32"/>
  <c r="X49" i="3" s="1"/>
  <c r="C62" i="32"/>
  <c r="Y62" i="3" s="1"/>
  <c r="C31" i="32"/>
  <c r="Y31" i="3" s="1"/>
  <c r="C41" i="32"/>
  <c r="X41" i="3" s="1"/>
  <c r="C54" i="32"/>
  <c r="Y54" i="3" s="1"/>
  <c r="C78" i="32"/>
  <c r="Y78" i="3" s="1"/>
  <c r="C95" i="32"/>
  <c r="X95" i="3" s="1"/>
  <c r="C120" i="32"/>
  <c r="X120" i="3" s="1"/>
  <c r="C55" i="32"/>
  <c r="Y55" i="3" s="1"/>
  <c r="C38" i="32"/>
  <c r="Y38" i="3" s="1"/>
  <c r="C81" i="32"/>
  <c r="X81" i="3" s="1"/>
  <c r="C12" i="32"/>
  <c r="X12" i="3" s="1"/>
  <c r="C138" i="32"/>
  <c r="Y138" i="3" s="1"/>
  <c r="C25" i="32"/>
  <c r="X25" i="3" s="1"/>
  <c r="C69" i="32"/>
  <c r="Y69" i="3" s="1"/>
  <c r="C13" i="32"/>
  <c r="Y13" i="3" s="1"/>
  <c r="C139" i="32"/>
  <c r="X139" i="3" s="1"/>
  <c r="C115" i="32"/>
  <c r="Y115" i="3" s="1"/>
  <c r="C108" i="32"/>
  <c r="Y108" i="3" s="1"/>
  <c r="C93" i="32"/>
  <c r="Y93" i="3" s="1"/>
  <c r="C9" i="32"/>
  <c r="X9" i="3" s="1"/>
  <c r="C20" i="32"/>
  <c r="Y20" i="3" s="1"/>
  <c r="C29" i="32"/>
  <c r="Y29" i="3" s="1"/>
  <c r="C116" i="32"/>
  <c r="X116" i="3" s="1"/>
  <c r="C85" i="32"/>
  <c r="X85" i="3" s="1"/>
  <c r="C21" i="32"/>
  <c r="X21" i="3" s="1"/>
  <c r="C14" i="32"/>
  <c r="X14" i="3" s="1"/>
  <c r="C17" i="32"/>
  <c r="X17" i="3" s="1"/>
  <c r="C125" i="32"/>
  <c r="Y125" i="3" s="1"/>
  <c r="C53" i="32"/>
  <c r="Y53" i="3" s="1"/>
  <c r="C23" i="32"/>
  <c r="X23" i="3" s="1"/>
  <c r="C86" i="32"/>
  <c r="X86" i="3" s="1"/>
  <c r="C6" i="32"/>
  <c r="X6" i="3" s="1"/>
  <c r="C105" i="32"/>
  <c r="X105" i="3" s="1"/>
  <c r="C7" i="32"/>
  <c r="X7" i="3" s="1"/>
  <c r="C16" i="32"/>
  <c r="X16" i="3" s="1"/>
  <c r="C45" i="32"/>
  <c r="X45" i="3" s="1"/>
  <c r="C79" i="32"/>
  <c r="Y79" i="3" s="1"/>
  <c r="C61" i="32"/>
  <c r="X61" i="3" s="1"/>
  <c r="C56" i="32"/>
  <c r="X56"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29" i="3"/>
  <c r="X5" i="3"/>
  <c r="X134" i="3"/>
  <c r="Y28" i="3" l="1"/>
  <c r="Y84" i="3"/>
  <c r="X60" i="3"/>
  <c r="Y143" i="3"/>
  <c r="Y113" i="3"/>
  <c r="X64" i="3"/>
  <c r="Y94" i="3"/>
  <c r="Y33" i="3"/>
  <c r="X13" i="3"/>
  <c r="Y103" i="3"/>
  <c r="Y49" i="3"/>
  <c r="Y92" i="3"/>
  <c r="X62" i="3"/>
  <c r="X54" i="3"/>
  <c r="X38" i="3"/>
  <c r="Y88" i="3"/>
  <c r="X31" i="3"/>
  <c r="X65" i="3"/>
  <c r="Y102" i="3"/>
  <c r="X101" i="3"/>
  <c r="Y41" i="3"/>
  <c r="X78" i="3"/>
  <c r="X106" i="3"/>
  <c r="X125" i="3"/>
  <c r="X138" i="3"/>
  <c r="Y9" i="3"/>
  <c r="Y61" i="3"/>
  <c r="Y110" i="3"/>
  <c r="X69" i="3"/>
  <c r="Y23" i="3"/>
  <c r="Y95" i="3"/>
  <c r="X48" i="3"/>
  <c r="X93" i="3"/>
  <c r="Y17" i="3"/>
  <c r="Y81" i="3"/>
  <c r="Y12" i="3"/>
  <c r="Y56" i="3"/>
  <c r="Y120" i="3"/>
  <c r="Y85" i="3"/>
  <c r="Y22" i="3"/>
  <c r="Y121" i="3"/>
  <c r="Y139" i="3"/>
  <c r="Y116" i="3"/>
  <c r="X55" i="3"/>
  <c r="Y25" i="3"/>
  <c r="Y86" i="3"/>
  <c r="Y127" i="3"/>
  <c r="Y104" i="3"/>
  <c r="Y21" i="3"/>
  <c r="X47" i="3"/>
  <c r="Y6" i="3"/>
  <c r="Y14" i="3"/>
  <c r="X20" i="3"/>
  <c r="Y7" i="3"/>
  <c r="X108" i="3"/>
  <c r="Y114" i="3"/>
  <c r="X115" i="3"/>
  <c r="X53" i="3"/>
  <c r="X131" i="3"/>
  <c r="Y4" i="3"/>
  <c r="Y76" i="3"/>
  <c r="Y133" i="3"/>
  <c r="X44" i="3"/>
  <c r="Y105" i="3"/>
  <c r="X123" i="3"/>
  <c r="X68" i="3"/>
  <c r="X89" i="3"/>
  <c r="Y16" i="3"/>
  <c r="X79" i="3"/>
  <c r="X57" i="3"/>
  <c r="Y45" i="3"/>
  <c r="X63" i="3"/>
  <c r="X24" i="3"/>
  <c r="X122" i="3"/>
  <c r="X124"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E97" i="3"/>
  <c r="BV52" i="3" s="1"/>
  <c r="F81" i="3"/>
  <c r="E76" i="3"/>
  <c r="E78" i="3"/>
  <c r="BW44" i="3" s="1"/>
  <c r="E48" i="3"/>
  <c r="F44" i="3"/>
  <c r="F47" i="3"/>
  <c r="E38" i="3"/>
  <c r="BW24" i="3" s="1"/>
  <c r="BW22" i="3"/>
  <c r="F41" i="3"/>
  <c r="E36" i="3"/>
  <c r="BW23" i="3" s="1"/>
  <c r="E39" i="3"/>
  <c r="F37" i="3"/>
  <c r="E41" i="3"/>
  <c r="BW34" i="3"/>
  <c r="E62" i="3"/>
  <c r="E60" i="3"/>
  <c r="BW35" i="3" s="1"/>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BW36" i="3" s="1"/>
  <c r="E65" i="3"/>
  <c r="E63" i="3"/>
  <c r="E9" i="3"/>
  <c r="F4" i="3"/>
  <c r="F6" i="3"/>
  <c r="F79" i="3"/>
  <c r="BW43" i="3"/>
  <c r="E80" i="3"/>
  <c r="BU43" i="3"/>
  <c r="F76" i="3"/>
  <c r="BW42" i="3" s="1"/>
  <c r="F80" i="3"/>
  <c r="E77" i="3"/>
  <c r="F78" i="3"/>
  <c r="BU42" i="3" s="1"/>
  <c r="BU44" i="3"/>
  <c r="E61" i="3"/>
  <c r="BW37" i="3" s="1"/>
  <c r="F62" i="3"/>
  <c r="BU36" i="3"/>
  <c r="F64" i="3"/>
  <c r="BU35" i="3" s="1"/>
  <c r="F72" i="3"/>
  <c r="BU41" i="3" s="1"/>
  <c r="E68" i="3"/>
  <c r="BW39" i="3" s="1"/>
  <c r="BW38" i="3"/>
  <c r="BU38" i="3"/>
  <c r="E70" i="3"/>
  <c r="BU25" i="3" l="1"/>
  <c r="BW53" i="3"/>
  <c r="BW40" i="3"/>
  <c r="BU34" i="3"/>
  <c r="BU37" i="3"/>
  <c r="BU27" i="3"/>
  <c r="BW25" i="3"/>
  <c r="BU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24" i="3" l="1"/>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c r="H23" i="3"/>
  <c r="H20" i="3"/>
  <c r="H8" i="3" l="1"/>
  <c r="I5" i="3"/>
  <c r="I23" i="3"/>
  <c r="H21" i="3"/>
  <c r="I22" i="3"/>
  <c r="I20"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A13" i="3"/>
  <c r="CB53" i="3"/>
  <c r="CA45" i="3"/>
  <c r="CB45" i="3"/>
  <c r="CB46" i="3"/>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87" i="3" l="1"/>
  <c r="K12" i="3"/>
  <c r="K24" i="3"/>
  <c r="K14" i="3"/>
  <c r="L13"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l="1"/>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CI36" i="3"/>
  <c r="N61" i="3"/>
  <c r="O64" i="3"/>
  <c r="N79" i="3"/>
  <c r="N96" i="3"/>
  <c r="O93" i="3"/>
  <c r="O44" i="3"/>
  <c r="N95" i="3"/>
  <c r="O47" i="3"/>
  <c r="O97" i="3" l="1"/>
  <c r="O94" i="3"/>
  <c r="N56" i="3"/>
  <c r="O95" i="3"/>
  <c r="CI42" i="3"/>
  <c r="CI51" i="3"/>
  <c r="N29" i="3"/>
  <c r="CJ50" i="3"/>
  <c r="CI22" i="3"/>
  <c r="O55" i="3"/>
  <c r="O33" i="3"/>
  <c r="CJ19" i="3" s="1"/>
  <c r="N9" i="3"/>
  <c r="N36" i="3"/>
  <c r="O41" i="3"/>
  <c r="CK25" i="3" s="1"/>
  <c r="O4" i="3"/>
  <c r="O69" i="3"/>
  <c r="CK40" i="3" s="1"/>
  <c r="CI35" i="3"/>
  <c r="N72" i="3"/>
  <c r="CK21" i="3"/>
  <c r="O30" i="3"/>
  <c r="N32" i="3"/>
  <c r="CJ18" i="3" s="1"/>
  <c r="N7" i="3"/>
  <c r="O29" i="3"/>
  <c r="CI20" i="3" s="1"/>
  <c r="N49" i="3"/>
  <c r="N52" i="3"/>
  <c r="CK24" i="3"/>
  <c r="N54" i="3"/>
  <c r="N37" i="3"/>
  <c r="N8" i="3"/>
  <c r="CK22" i="3"/>
  <c r="CK41" i="3"/>
  <c r="O52" i="3"/>
  <c r="CI30" i="3" s="1"/>
  <c r="N97" i="3"/>
  <c r="O77" i="3"/>
  <c r="CI44" i="3" s="1"/>
  <c r="N80" i="3"/>
  <c r="N55" i="3"/>
  <c r="N81" i="3"/>
  <c r="N84" i="3"/>
  <c r="CI45" i="3"/>
  <c r="O5" i="3"/>
  <c r="N47" i="3"/>
  <c r="CI27" i="3" s="1"/>
  <c r="CK46" i="3"/>
  <c r="O53" i="3"/>
  <c r="O79" i="3"/>
  <c r="N6" i="3"/>
  <c r="N86" i="3"/>
  <c r="CK48" i="3" s="1"/>
  <c r="O32" i="3"/>
  <c r="CI21" i="3" s="1"/>
  <c r="CI12" i="3"/>
  <c r="CI43" i="3"/>
  <c r="N88" i="3"/>
  <c r="N30" i="3"/>
  <c r="CK20" i="3" s="1"/>
  <c r="CI25" i="3"/>
  <c r="CK6" i="3"/>
  <c r="CK18" i="3"/>
  <c r="CI18" i="3"/>
  <c r="N73" i="3"/>
  <c r="N15" i="3"/>
  <c r="CK12" i="3" s="1"/>
  <c r="CI11" i="3"/>
  <c r="O96" i="3"/>
  <c r="CJ53" i="3" s="1"/>
  <c r="CL53" i="3" s="1"/>
  <c r="CK34" i="3"/>
  <c r="CI39" i="3"/>
  <c r="CK30" i="3"/>
  <c r="N68" i="3"/>
  <c r="CK50" i="3"/>
  <c r="O40" i="3"/>
  <c r="O15" i="3"/>
  <c r="CI10" i="3" s="1"/>
  <c r="N65" i="3"/>
  <c r="O9" i="3"/>
  <c r="CI7" i="3" s="1"/>
  <c r="CI23" i="3"/>
  <c r="O36" i="3"/>
  <c r="CJ22" i="3" s="1"/>
  <c r="CK23" i="3"/>
  <c r="O61" i="3"/>
  <c r="CJ36" i="3" s="1"/>
  <c r="CL36" i="3" s="1"/>
  <c r="CI8" i="3"/>
  <c r="CI47" i="3"/>
  <c r="CK37" i="3"/>
  <c r="N13" i="3"/>
  <c r="O68" i="3"/>
  <c r="O57" i="3"/>
  <c r="O65" i="3"/>
  <c r="N40" i="3"/>
  <c r="O31" i="3"/>
  <c r="CJ21" i="3" s="1"/>
  <c r="N92" i="3"/>
  <c r="CK51" i="3" s="1"/>
  <c r="N77" i="3"/>
  <c r="CK45" i="3" s="1"/>
  <c r="CK44" i="3"/>
  <c r="CI19" i="3"/>
  <c r="CI50" i="3"/>
  <c r="O25" i="3"/>
  <c r="O37" i="3"/>
  <c r="CI24" i="3" s="1"/>
  <c r="N5" i="3"/>
  <c r="CJ9" i="3" s="1"/>
  <c r="O72" i="3"/>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I33" i="3" s="1"/>
  <c r="N85" i="3"/>
  <c r="N44" i="3"/>
  <c r="CK27" i="3" s="1"/>
  <c r="N12" i="3"/>
  <c r="O54" i="3"/>
  <c r="O89" i="3"/>
  <c r="O56" i="3"/>
  <c r="N24" i="3"/>
  <c r="O46" i="3"/>
  <c r="CI26" i="3" s="1"/>
  <c r="CI28" i="3"/>
  <c r="O21" i="3"/>
  <c r="CI16" i="3" s="1"/>
  <c r="N45" i="3"/>
  <c r="CK29" i="3" s="1"/>
  <c r="CK32" i="3"/>
  <c r="N16" i="3"/>
  <c r="CI48" i="3"/>
  <c r="CK26" i="3"/>
  <c r="CJ48" i="3"/>
  <c r="O20" i="3"/>
  <c r="N33" i="3"/>
  <c r="CK10" i="3"/>
  <c r="N69" i="3"/>
  <c r="O73" i="3"/>
  <c r="O60" i="3"/>
  <c r="CI34" i="3" s="1"/>
  <c r="O63" i="3"/>
  <c r="CI37" i="3" s="1"/>
  <c r="CI40" i="3"/>
  <c r="O70" i="3"/>
  <c r="CK17" i="3"/>
  <c r="N22" i="3"/>
  <c r="CK42" i="3"/>
  <c r="N78" i="3"/>
  <c r="O81" i="3"/>
  <c r="N14" i="3"/>
  <c r="CK13" i="3"/>
  <c r="N23" i="3"/>
  <c r="N20" i="3"/>
  <c r="O24" i="3"/>
  <c r="N17" i="3"/>
  <c r="O14" i="3"/>
  <c r="CK33" i="3"/>
  <c r="CK53" i="3"/>
  <c r="CK14" i="3"/>
  <c r="CK49" i="3"/>
  <c r="CK31" i="3"/>
  <c r="CI14" i="3" l="1"/>
  <c r="CI15" i="3"/>
  <c r="CI49" i="3"/>
  <c r="CK47" i="3"/>
  <c r="CI6" i="3"/>
  <c r="CK43" i="3"/>
  <c r="CI41" i="3"/>
  <c r="CK36" i="3"/>
  <c r="CK28" i="3"/>
  <c r="CI13" i="3"/>
  <c r="CK11" i="3"/>
  <c r="CK8" i="3"/>
  <c r="CI9" i="3"/>
  <c r="CL9" i="3" s="1"/>
  <c r="CL50" i="3"/>
  <c r="CL22" i="3"/>
  <c r="CJ30" i="3"/>
  <c r="CL30" i="3" s="1"/>
  <c r="CJ32" i="3"/>
  <c r="CL32" i="3" s="1"/>
  <c r="CJ52" i="3"/>
  <c r="CL52" i="3" s="1"/>
  <c r="CJ40" i="3"/>
  <c r="CL40" i="3" s="1"/>
  <c r="CJ26" i="3"/>
  <c r="CL26" i="3" s="1"/>
  <c r="CJ51" i="3"/>
  <c r="CL51" i="3" s="1"/>
  <c r="CJ45" i="3"/>
  <c r="CL45" i="3" s="1"/>
  <c r="CJ42" i="3"/>
  <c r="CL42" i="3" s="1"/>
  <c r="CL48" i="3"/>
  <c r="CJ47" i="3"/>
  <c r="CL47" i="3" s="1"/>
  <c r="CJ13" i="3"/>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4" i="3" s="1"/>
  <c r="CL19" i="3"/>
  <c r="CJ16" i="3"/>
  <c r="CL16" i="3" s="1"/>
  <c r="CL18" i="3"/>
  <c r="CL21" i="3"/>
  <c r="CK9" i="3"/>
  <c r="CJ10" i="3"/>
  <c r="CL10" i="3" s="1"/>
  <c r="CJ12" i="3"/>
  <c r="CL12" i="3" s="1"/>
  <c r="CJ25" i="3"/>
  <c r="CL25" i="3" s="1"/>
  <c r="CJ8" i="3"/>
  <c r="CL8" i="3" s="1"/>
  <c r="CJ6" i="3"/>
  <c r="CJ7" i="3"/>
  <c r="CL7" i="3" s="1"/>
  <c r="CJ23" i="3"/>
  <c r="CL23" i="3" s="1"/>
  <c r="CJ37" i="3"/>
  <c r="CL37" i="3" s="1"/>
  <c r="CJ39" i="3"/>
  <c r="CL39" i="3" s="1"/>
  <c r="CJ41" i="3"/>
  <c r="CL41" i="3" s="1"/>
  <c r="CJ29" i="3"/>
  <c r="CL29" i="3" s="1"/>
  <c r="CJ27" i="3"/>
  <c r="CL27" i="3" s="1"/>
  <c r="CL6" i="3" l="1"/>
  <c r="CL15" i="3"/>
  <c r="CM15" i="3" s="1"/>
  <c r="CL49" i="3"/>
  <c r="CL13" i="3"/>
  <c r="CM45" i="3" s="1"/>
  <c r="CM50" i="3"/>
  <c r="CM53" i="3"/>
  <c r="CM48" i="3"/>
  <c r="CM40" i="3"/>
  <c r="CM30" i="3"/>
  <c r="CM17" i="3"/>
  <c r="CM34" i="3"/>
  <c r="CM31" i="3"/>
  <c r="CM33" i="3"/>
  <c r="CM47" i="3"/>
  <c r="CM22" i="3"/>
  <c r="CM43" i="3"/>
  <c r="CM21" i="3"/>
  <c r="CM35" i="3"/>
  <c r="CM18" i="3"/>
  <c r="CM20" i="3"/>
  <c r="CM44" i="3"/>
  <c r="CM14" i="3"/>
  <c r="CM26" i="3"/>
  <c r="CM38" i="3"/>
  <c r="CM42" i="3"/>
  <c r="CM19" i="3"/>
  <c r="CM28" i="3"/>
  <c r="CM24" i="3"/>
  <c r="CM11" i="3"/>
  <c r="CM12" i="3"/>
  <c r="CM32" i="3"/>
  <c r="CM8" i="3"/>
  <c r="CM7" i="3"/>
  <c r="CM29" i="3"/>
  <c r="CM39" i="3"/>
  <c r="CM41" i="3"/>
  <c r="CM51" i="3"/>
  <c r="CM36" i="3"/>
  <c r="CM27" i="3"/>
  <c r="CM25" i="3"/>
  <c r="CM23" i="3"/>
  <c r="CM52" i="3"/>
  <c r="CM37" i="3"/>
  <c r="CM16" i="3" l="1"/>
  <c r="CM6" i="3"/>
  <c r="CM10" i="3"/>
  <c r="CM13" i="3"/>
  <c r="CM49" i="3"/>
  <c r="CM9" i="3"/>
  <c r="CM46" i="3"/>
  <c r="CN14" i="3" l="1"/>
  <c r="Q20" i="3" s="1"/>
  <c r="CN35" i="3"/>
  <c r="R63" i="3" s="1"/>
  <c r="CN53" i="3"/>
  <c r="Q95" i="3" s="1"/>
  <c r="CN12" i="3"/>
  <c r="R15" i="3" s="1"/>
  <c r="CN33" i="3"/>
  <c r="Q57" i="3" s="1"/>
  <c r="CN31" i="3"/>
  <c r="R52" i="3" s="1"/>
  <c r="CN52" i="3"/>
  <c r="R97" i="3" s="1"/>
  <c r="CN30" i="3"/>
  <c r="R57" i="3" s="1"/>
  <c r="CN10" i="3"/>
  <c r="Q15" i="3" s="1"/>
  <c r="CN20" i="3"/>
  <c r="R33" i="3" s="1"/>
  <c r="CN49" i="3"/>
  <c r="Q87" i="3" s="1"/>
  <c r="CN26" i="3"/>
  <c r="Q44" i="3" s="1"/>
  <c r="CN6" i="3"/>
  <c r="Q7" i="3" s="1"/>
  <c r="CN9" i="3"/>
  <c r="Q6" i="3" s="1"/>
  <c r="CN15" i="3"/>
  <c r="Q25" i="3" s="1"/>
  <c r="CN16" i="3"/>
  <c r="R25" i="3" s="1"/>
  <c r="CN46" i="3"/>
  <c r="Q84" i="3" s="1"/>
  <c r="CN42" i="3"/>
  <c r="Q76" i="3" s="1"/>
  <c r="CN32" i="3"/>
  <c r="Q53" i="3" s="1"/>
  <c r="CN45" i="3"/>
  <c r="Q79" i="3" s="1"/>
  <c r="CN22" i="3"/>
  <c r="Q36" i="3" s="1"/>
  <c r="CN19" i="3"/>
  <c r="Q33" i="3" s="1"/>
  <c r="CN21" i="3"/>
  <c r="Q31" i="3" s="1"/>
  <c r="CN27" i="3"/>
  <c r="R47" i="3" s="1"/>
  <c r="CN40" i="3"/>
  <c r="R73" i="3" s="1"/>
  <c r="CN41" i="3"/>
  <c r="Q71" i="3" s="1"/>
  <c r="CN23" i="3"/>
  <c r="R36" i="3" s="1"/>
  <c r="CN43" i="3"/>
  <c r="R76" i="3" s="1"/>
  <c r="CN34" i="3"/>
  <c r="R65" i="3" s="1"/>
  <c r="CN36" i="3"/>
  <c r="R64" i="3" s="1"/>
  <c r="CN29" i="3"/>
  <c r="Q47" i="3" s="1"/>
  <c r="CN17" i="3"/>
  <c r="Q24" i="3" s="1"/>
  <c r="CN37" i="3"/>
  <c r="R61" i="3" s="1"/>
  <c r="CN39" i="3"/>
  <c r="R71" i="3" s="1"/>
  <c r="CN8" i="3"/>
  <c r="Q5" i="3" s="1"/>
  <c r="CN13" i="3"/>
  <c r="R13" i="3" s="1"/>
  <c r="CN25" i="3"/>
  <c r="CN18" i="3"/>
  <c r="Q28" i="3" s="1"/>
  <c r="CN51" i="3"/>
  <c r="R92" i="3" s="1"/>
  <c r="CN24" i="3"/>
  <c r="Q37" i="3" s="1"/>
  <c r="CN44" i="3"/>
  <c r="Q77" i="3" s="1"/>
  <c r="CN7" i="3"/>
  <c r="CN48" i="3"/>
  <c r="CN28" i="3"/>
  <c r="R46" i="3" s="1"/>
  <c r="CN50" i="3"/>
  <c r="Q94" i="3" s="1"/>
  <c r="CN38" i="3"/>
  <c r="Q70" i="3" s="1"/>
  <c r="CN11" i="3"/>
  <c r="CN47" i="3"/>
  <c r="Q89" i="3" s="1"/>
  <c r="R81" i="3"/>
  <c r="R49" i="3"/>
  <c r="Q46" i="3"/>
  <c r="R24" i="3"/>
  <c r="Q78" i="3"/>
  <c r="Q80" i="3"/>
  <c r="Q23" i="3"/>
  <c r="Q12" i="3"/>
  <c r="R16" i="3"/>
  <c r="Q38" i="3"/>
  <c r="R77" i="3"/>
  <c r="R17" i="3"/>
  <c r="R30" i="3"/>
  <c r="Q29" i="3"/>
  <c r="Q64" i="3"/>
  <c r="R60" i="3"/>
  <c r="Q4" i="3"/>
  <c r="CP53" i="3" l="1"/>
  <c r="R85" i="3"/>
  <c r="R93" i="3"/>
  <c r="Q96" i="3"/>
  <c r="R69" i="3"/>
  <c r="R68" i="3"/>
  <c r="Q72" i="3"/>
  <c r="Q73" i="3"/>
  <c r="R9" i="3"/>
  <c r="R8" i="3"/>
  <c r="Q13" i="3"/>
  <c r="Q81" i="3"/>
  <c r="CP42" i="3" s="1"/>
  <c r="Q55" i="3"/>
  <c r="CO22" i="3"/>
  <c r="CP45" i="3"/>
  <c r="R53" i="3"/>
  <c r="R41" i="3"/>
  <c r="Q62" i="3"/>
  <c r="CP43" i="3"/>
  <c r="R79" i="3"/>
  <c r="CO45" i="3" s="1"/>
  <c r="Q86" i="3"/>
  <c r="CO23" i="3"/>
  <c r="CP23" i="3"/>
  <c r="Q88" i="3"/>
  <c r="Q40" i="3"/>
  <c r="R54" i="3"/>
  <c r="R39" i="3"/>
  <c r="R56" i="3"/>
  <c r="CO43" i="3"/>
  <c r="Q92" i="3"/>
  <c r="CP51" i="3" s="1"/>
  <c r="Q14" i="3"/>
  <c r="CO11" i="3" s="1"/>
  <c r="Q8" i="3"/>
  <c r="R55" i="3"/>
  <c r="CP33" i="3" s="1"/>
  <c r="R31" i="3"/>
  <c r="Q56" i="3"/>
  <c r="CO18" i="3"/>
  <c r="R5" i="3"/>
  <c r="R70" i="3"/>
  <c r="Q69" i="3"/>
  <c r="R88" i="3"/>
  <c r="Q65" i="3"/>
  <c r="CP44" i="3"/>
  <c r="R7" i="3"/>
  <c r="Q63" i="3"/>
  <c r="CO35" i="3" s="1"/>
  <c r="R94" i="3"/>
  <c r="CP50" i="3" s="1"/>
  <c r="R78" i="3"/>
  <c r="CO8" i="3"/>
  <c r="CO19" i="3"/>
  <c r="Q54" i="3"/>
  <c r="R23" i="3"/>
  <c r="CP30" i="3"/>
  <c r="R45" i="3"/>
  <c r="Q93" i="3"/>
  <c r="Q22" i="3"/>
  <c r="CO15" i="3" s="1"/>
  <c r="CP47" i="3"/>
  <c r="R20" i="3"/>
  <c r="CO14" i="3" s="1"/>
  <c r="Q16" i="3"/>
  <c r="Q52" i="3"/>
  <c r="Q21" i="3"/>
  <c r="CO30" i="3"/>
  <c r="CO47" i="3"/>
  <c r="R44" i="3"/>
  <c r="Q48" i="3"/>
  <c r="R22" i="3"/>
  <c r="Q49" i="3"/>
  <c r="CO26" i="3" s="1"/>
  <c r="R21" i="3"/>
  <c r="Q30" i="3"/>
  <c r="CP20" i="3" s="1"/>
  <c r="Q97" i="3"/>
  <c r="CP52" i="3" s="1"/>
  <c r="Q61" i="3"/>
  <c r="CP37" i="3" s="1"/>
  <c r="R95" i="3"/>
  <c r="CO53" i="3" s="1"/>
  <c r="R32" i="3"/>
  <c r="R62" i="3"/>
  <c r="CP36" i="3"/>
  <c r="R28" i="3"/>
  <c r="Q60" i="3"/>
  <c r="R80" i="3"/>
  <c r="Q39" i="3"/>
  <c r="Q41" i="3"/>
  <c r="R48" i="3"/>
  <c r="CO27" i="3" s="1"/>
  <c r="R87" i="3"/>
  <c r="R37" i="3"/>
  <c r="Q45" i="3"/>
  <c r="Q32" i="3"/>
  <c r="R29" i="3"/>
  <c r="R38" i="3"/>
  <c r="CP22" i="3" s="1"/>
  <c r="R72" i="3"/>
  <c r="R96" i="3"/>
  <c r="Q68" i="3"/>
  <c r="CP39" i="3" s="1"/>
  <c r="R84" i="3"/>
  <c r="R40" i="3"/>
  <c r="Q85" i="3"/>
  <c r="R86" i="3"/>
  <c r="R89" i="3"/>
  <c r="R4" i="3"/>
  <c r="R6" i="3"/>
  <c r="Q9" i="3"/>
  <c r="Q17" i="3"/>
  <c r="R12" i="3"/>
  <c r="R14" i="3"/>
  <c r="CP13" i="3" s="1"/>
  <c r="CP35" i="3"/>
  <c r="CP34" i="3"/>
  <c r="CP48" i="3"/>
  <c r="CO37" i="3"/>
  <c r="CQ37" i="3" s="1"/>
  <c r="CP38" i="3"/>
  <c r="CO34" i="3"/>
  <c r="CO50" i="3"/>
  <c r="CQ50" i="3" s="1"/>
  <c r="CQ22" i="3"/>
  <c r="CP40" i="3"/>
  <c r="CQ43" i="3"/>
  <c r="CO21" i="3"/>
  <c r="CO40" i="3"/>
  <c r="CO48" i="3"/>
  <c r="CO38" i="3"/>
  <c r="CP31" i="3"/>
  <c r="CP32" i="3"/>
  <c r="CP16" i="3"/>
  <c r="CO42" i="3"/>
  <c r="CQ42" i="3" s="1"/>
  <c r="CO44" i="3"/>
  <c r="CQ44" i="3" s="1"/>
  <c r="CO31" i="3"/>
  <c r="CQ30" i="3"/>
  <c r="CO32" i="3"/>
  <c r="CP28" i="3"/>
  <c r="CP17" i="3"/>
  <c r="CO28" i="3"/>
  <c r="CP26" i="3"/>
  <c r="CQ26" i="3" s="1"/>
  <c r="CO17" i="3"/>
  <c r="CP21" i="3"/>
  <c r="CP18" i="3"/>
  <c r="CQ18" i="3" s="1"/>
  <c r="CO16" i="3"/>
  <c r="CO20" i="3"/>
  <c r="CQ20" i="3" s="1"/>
  <c r="CP19" i="3"/>
  <c r="CQ19" i="3" s="1"/>
  <c r="CO7" i="3"/>
  <c r="CP8" i="3"/>
  <c r="CQ8" i="3" s="1"/>
  <c r="CP7" i="3"/>
  <c r="CP27" i="3"/>
  <c r="CQ27" i="3" s="1"/>
  <c r="CO41" i="3"/>
  <c r="CO29" i="3"/>
  <c r="CQ23" i="3"/>
  <c r="CP29" i="3"/>
  <c r="CO51" i="3"/>
  <c r="CO33" i="3"/>
  <c r="CQ33" i="3" s="1"/>
  <c r="CO39" i="3"/>
  <c r="CQ39" i="3" s="1"/>
  <c r="CP41" i="3"/>
  <c r="CO36" i="3"/>
  <c r="CQ36" i="3" s="1"/>
  <c r="CQ45" i="3"/>
  <c r="CQ53" i="3"/>
  <c r="CQ47" i="3"/>
  <c r="CQ35" i="3"/>
  <c r="CO6" i="3" l="1"/>
  <c r="CP14" i="3"/>
  <c r="CQ14" i="3" s="1"/>
  <c r="CP15" i="3"/>
  <c r="CQ15" i="3" s="1"/>
  <c r="CP9" i="3"/>
  <c r="CP11" i="3"/>
  <c r="CP6" i="3"/>
  <c r="CP25" i="3"/>
  <c r="CO24" i="3"/>
  <c r="CO25" i="3"/>
  <c r="CO52" i="3"/>
  <c r="CQ52" i="3" s="1"/>
  <c r="CP10" i="3"/>
  <c r="CP24" i="3"/>
  <c r="CQ51" i="3"/>
  <c r="CO46" i="3"/>
  <c r="CP46" i="3"/>
  <c r="CO13" i="3"/>
  <c r="CQ13" i="3" s="1"/>
  <c r="CP49" i="3"/>
  <c r="CO49" i="3"/>
  <c r="CO12" i="3"/>
  <c r="CP12" i="3"/>
  <c r="CO9" i="3"/>
  <c r="CO10" i="3"/>
  <c r="CQ48" i="3"/>
  <c r="CQ34" i="3"/>
  <c r="CQ21" i="3"/>
  <c r="CQ16" i="3"/>
  <c r="CQ40" i="3"/>
  <c r="CQ38" i="3"/>
  <c r="CQ11" i="3"/>
  <c r="CQ31" i="3"/>
  <c r="CQ32" i="3"/>
  <c r="CQ28" i="3"/>
  <c r="CQ17" i="3"/>
  <c r="CQ7" i="3"/>
  <c r="CQ41" i="3"/>
  <c r="CQ29" i="3"/>
  <c r="CQ6" i="3" l="1"/>
  <c r="CR6" i="3" s="1"/>
  <c r="CQ9" i="3"/>
  <c r="CQ25" i="3"/>
  <c r="CR25" i="3" s="1"/>
  <c r="CQ10" i="3"/>
  <c r="CR37" i="3" s="1"/>
  <c r="CQ24" i="3"/>
  <c r="CQ46" i="3"/>
  <c r="CQ49" i="3"/>
  <c r="CQ12" i="3"/>
  <c r="CR12" i="3" s="1"/>
  <c r="CR41" i="3"/>
  <c r="CR51" i="3"/>
  <c r="CR52" i="3"/>
  <c r="CR27" i="3" l="1"/>
  <c r="CR32" i="3"/>
  <c r="CR17" i="3"/>
  <c r="CR40" i="3"/>
  <c r="CR14" i="3"/>
  <c r="CR39" i="3"/>
  <c r="CR45" i="3"/>
  <c r="CR50" i="3"/>
  <c r="CR23" i="3"/>
  <c r="CR11" i="3"/>
  <c r="CR28" i="3"/>
  <c r="CR33" i="3"/>
  <c r="CR26" i="3"/>
  <c r="CR7" i="3"/>
  <c r="CR22" i="3"/>
  <c r="CR38" i="3"/>
  <c r="CR31" i="3"/>
  <c r="CR29" i="3"/>
  <c r="CR18" i="3"/>
  <c r="CR36" i="3"/>
  <c r="CR42" i="3"/>
  <c r="CR21" i="3"/>
  <c r="CR13" i="3"/>
  <c r="CR16" i="3"/>
  <c r="CR34" i="3"/>
  <c r="CR30" i="3"/>
  <c r="CR48" i="3"/>
  <c r="CR15" i="3"/>
  <c r="CR35" i="3"/>
  <c r="CR43" i="3"/>
  <c r="CR47" i="3"/>
  <c r="CR24" i="3"/>
  <c r="CR8" i="3"/>
  <c r="CR20" i="3"/>
  <c r="CR19" i="3"/>
  <c r="CR44" i="3"/>
  <c r="CR53" i="3"/>
  <c r="CR10" i="3"/>
  <c r="CR9" i="3"/>
  <c r="CR46" i="3"/>
  <c r="CR49" i="3"/>
  <c r="CS18" i="3" l="1"/>
  <c r="T30" i="3" s="1"/>
  <c r="CS25" i="3"/>
  <c r="T39" i="3" s="1"/>
  <c r="CS14" i="3"/>
  <c r="U24" i="3" s="1"/>
  <c r="CS50" i="3"/>
  <c r="T92" i="3" s="1"/>
  <c r="CS37" i="3"/>
  <c r="T63" i="3" s="1"/>
  <c r="CS52" i="3"/>
  <c r="T93" i="3" s="1"/>
  <c r="CS49" i="3"/>
  <c r="U85" i="3" s="1"/>
  <c r="CS6" i="3"/>
  <c r="U8" i="3" s="1"/>
  <c r="CS12" i="3"/>
  <c r="T13" i="3" s="1"/>
  <c r="CS31" i="3"/>
  <c r="U55" i="3" s="1"/>
  <c r="CS34" i="3"/>
  <c r="U65" i="3" s="1"/>
  <c r="CS33" i="3"/>
  <c r="U53" i="3" s="1"/>
  <c r="CS51" i="3"/>
  <c r="U92" i="3" s="1"/>
  <c r="CS13" i="3"/>
  <c r="T14" i="3" s="1"/>
  <c r="CS27" i="3"/>
  <c r="U47" i="3" s="1"/>
  <c r="CS16" i="3"/>
  <c r="U23" i="3" s="1"/>
  <c r="CS28" i="3"/>
  <c r="U48" i="3" s="1"/>
  <c r="CS38" i="3"/>
  <c r="T70" i="3" s="1"/>
  <c r="CS20" i="3"/>
  <c r="U30" i="3" s="1"/>
  <c r="CS47" i="3"/>
  <c r="U84" i="3" s="1"/>
  <c r="CS48" i="3"/>
  <c r="U89" i="3" s="1"/>
  <c r="CS45" i="3"/>
  <c r="T79" i="3" s="1"/>
  <c r="CS26" i="3"/>
  <c r="T46" i="3" s="1"/>
  <c r="CS30" i="3"/>
  <c r="T54" i="3" s="1"/>
  <c r="CS17" i="3"/>
  <c r="T22" i="3" s="1"/>
  <c r="CS29" i="3"/>
  <c r="U45" i="3" s="1"/>
  <c r="CS8" i="3"/>
  <c r="U9" i="3" s="1"/>
  <c r="CS32" i="3"/>
  <c r="U56" i="3" s="1"/>
  <c r="CS7" i="3"/>
  <c r="U4" i="3" s="1"/>
  <c r="CS21" i="3"/>
  <c r="T31" i="3" s="1"/>
  <c r="CS9" i="3"/>
  <c r="U5" i="3" s="1"/>
  <c r="CS11" i="3"/>
  <c r="T17" i="3" s="1"/>
  <c r="CS46" i="3"/>
  <c r="U88" i="3" s="1"/>
  <c r="CS41" i="3"/>
  <c r="T71" i="3" s="1"/>
  <c r="CS24" i="3"/>
  <c r="U40" i="3" s="1"/>
  <c r="CS53" i="3"/>
  <c r="T95" i="3" s="1"/>
  <c r="CS19" i="3"/>
  <c r="U31" i="3" s="1"/>
  <c r="CS44" i="3"/>
  <c r="U80" i="3" s="1"/>
  <c r="CS40" i="3"/>
  <c r="U70" i="3" s="1"/>
  <c r="CS22" i="3"/>
  <c r="T38" i="3" s="1"/>
  <c r="CS10" i="3"/>
  <c r="T15" i="3" s="1"/>
  <c r="CS39" i="3"/>
  <c r="U71" i="3" s="1"/>
  <c r="CS36" i="3"/>
  <c r="U62" i="3" s="1"/>
  <c r="CS15" i="3"/>
  <c r="U22" i="3" s="1"/>
  <c r="CS43" i="3"/>
  <c r="T80" i="3" s="1"/>
  <c r="CS23" i="3"/>
  <c r="T40" i="3" s="1"/>
  <c r="CS42" i="3"/>
  <c r="T78" i="3" s="1"/>
  <c r="CS35" i="3"/>
  <c r="U63" i="3" s="1"/>
  <c r="T41" i="3"/>
  <c r="U37" i="3"/>
  <c r="U32" i="3"/>
  <c r="T28" i="3"/>
  <c r="T89" i="3"/>
  <c r="T20" i="3"/>
  <c r="U96" i="3"/>
  <c r="T5" i="3"/>
  <c r="T57" i="3"/>
  <c r="T65" i="3"/>
  <c r="U61" i="3"/>
  <c r="T23" i="3"/>
  <c r="T55" i="3"/>
  <c r="CT34" i="3"/>
  <c r="T60" i="3"/>
  <c r="T62" i="3"/>
  <c r="T9" i="3" l="1"/>
  <c r="U93" i="3"/>
  <c r="U87" i="3"/>
  <c r="T29" i="3"/>
  <c r="U7" i="3"/>
  <c r="U94" i="3"/>
  <c r="CT50" i="3" s="1"/>
  <c r="U13" i="3"/>
  <c r="T96" i="3"/>
  <c r="T94" i="3"/>
  <c r="T53" i="3"/>
  <c r="CT33" i="3" s="1"/>
  <c r="U33" i="3"/>
  <c r="T37" i="3"/>
  <c r="U86" i="3"/>
  <c r="U6" i="3"/>
  <c r="T97" i="3"/>
  <c r="CT52" i="3" s="1"/>
  <c r="U95" i="3"/>
  <c r="U97" i="3"/>
  <c r="CT51" i="3" s="1"/>
  <c r="T85" i="3"/>
  <c r="CT49" i="3" s="1"/>
  <c r="U77" i="3"/>
  <c r="U64" i="3"/>
  <c r="T47" i="3"/>
  <c r="CT43" i="3"/>
  <c r="T25" i="3"/>
  <c r="CT53" i="3"/>
  <c r="U20" i="3"/>
  <c r="U54" i="3"/>
  <c r="U78" i="3"/>
  <c r="T16" i="3"/>
  <c r="T33" i="3"/>
  <c r="T32" i="3"/>
  <c r="U29" i="3"/>
  <c r="T81" i="3"/>
  <c r="T87" i="3"/>
  <c r="CT47" i="3" s="1"/>
  <c r="U76" i="3"/>
  <c r="U28" i="3"/>
  <c r="T77" i="3"/>
  <c r="U44" i="3"/>
  <c r="T21" i="3"/>
  <c r="U25" i="3"/>
  <c r="CT15" i="3" s="1"/>
  <c r="T7" i="3"/>
  <c r="U14" i="3"/>
  <c r="T4" i="3"/>
  <c r="CT7" i="3" s="1"/>
  <c r="U49" i="3"/>
  <c r="T6" i="3"/>
  <c r="T48" i="3"/>
  <c r="T8" i="3"/>
  <c r="CT6" i="3" s="1"/>
  <c r="CT31" i="3"/>
  <c r="T44" i="3"/>
  <c r="T56" i="3"/>
  <c r="CT32" i="3" s="1"/>
  <c r="T72" i="3"/>
  <c r="U12" i="3"/>
  <c r="T88" i="3"/>
  <c r="U68" i="3"/>
  <c r="T45" i="3"/>
  <c r="U46" i="3"/>
  <c r="U17" i="3"/>
  <c r="U15" i="3"/>
  <c r="T84" i="3"/>
  <c r="T64" i="3"/>
  <c r="T24" i="3"/>
  <c r="U21" i="3"/>
  <c r="U38" i="3"/>
  <c r="CT28" i="3"/>
  <c r="CT17" i="3"/>
  <c r="U69" i="3"/>
  <c r="CT40" i="3" s="1"/>
  <c r="CT38" i="3"/>
  <c r="U52" i="3"/>
  <c r="U72" i="3"/>
  <c r="T68" i="3"/>
  <c r="T49" i="3"/>
  <c r="T61" i="3"/>
  <c r="CT37" i="3" s="1"/>
  <c r="U39" i="3"/>
  <c r="CT44" i="3"/>
  <c r="CT19" i="3"/>
  <c r="U79" i="3"/>
  <c r="U73" i="3"/>
  <c r="T69" i="3"/>
  <c r="U36" i="3"/>
  <c r="CT22" i="3" s="1"/>
  <c r="T73" i="3"/>
  <c r="T86" i="3"/>
  <c r="T52" i="3"/>
  <c r="U57" i="3"/>
  <c r="U41" i="3"/>
  <c r="T76" i="3"/>
  <c r="CT12" i="3"/>
  <c r="U81" i="3"/>
  <c r="T36" i="3"/>
  <c r="CT23" i="3" s="1"/>
  <c r="CT24" i="3"/>
  <c r="CT35" i="3"/>
  <c r="U16" i="3"/>
  <c r="T12" i="3"/>
  <c r="U60" i="3"/>
  <c r="CT21" i="3"/>
  <c r="CT48" i="3"/>
  <c r="CT14" i="3"/>
  <c r="CT46" i="3"/>
  <c r="CT42" i="3"/>
  <c r="CT45" i="3"/>
  <c r="CT20" i="3"/>
  <c r="CT30" i="3"/>
  <c r="CT26" i="3"/>
  <c r="CT18" i="3"/>
  <c r="CT16" i="3"/>
  <c r="CT27" i="3"/>
  <c r="CT41" i="3"/>
  <c r="CT39" i="3"/>
  <c r="CT29" i="3"/>
  <c r="CT9" i="3"/>
  <c r="CT36" i="3"/>
  <c r="CT8" i="3"/>
  <c r="CT25" i="3" l="1"/>
  <c r="CU24" i="3" s="1"/>
  <c r="CT11" i="3"/>
  <c r="CT13" i="3"/>
  <c r="CU53" i="3" s="1"/>
  <c r="CT10" i="3"/>
  <c r="CU6" i="3" s="1"/>
  <c r="CU47" i="3"/>
  <c r="CU45" i="3"/>
  <c r="CU44" i="3"/>
  <c r="CU41" i="3"/>
  <c r="CU21" i="3"/>
  <c r="CU38" i="3"/>
  <c r="CU30" i="3"/>
  <c r="CU26" i="3"/>
  <c r="CU20" i="3"/>
  <c r="CU35" i="3"/>
  <c r="CU50" i="3"/>
  <c r="CU31" i="3"/>
  <c r="CU18" i="3"/>
  <c r="CU19" i="3"/>
  <c r="CU32" i="3"/>
  <c r="CU33" i="3"/>
  <c r="CU15" i="3"/>
  <c r="CU14" i="3"/>
  <c r="CU42" i="3"/>
  <c r="CU34" i="3"/>
  <c r="CU17" i="3"/>
  <c r="CU16" i="3"/>
  <c r="CU40" i="3"/>
  <c r="CU28" i="3"/>
  <c r="CU22" i="3"/>
  <c r="CU29" i="3"/>
  <c r="CU39" i="3"/>
  <c r="CU8" i="3"/>
  <c r="CU37" i="3"/>
  <c r="CU23" i="3"/>
  <c r="CU7" i="3"/>
  <c r="CU36" i="3"/>
  <c r="CU27" i="3" l="1"/>
  <c r="CU11" i="3"/>
  <c r="CU52" i="3"/>
  <c r="CU51" i="3"/>
  <c r="CU25" i="3"/>
  <c r="CU48" i="3"/>
  <c r="CU43" i="3"/>
  <c r="CU9" i="3"/>
  <c r="CU13" i="3"/>
  <c r="CU49" i="3"/>
  <c r="CU12" i="3"/>
  <c r="CU46" i="3"/>
  <c r="CU10" i="3"/>
  <c r="CV42" i="3" l="1"/>
  <c r="CW42" i="3" s="1"/>
  <c r="CV38" i="3"/>
  <c r="CW38" i="3" s="1"/>
  <c r="CV50" i="3"/>
  <c r="CW50" i="3" s="1"/>
  <c r="CV22" i="3"/>
  <c r="CW22" i="3" s="1"/>
  <c r="CV43" i="3"/>
  <c r="CW43" i="3" s="1"/>
  <c r="CV17" i="3"/>
  <c r="CW17" i="3" s="1"/>
  <c r="CV32" i="3"/>
  <c r="CW32" i="3" s="1"/>
  <c r="CV34" i="3"/>
  <c r="CW34" i="3" s="1"/>
  <c r="CV27" i="3"/>
  <c r="CW27" i="3" s="1"/>
  <c r="CV44" i="3"/>
  <c r="CW44" i="3" s="1"/>
  <c r="CV14" i="3"/>
  <c r="CW14" i="3" s="1"/>
  <c r="CV21" i="3"/>
  <c r="CW21" i="3" s="1"/>
  <c r="CV11" i="3"/>
  <c r="CW11" i="3" s="1"/>
  <c r="CV31" i="3"/>
  <c r="CW31" i="3" s="1"/>
  <c r="CV53" i="3"/>
  <c r="CW53" i="3" s="1"/>
  <c r="CV37" i="3"/>
  <c r="CW37" i="3" s="1"/>
  <c r="CV24" i="3"/>
  <c r="CW24" i="3" s="1"/>
  <c r="CV6" i="3"/>
  <c r="CW6" i="3" s="1"/>
  <c r="CV30" i="3"/>
  <c r="CW30" i="3" s="1"/>
  <c r="CV23" i="3"/>
  <c r="CW23" i="3" s="1"/>
  <c r="CV40" i="3"/>
  <c r="CW40" i="3" s="1"/>
  <c r="CV52" i="3"/>
  <c r="CW52" i="3" s="1"/>
  <c r="CV19" i="3"/>
  <c r="CW19" i="3" s="1"/>
  <c r="CV35" i="3"/>
  <c r="CW35" i="3" s="1"/>
  <c r="CV26" i="3"/>
  <c r="CW26" i="3" s="1"/>
  <c r="CV20" i="3"/>
  <c r="CW20" i="3" s="1"/>
  <c r="CV45" i="3"/>
  <c r="CW45" i="3" s="1"/>
  <c r="CV29" i="3"/>
  <c r="CW29" i="3" s="1"/>
  <c r="CV51" i="3"/>
  <c r="CW51" i="3" s="1"/>
  <c r="CV36" i="3"/>
  <c r="CW36" i="3" s="1"/>
  <c r="CV16" i="3"/>
  <c r="CW16" i="3" s="1"/>
  <c r="CV41" i="3"/>
  <c r="CW41" i="3" s="1"/>
  <c r="CV15" i="3"/>
  <c r="CW15" i="3" s="1"/>
  <c r="CV12" i="3"/>
  <c r="CW12" i="3" s="1"/>
  <c r="CV48" i="3"/>
  <c r="CW48" i="3" s="1"/>
  <c r="CV10" i="3"/>
  <c r="CW10" i="3" s="1"/>
  <c r="CV7" i="3"/>
  <c r="CW7" i="3" s="1"/>
  <c r="CV47" i="3"/>
  <c r="CW47" i="3" s="1"/>
  <c r="CV25" i="3"/>
  <c r="CW25" i="3" s="1"/>
  <c r="CV46" i="3"/>
  <c r="CW46" i="3" s="1"/>
  <c r="CV9" i="3"/>
  <c r="CW9" i="3" s="1"/>
  <c r="CV13" i="3"/>
  <c r="CW13" i="3" s="1"/>
  <c r="CV8" i="3"/>
  <c r="CW8" i="3" s="1"/>
  <c r="CV39" i="3"/>
  <c r="CW39" i="3" s="1"/>
  <c r="CV33" i="3"/>
  <c r="CW33" i="3" s="1"/>
  <c r="CV18" i="3"/>
  <c r="CW18" i="3" s="1"/>
  <c r="CV28" i="3"/>
  <c r="CW28" i="3" s="1"/>
  <c r="CV49" i="3"/>
  <c r="CW49" i="3" s="1"/>
  <c r="CX29" i="3" l="1"/>
  <c r="CX12" i="3"/>
  <c r="CX16" i="3"/>
  <c r="CX35" i="3"/>
  <c r="CX31" i="3"/>
  <c r="CX7" i="3"/>
  <c r="CX44" i="3"/>
  <c r="CX53" i="3"/>
  <c r="CX50" i="3"/>
  <c r="CX6" i="3"/>
  <c r="CX25" i="3"/>
  <c r="CX48" i="3"/>
  <c r="CX24" i="3"/>
  <c r="CX47" i="3"/>
  <c r="CX34" i="3"/>
  <c r="CX23" i="3"/>
  <c r="CX21" i="3"/>
  <c r="CX8" i="3"/>
  <c r="CX40" i="3"/>
  <c r="CX10" i="3"/>
  <c r="CX38" i="3"/>
  <c r="CX39" i="3"/>
  <c r="CX36" i="3"/>
  <c r="CX33" i="3"/>
  <c r="CX18" i="3"/>
  <c r="CX9" i="3"/>
  <c r="CX17" i="3"/>
  <c r="CX19" i="3"/>
  <c r="CX26" i="3"/>
  <c r="CX11" i="3"/>
  <c r="CX49" i="3"/>
  <c r="CX45" i="3"/>
  <c r="CX30" i="3"/>
  <c r="CX32" i="3"/>
  <c r="CX51" i="3"/>
  <c r="CX28" i="3"/>
  <c r="CX43" i="3"/>
  <c r="CX22" i="3"/>
  <c r="CX15" i="3"/>
  <c r="CX37" i="3"/>
  <c r="CX27" i="3"/>
  <c r="CX46" i="3"/>
  <c r="CX20" i="3"/>
  <c r="CX42" i="3"/>
  <c r="CX13" i="3"/>
  <c r="CX41" i="3"/>
  <c r="CX52" i="3"/>
  <c r="CX14" i="3"/>
  <c r="CY51" i="3" l="1"/>
  <c r="CZ51" i="3" s="1"/>
  <c r="CY8" i="3"/>
  <c r="CZ8" i="3" s="1"/>
  <c r="CY30" i="3"/>
  <c r="CZ30" i="3" s="1"/>
  <c r="CY27" i="3"/>
  <c r="CZ27" i="3" s="1"/>
  <c r="CY37" i="3"/>
  <c r="CZ37" i="3" s="1"/>
  <c r="CY47" i="3"/>
  <c r="CZ47" i="3" s="1"/>
  <c r="CY52" i="3"/>
  <c r="CZ52" i="3" s="1"/>
  <c r="CY29" i="3"/>
  <c r="CZ29" i="3" s="1"/>
  <c r="CY21" i="3"/>
  <c r="CZ21" i="3" s="1"/>
  <c r="CY20" i="3"/>
  <c r="CZ20" i="3" s="1"/>
  <c r="CY45" i="3"/>
  <c r="CZ45" i="3" s="1"/>
  <c r="CY13" i="3"/>
  <c r="CZ13" i="3" s="1"/>
  <c r="CY46" i="3"/>
  <c r="CZ46" i="3" s="1"/>
  <c r="CY32" i="3"/>
  <c r="CZ32" i="3" s="1"/>
  <c r="CY23" i="3"/>
  <c r="CZ23" i="3" s="1"/>
  <c r="CY9" i="3"/>
  <c r="CZ9" i="3" s="1"/>
  <c r="CY33" i="3"/>
  <c r="CZ33" i="3" s="1"/>
  <c r="CY7" i="3"/>
  <c r="CZ7" i="3" s="1"/>
  <c r="CY36" i="3"/>
  <c r="CZ36" i="3" s="1"/>
  <c r="CY15" i="3"/>
  <c r="CZ15" i="3" s="1"/>
  <c r="CY25" i="3"/>
  <c r="CZ25" i="3" s="1"/>
  <c r="CY43" i="3"/>
  <c r="CZ43" i="3" s="1"/>
  <c r="CY28" i="3"/>
  <c r="CZ28" i="3" s="1"/>
  <c r="CY22" i="3"/>
  <c r="CZ22" i="3" s="1"/>
  <c r="CY16" i="3"/>
  <c r="CZ16" i="3" s="1"/>
  <c r="CY49" i="3"/>
  <c r="CZ49" i="3" s="1"/>
  <c r="CY35" i="3"/>
  <c r="CZ35" i="3" s="1"/>
  <c r="CY42" i="3"/>
  <c r="CZ42" i="3" s="1"/>
  <c r="CY19" i="3"/>
  <c r="CZ19" i="3" s="1"/>
  <c r="CY39" i="3"/>
  <c r="CZ39" i="3" s="1"/>
  <c r="CY11" i="3"/>
  <c r="CZ11" i="3" s="1"/>
  <c r="CY48" i="3"/>
  <c r="CZ48" i="3" s="1"/>
  <c r="CY6" i="3"/>
  <c r="CZ6" i="3" s="1"/>
  <c r="CY44" i="3"/>
  <c r="CZ44" i="3" s="1"/>
  <c r="CY18" i="3"/>
  <c r="CZ18" i="3" s="1"/>
  <c r="CY41" i="3"/>
  <c r="CZ41" i="3" s="1"/>
  <c r="CY12" i="3"/>
  <c r="CZ12" i="3" s="1"/>
  <c r="CY24" i="3"/>
  <c r="CZ24" i="3" s="1"/>
  <c r="CY50" i="3"/>
  <c r="CZ50" i="3" s="1"/>
  <c r="CY38" i="3"/>
  <c r="CZ38" i="3" s="1"/>
  <c r="CY53" i="3"/>
  <c r="CZ53" i="3" s="1"/>
  <c r="CY40" i="3"/>
  <c r="CZ40" i="3" s="1"/>
  <c r="CY31" i="3"/>
  <c r="CZ31" i="3" s="1"/>
  <c r="CY10" i="3"/>
  <c r="CZ10" i="3" s="1"/>
  <c r="CY17" i="3"/>
  <c r="CZ17" i="3" s="1"/>
  <c r="CY26" i="3"/>
  <c r="CZ26" i="3" s="1"/>
  <c r="CY14" i="3"/>
  <c r="CZ14" i="3" s="1"/>
  <c r="CY34" i="3"/>
  <c r="CZ34" i="3" s="1"/>
  <c r="DA23" i="3" l="1"/>
  <c r="DA15" i="3"/>
  <c r="DA51" i="3"/>
  <c r="DA24" i="3"/>
  <c r="DA37" i="3"/>
  <c r="DA30" i="3"/>
  <c r="DA38" i="3"/>
  <c r="DA39" i="3"/>
  <c r="DA36" i="3"/>
  <c r="DA16" i="3"/>
  <c r="DA33" i="3"/>
  <c r="DA43" i="3"/>
  <c r="DA21" i="3"/>
  <c r="DA12" i="3"/>
  <c r="DA17" i="3"/>
  <c r="DA25" i="3"/>
  <c r="DA53" i="3"/>
  <c r="DA35" i="3"/>
  <c r="DA10" i="3"/>
  <c r="DA13" i="3"/>
  <c r="DA50" i="3"/>
  <c r="DA22" i="3"/>
  <c r="DA47" i="3"/>
  <c r="DA8" i="3"/>
  <c r="DA27" i="3"/>
  <c r="DA34" i="3"/>
  <c r="DA28" i="3"/>
  <c r="DA20" i="3"/>
  <c r="DA45" i="3"/>
  <c r="DA7" i="3"/>
  <c r="DA6" i="3"/>
  <c r="DA14" i="3"/>
  <c r="DA11" i="3"/>
  <c r="DA29" i="3"/>
  <c r="DA48" i="3"/>
  <c r="DA40" i="3"/>
  <c r="DA18" i="3"/>
  <c r="DA9" i="3"/>
  <c r="DA44" i="3"/>
  <c r="DA42" i="3"/>
  <c r="DA26" i="3"/>
  <c r="DA49" i="3"/>
  <c r="DA52" i="3"/>
  <c r="DA41" i="3"/>
  <c r="DA32" i="3"/>
  <c r="DA19" i="3"/>
  <c r="DA46" i="3"/>
  <c r="DA31" i="3"/>
  <c r="DB37" i="3" l="1"/>
  <c r="DC37" i="3" s="1"/>
  <c r="DB14" i="3"/>
  <c r="DC14" i="3" s="1"/>
  <c r="DB27" i="3"/>
  <c r="DC27" i="3" s="1"/>
  <c r="DB25" i="3"/>
  <c r="DC25" i="3" s="1"/>
  <c r="DB39" i="3"/>
  <c r="DC39" i="3" s="1"/>
  <c r="DB48" i="3"/>
  <c r="DC48" i="3" s="1"/>
  <c r="DB49" i="3"/>
  <c r="DC49" i="3" s="1"/>
  <c r="DB52" i="3"/>
  <c r="DC52" i="3" s="1"/>
  <c r="DB11" i="3"/>
  <c r="DC11" i="3" s="1"/>
  <c r="DB35" i="3"/>
  <c r="DC35" i="3" s="1"/>
  <c r="DB22" i="3"/>
  <c r="DC22" i="3" s="1"/>
  <c r="DB46" i="3"/>
  <c r="DC46" i="3" s="1"/>
  <c r="DB30" i="3"/>
  <c r="DC30" i="3" s="1"/>
  <c r="DB15" i="3"/>
  <c r="DC15" i="3" s="1"/>
  <c r="DB12" i="3"/>
  <c r="DC12" i="3" s="1"/>
  <c r="DB38" i="3"/>
  <c r="DC38" i="3" s="1"/>
  <c r="DB43" i="3"/>
  <c r="DC43" i="3" s="1"/>
  <c r="DB26" i="3"/>
  <c r="DC26" i="3" s="1"/>
  <c r="DB44" i="3"/>
  <c r="DC44" i="3" s="1"/>
  <c r="DB36" i="3"/>
  <c r="DC36" i="3" s="1"/>
  <c r="DB19" i="3"/>
  <c r="DC19" i="3" s="1"/>
  <c r="DB34" i="3"/>
  <c r="DC34" i="3" s="1"/>
  <c r="DB6" i="3"/>
  <c r="DC6" i="3" s="1"/>
  <c r="DB10" i="3"/>
  <c r="DC10" i="3" s="1"/>
  <c r="DB13" i="3"/>
  <c r="DC13" i="3" s="1"/>
  <c r="DB41" i="3"/>
  <c r="DC41" i="3" s="1"/>
  <c r="DB18" i="3"/>
  <c r="DC18" i="3" s="1"/>
  <c r="DB28" i="3"/>
  <c r="DC28" i="3" s="1"/>
  <c r="DB29" i="3"/>
  <c r="DC29" i="3" s="1"/>
  <c r="DB33" i="3"/>
  <c r="DC33" i="3" s="1"/>
  <c r="DB7" i="3"/>
  <c r="DC7" i="3" s="1"/>
  <c r="DB16" i="3"/>
  <c r="DC16" i="3" s="1"/>
  <c r="DB9" i="3"/>
  <c r="DC9" i="3" s="1"/>
  <c r="DB45" i="3"/>
  <c r="DC45" i="3" s="1"/>
  <c r="DB24" i="3"/>
  <c r="DC24" i="3" s="1"/>
  <c r="DB51" i="3"/>
  <c r="DC51" i="3" s="1"/>
  <c r="DB47" i="3"/>
  <c r="DC47" i="3" s="1"/>
  <c r="DB21" i="3"/>
  <c r="DC21" i="3" s="1"/>
  <c r="DB31" i="3"/>
  <c r="DC31" i="3" s="1"/>
  <c r="DB40" i="3"/>
  <c r="DC40" i="3" s="1"/>
  <c r="DB50" i="3"/>
  <c r="DC50" i="3" s="1"/>
  <c r="DB23" i="3"/>
  <c r="DC23" i="3" s="1"/>
  <c r="DB32" i="3"/>
  <c r="DC32" i="3" s="1"/>
  <c r="DB42" i="3"/>
  <c r="DC42" i="3" s="1"/>
  <c r="DB53" i="3"/>
  <c r="DC53" i="3" s="1"/>
  <c r="DB20" i="3"/>
  <c r="DC20" i="3" s="1"/>
  <c r="DB17" i="3"/>
  <c r="DC17" i="3" s="1"/>
  <c r="DB8" i="3"/>
  <c r="DC8" i="3" s="1"/>
  <c r="DD49" i="3" l="1"/>
  <c r="BM49" i="3" s="1"/>
  <c r="DD46" i="3"/>
  <c r="BM46" i="3" s="1"/>
  <c r="DD26" i="3"/>
  <c r="BM26" i="3" s="1"/>
  <c r="DD7" i="3"/>
  <c r="BM7" i="3" s="1"/>
  <c r="DD27" i="3"/>
  <c r="BM27" i="3" s="1"/>
  <c r="DD50" i="3"/>
  <c r="BM50" i="3" s="1"/>
  <c r="DD40" i="3"/>
  <c r="BM40" i="3" s="1"/>
  <c r="DD14" i="3"/>
  <c r="BM14" i="3" s="1"/>
  <c r="DD10" i="3"/>
  <c r="BM10" i="3" s="1"/>
  <c r="DD47" i="3"/>
  <c r="BM47" i="3" s="1"/>
  <c r="DD31" i="3"/>
  <c r="BM31" i="3" s="1"/>
  <c r="DD22" i="3"/>
  <c r="BM22" i="3" s="1"/>
  <c r="DD52" i="3"/>
  <c r="BM52" i="3" s="1"/>
  <c r="DD11" i="3"/>
  <c r="BM11" i="3" s="1"/>
  <c r="DD30" i="3"/>
  <c r="BM30" i="3" s="1"/>
  <c r="DD13" i="3"/>
  <c r="BM13" i="3" s="1"/>
  <c r="DD25" i="3"/>
  <c r="BM25" i="3" s="1"/>
  <c r="DD41" i="3"/>
  <c r="BM41" i="3" s="1"/>
  <c r="DD43" i="3"/>
  <c r="BM43" i="3" s="1"/>
  <c r="DD32" i="3"/>
  <c r="BM32" i="3" s="1"/>
  <c r="DD45" i="3"/>
  <c r="BM45" i="3" s="1"/>
  <c r="DD19" i="3"/>
  <c r="BM19" i="3" s="1"/>
  <c r="DD16" i="3"/>
  <c r="BM16" i="3" s="1"/>
  <c r="DD23" i="3"/>
  <c r="BM23" i="3" s="1"/>
  <c r="DD37" i="3"/>
  <c r="BM37" i="3" s="1"/>
  <c r="DD17" i="3"/>
  <c r="BM17" i="3" s="1"/>
  <c r="DD28" i="3"/>
  <c r="BM28" i="3" s="1"/>
  <c r="DD35" i="3"/>
  <c r="BM35" i="3" s="1"/>
  <c r="DD44" i="3"/>
  <c r="BM44" i="3" s="1"/>
  <c r="DD8" i="3"/>
  <c r="BM8" i="3" s="1"/>
  <c r="DD9" i="3"/>
  <c r="BM9" i="3" s="1"/>
  <c r="DD12" i="3"/>
  <c r="BM12" i="3" s="1"/>
  <c r="DD53" i="3"/>
  <c r="BM53" i="3" s="1"/>
  <c r="DD48" i="3"/>
  <c r="BM48" i="3" s="1"/>
  <c r="DD33" i="3"/>
  <c r="BM33" i="3" s="1"/>
  <c r="DD36" i="3"/>
  <c r="BM36" i="3" s="1"/>
  <c r="DD21" i="3"/>
  <c r="BM21" i="3" s="1"/>
  <c r="DD34" i="3"/>
  <c r="BM34" i="3" s="1"/>
  <c r="DD18" i="3"/>
  <c r="BM18" i="3" s="1"/>
  <c r="DD42" i="3"/>
  <c r="BM42" i="3" s="1"/>
  <c r="DD38" i="3"/>
  <c r="BM38" i="3" s="1"/>
  <c r="DD20" i="3"/>
  <c r="BM20" i="3" s="1"/>
  <c r="DD15" i="3"/>
  <c r="BM15" i="3" s="1"/>
  <c r="DD24" i="3"/>
  <c r="BM24" i="3" s="1"/>
  <c r="DD29" i="3"/>
  <c r="BM29" i="3" s="1"/>
  <c r="DD39" i="3"/>
  <c r="BM39" i="3" s="1"/>
  <c r="DD6" i="3"/>
  <c r="BM6" i="3" s="1"/>
  <c r="DD51" i="3"/>
  <c r="BM51" i="3" s="1"/>
  <c r="AV72" i="3" l="1"/>
  <c r="AV81" i="3"/>
  <c r="AV62" i="3"/>
  <c r="AV63" i="3"/>
  <c r="DQ44" i="3"/>
  <c r="DJ44" i="3" s="1"/>
  <c r="AV24" i="3"/>
  <c r="AV30" i="3"/>
  <c r="DQ43" i="3"/>
  <c r="DJ43" i="3" s="1"/>
  <c r="DQ47" i="3"/>
  <c r="DJ47" i="3" s="1"/>
  <c r="AV57" i="3"/>
  <c r="AV73" i="3"/>
  <c r="AV71" i="3"/>
  <c r="DQ40" i="3"/>
  <c r="DJ40" i="3" s="1"/>
  <c r="DQ41" i="3"/>
  <c r="DJ41" i="3" s="1"/>
  <c r="DQ17" i="3"/>
  <c r="DJ17" i="3" s="1"/>
  <c r="DQ51" i="3"/>
  <c r="DJ51" i="3" s="1"/>
  <c r="AV97" i="3"/>
  <c r="AV31" i="3"/>
  <c r="DQ31" i="3"/>
  <c r="DJ31" i="3" s="1"/>
  <c r="AV38" i="3"/>
  <c r="DQ22" i="3"/>
  <c r="DJ22" i="3" s="1"/>
  <c r="AV32" i="3"/>
  <c r="DQ48" i="3"/>
  <c r="DJ48" i="3" s="1"/>
  <c r="DQ53" i="3"/>
  <c r="DJ53" i="3" s="1"/>
  <c r="DQ27" i="3"/>
  <c r="DJ27" i="3" s="1"/>
  <c r="AV46" i="3"/>
  <c r="AV80" i="3"/>
  <c r="DQ24" i="3"/>
  <c r="DJ24" i="3" s="1"/>
  <c r="DQ15" i="3"/>
  <c r="DJ15" i="3" s="1"/>
  <c r="DQ35" i="3"/>
  <c r="DJ35" i="3" s="1"/>
  <c r="AV55" i="3"/>
  <c r="DQ25" i="3"/>
  <c r="DJ25" i="3" s="1"/>
  <c r="AV49" i="3"/>
  <c r="AV23" i="3"/>
  <c r="AV65" i="3"/>
  <c r="DQ50" i="3"/>
  <c r="DJ50" i="3" s="1"/>
  <c r="DQ16" i="3"/>
  <c r="DJ16" i="3" s="1"/>
  <c r="AV25" i="3"/>
  <c r="DQ46" i="3"/>
  <c r="DJ46" i="3" s="1"/>
  <c r="DQ39" i="3"/>
  <c r="DJ39" i="3" s="1"/>
  <c r="AV17" i="3"/>
  <c r="AV22" i="3"/>
  <c r="AV7" i="3"/>
  <c r="AV6" i="3"/>
  <c r="AV39" i="3"/>
  <c r="AV8" i="3"/>
  <c r="DQ38" i="3"/>
  <c r="DJ38" i="3" s="1"/>
  <c r="AV86" i="3"/>
  <c r="DQ30" i="3"/>
  <c r="DJ30" i="3" s="1"/>
  <c r="AV56" i="3"/>
  <c r="AV15" i="3"/>
  <c r="AV54" i="3"/>
  <c r="DQ18" i="3"/>
  <c r="DJ18" i="3" s="1"/>
  <c r="DQ8" i="3"/>
  <c r="DJ8" i="3" s="1"/>
  <c r="AV33" i="3"/>
  <c r="AV14" i="3"/>
  <c r="DQ34" i="3"/>
  <c r="DJ34" i="3" s="1"/>
  <c r="AV79" i="3"/>
  <c r="DQ14" i="3"/>
  <c r="DJ14" i="3" s="1"/>
  <c r="AV96" i="3"/>
  <c r="AV41" i="3"/>
  <c r="AV89" i="3"/>
  <c r="AV9" i="3"/>
  <c r="AV70" i="3"/>
  <c r="DQ19" i="3"/>
  <c r="DJ19" i="3" s="1"/>
  <c r="DQ52" i="3"/>
  <c r="DJ52" i="3" s="1"/>
  <c r="AV48" i="3"/>
  <c r="DQ37" i="3"/>
  <c r="DJ37" i="3" s="1"/>
  <c r="DQ36" i="3"/>
  <c r="DJ36" i="3" s="1"/>
  <c r="DQ20" i="3"/>
  <c r="DJ20" i="3" s="1"/>
  <c r="DQ49" i="3"/>
  <c r="DJ49" i="3" s="1"/>
  <c r="AV47" i="3"/>
  <c r="DQ32" i="3"/>
  <c r="DJ32" i="3" s="1"/>
  <c r="AV95" i="3"/>
  <c r="DQ33" i="3"/>
  <c r="DJ33" i="3" s="1"/>
  <c r="AV78" i="3"/>
  <c r="DQ7" i="3"/>
  <c r="DJ7" i="3" s="1"/>
  <c r="DQ13" i="3"/>
  <c r="DJ13" i="3" s="1"/>
  <c r="DQ10" i="3"/>
  <c r="DJ10" i="3" s="1"/>
  <c r="DQ29" i="3"/>
  <c r="DJ29" i="3" s="1"/>
  <c r="AV16" i="3"/>
  <c r="AV64" i="3"/>
  <c r="DQ21" i="3"/>
  <c r="DJ21" i="3" s="1"/>
  <c r="DQ28" i="3"/>
  <c r="DJ28" i="3" s="1"/>
  <c r="AV87" i="3"/>
  <c r="AV88" i="3"/>
  <c r="AV40" i="3"/>
  <c r="DQ9" i="3"/>
  <c r="DJ9" i="3" s="1"/>
  <c r="DQ6" i="3"/>
  <c r="DJ6" i="3" s="1"/>
  <c r="DQ23" i="3"/>
  <c r="DJ23" i="3" s="1"/>
  <c r="DQ45" i="3"/>
  <c r="DJ45" i="3" s="1"/>
  <c r="DQ42" i="3"/>
  <c r="DJ42" i="3" s="1"/>
  <c r="DQ11" i="3"/>
  <c r="DJ11" i="3" s="1"/>
  <c r="AV94" i="3"/>
  <c r="DQ26" i="3"/>
  <c r="DJ26" i="3" s="1"/>
  <c r="DQ12" i="3"/>
  <c r="DJ12" i="3" s="1"/>
  <c r="DF7" i="3" l="1"/>
  <c r="DL29" i="3"/>
  <c r="DN29" i="3" s="1" a="1"/>
  <c r="DN29" i="3" s="1"/>
  <c r="DF8" i="3"/>
  <c r="DL44" i="3"/>
  <c r="AU80" i="3" s="1"/>
  <c r="DL19" i="3"/>
  <c r="AU31" i="3" s="1"/>
  <c r="DL31" i="3"/>
  <c r="AU55" i="3" s="1"/>
  <c r="DL9" i="3"/>
  <c r="AU9" i="3" s="1"/>
  <c r="DL26" i="3"/>
  <c r="AU46" i="3" s="1"/>
  <c r="DL38" i="3"/>
  <c r="AU70" i="3" s="1"/>
  <c r="DL46" i="3"/>
  <c r="AU86" i="3" s="1"/>
  <c r="DL17" i="3"/>
  <c r="AU25" i="3" s="1"/>
  <c r="DL42" i="3"/>
  <c r="AU78" i="3" s="1"/>
  <c r="DL41" i="3"/>
  <c r="DL16" i="3"/>
  <c r="AU24" i="3" s="1"/>
  <c r="DL34" i="3"/>
  <c r="AU62" i="3" s="1"/>
  <c r="DL20" i="3"/>
  <c r="DN20" i="3" s="1" a="1"/>
  <c r="DN20" i="3" s="1"/>
  <c r="DL43" i="3"/>
  <c r="AU79" i="3" s="1"/>
  <c r="DL23" i="3"/>
  <c r="AU39" i="3" s="1"/>
  <c r="DL24" i="3"/>
  <c r="AU40" i="3" s="1"/>
  <c r="DL12" i="3"/>
  <c r="AU16" i="3" s="1"/>
  <c r="DL47" i="3"/>
  <c r="AU87" i="3" s="1"/>
  <c r="DL36" i="3"/>
  <c r="AU64" i="3" s="1"/>
  <c r="DL53" i="3"/>
  <c r="AU97" i="3" s="1"/>
  <c r="DL35" i="3"/>
  <c r="AU63" i="3" s="1"/>
  <c r="DL15" i="3"/>
  <c r="AU23" i="3" s="1"/>
  <c r="DL48" i="3"/>
  <c r="AU88" i="3" s="1"/>
  <c r="DL39" i="3"/>
  <c r="AU71" i="3" s="1"/>
  <c r="DL28" i="3"/>
  <c r="AU48" i="3" s="1"/>
  <c r="DL37" i="3"/>
  <c r="AU65" i="3" s="1"/>
  <c r="DL22" i="3"/>
  <c r="AU38" i="3" s="1"/>
  <c r="DL18" i="3"/>
  <c r="AU30" i="3" s="1"/>
  <c r="DL49" i="3"/>
  <c r="AU89" i="3" s="1"/>
  <c r="DL33" i="3"/>
  <c r="DN33" i="3" s="1" a="1"/>
  <c r="DN33" i="3" s="1"/>
  <c r="DL51" i="3"/>
  <c r="AU95" i="3" s="1"/>
  <c r="DL45" i="3"/>
  <c r="DN45" i="3" s="1" a="1"/>
  <c r="DN45" i="3" s="1"/>
  <c r="DL14" i="3"/>
  <c r="DM14" i="3" s="1"/>
  <c r="DL52" i="3"/>
  <c r="AU96" i="3" s="1"/>
  <c r="DL21" i="3"/>
  <c r="AU33" i="3" s="1"/>
  <c r="DL6" i="3"/>
  <c r="AU6" i="3" s="1"/>
  <c r="DL10" i="3"/>
  <c r="AU14" i="3" s="1"/>
  <c r="DL11" i="3"/>
  <c r="DM11" i="3" s="1"/>
  <c r="DL40" i="3"/>
  <c r="AU72" i="3" s="1"/>
  <c r="DL8" i="3"/>
  <c r="AU8" i="3" s="1"/>
  <c r="DL13" i="3"/>
  <c r="AU17" i="3" s="1"/>
  <c r="DL25" i="3"/>
  <c r="AU41" i="3" s="1"/>
  <c r="DL7" i="3"/>
  <c r="DN7" i="3" s="1" a="1"/>
  <c r="DN7" i="3" s="1"/>
  <c r="DL50" i="3"/>
  <c r="DN50" i="3" s="1" a="1"/>
  <c r="DN50" i="3" s="1"/>
  <c r="DL27" i="3"/>
  <c r="AU47" i="3" s="1"/>
  <c r="DL30" i="3"/>
  <c r="AU54" i="3" s="1"/>
  <c r="DL32" i="3"/>
  <c r="AU56" i="3" s="1"/>
  <c r="DN19" i="3" a="1"/>
  <c r="DN19" i="3" s="1"/>
  <c r="DM19" i="3"/>
  <c r="DN17" i="3" a="1"/>
  <c r="DN17" i="3" s="1"/>
  <c r="DM17" i="3"/>
  <c r="DM42" i="3"/>
  <c r="DN38" i="3" a="1"/>
  <c r="DN38" i="3" s="1"/>
  <c r="DN47" i="3" a="1"/>
  <c r="DN47" i="3" s="1"/>
  <c r="DM44" i="3"/>
  <c r="AU49" i="3"/>
  <c r="AU81" i="3"/>
  <c r="DN44" i="3" a="1"/>
  <c r="DN44" i="3" s="1"/>
  <c r="DM47" i="3"/>
  <c r="AU73" i="3"/>
  <c r="DM41" i="3"/>
  <c r="DN41" i="3" a="1"/>
  <c r="DN41" i="3" s="1"/>
  <c r="DM29" i="3" l="1"/>
  <c r="DM45" i="3"/>
  <c r="DM37" i="3"/>
  <c r="DN36" i="3" a="1"/>
  <c r="DN36" i="3" s="1"/>
  <c r="DM31" i="3"/>
  <c r="DN31" i="3" a="1"/>
  <c r="DN31" i="3" s="1"/>
  <c r="DM9" i="3"/>
  <c r="DM43" i="3"/>
  <c r="DN37" i="3" a="1"/>
  <c r="DN37" i="3" s="1"/>
  <c r="AU32" i="3"/>
  <c r="AU29" i="3" s="1"/>
  <c r="AV28" i="3" s="1"/>
  <c r="DN53" i="3" a="1"/>
  <c r="DN53" i="3" s="1"/>
  <c r="DN34" i="3" a="1"/>
  <c r="DN34" i="3" s="1"/>
  <c r="DM52" i="3"/>
  <c r="DM18" i="3"/>
  <c r="DM34" i="3"/>
  <c r="DN9" i="3" a="1"/>
  <c r="DN9" i="3" s="1"/>
  <c r="DM53" i="3"/>
  <c r="DN18" i="3" a="1"/>
  <c r="DN18" i="3" s="1"/>
  <c r="DN22" i="3" a="1"/>
  <c r="DN22" i="3" s="1"/>
  <c r="DN26" i="3" a="1"/>
  <c r="DN26" i="3" s="1"/>
  <c r="DM26" i="3"/>
  <c r="DN35" i="3" a="1"/>
  <c r="DN35" i="3" s="1"/>
  <c r="DM25" i="3"/>
  <c r="DN43" i="3" a="1"/>
  <c r="DN43" i="3" s="1"/>
  <c r="AU94" i="3"/>
  <c r="AU93" i="3" s="1"/>
  <c r="AV92" i="3" s="1"/>
  <c r="DN6" i="3" a="1"/>
  <c r="DN6" i="3" s="1"/>
  <c r="AU15" i="3"/>
  <c r="AU13" i="3" s="1"/>
  <c r="AV12" i="3" s="1"/>
  <c r="DF10" i="3" s="1"/>
  <c r="DN11" i="3" a="1"/>
  <c r="DN11" i="3" s="1"/>
  <c r="DN15" i="3" a="1"/>
  <c r="DN15" i="3" s="1"/>
  <c r="DM30" i="3"/>
  <c r="DM15" i="3"/>
  <c r="DM38" i="3"/>
  <c r="DM49" i="3"/>
  <c r="DN49" i="3" a="1"/>
  <c r="DN49" i="3" s="1"/>
  <c r="DM20" i="3"/>
  <c r="DM35" i="3"/>
  <c r="DM50" i="3"/>
  <c r="DM23" i="3"/>
  <c r="DM6" i="3"/>
  <c r="DM46" i="3"/>
  <c r="DN25" i="3" a="1"/>
  <c r="DN25" i="3" s="1"/>
  <c r="AU85" i="3"/>
  <c r="AV84" i="3" s="1"/>
  <c r="DN48" i="3" a="1"/>
  <c r="DN48" i="3" s="1"/>
  <c r="DM48" i="3"/>
  <c r="DN23" i="3" a="1"/>
  <c r="DN23" i="3" s="1"/>
  <c r="AU61" i="3"/>
  <c r="AV60" i="3" s="1"/>
  <c r="DN40" i="3" a="1"/>
  <c r="DN40" i="3" s="1"/>
  <c r="DN51" i="3" a="1"/>
  <c r="DN51" i="3" s="1"/>
  <c r="DN46" i="3" a="1"/>
  <c r="DN46" i="3" s="1"/>
  <c r="DM51" i="3"/>
  <c r="AU77" i="3"/>
  <c r="AV76" i="3" s="1"/>
  <c r="DN28" i="3" a="1"/>
  <c r="DN28" i="3" s="1"/>
  <c r="DM12" i="3"/>
  <c r="DN42" i="3" a="1"/>
  <c r="DN42" i="3" s="1"/>
  <c r="DN12" i="3" a="1"/>
  <c r="DN12" i="3" s="1"/>
  <c r="DM28" i="3"/>
  <c r="DM40" i="3"/>
  <c r="DN30" i="3" a="1"/>
  <c r="DN30" i="3" s="1"/>
  <c r="DN16" i="3" a="1"/>
  <c r="DN16" i="3" s="1"/>
  <c r="AU37" i="3"/>
  <c r="AV36" i="3" s="1"/>
  <c r="AU7" i="3"/>
  <c r="AU5" i="3" s="1"/>
  <c r="AV4" i="3" s="1"/>
  <c r="DN21" i="3" a="1"/>
  <c r="DN21" i="3" s="1"/>
  <c r="DM16" i="3"/>
  <c r="DM21" i="3"/>
  <c r="DM36" i="3"/>
  <c r="DM22" i="3"/>
  <c r="DM39" i="3"/>
  <c r="DM27" i="3"/>
  <c r="DN8" i="3" a="1"/>
  <c r="DN8" i="3" s="1"/>
  <c r="DN24" i="3" a="1"/>
  <c r="DN24" i="3" s="1"/>
  <c r="DM24" i="3"/>
  <c r="DM10" i="3"/>
  <c r="DN39" i="3" a="1"/>
  <c r="DN39" i="3" s="1"/>
  <c r="AU69" i="3"/>
  <c r="AV68" i="3" s="1"/>
  <c r="DN10" i="3" a="1"/>
  <c r="DN10" i="3" s="1"/>
  <c r="DN52" i="3" a="1"/>
  <c r="DN52" i="3" s="1"/>
  <c r="DN32" i="3" a="1"/>
  <c r="DN32" i="3" s="1"/>
  <c r="DM8" i="3"/>
  <c r="DN27" i="3" a="1"/>
  <c r="DN27" i="3" s="1"/>
  <c r="DN13" i="3" a="1"/>
  <c r="DN13" i="3" s="1"/>
  <c r="DM13" i="3"/>
  <c r="DM7" i="3"/>
  <c r="DN14" i="3" a="1"/>
  <c r="DN14" i="3" s="1"/>
  <c r="DM32" i="3"/>
  <c r="AU57" i="3"/>
  <c r="AU53" i="3" s="1"/>
  <c r="AV52" i="3" s="1"/>
  <c r="DM33" i="3"/>
  <c r="AU22" i="3"/>
  <c r="AU21" i="3" s="1"/>
  <c r="AV20" i="3" s="1"/>
  <c r="DF9" i="3"/>
  <c r="AU45" i="3"/>
  <c r="AV44" i="3" s="1"/>
  <c r="DF22" i="3" l="1"/>
  <c r="DF16" i="3"/>
  <c r="DF12" i="3"/>
  <c r="DF14" i="3"/>
  <c r="DF19" i="3"/>
  <c r="DF23" i="3"/>
  <c r="DF25" i="3"/>
  <c r="DF18" i="3"/>
  <c r="DF21" i="3"/>
  <c r="DF24" i="3"/>
  <c r="DF37"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AG114"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N126" i="3" l="1"/>
  <c r="AF126" i="3" s="1"/>
  <c r="C206" i="31" s="1"/>
  <c r="D127" i="3"/>
  <c r="N134" i="3" s="1"/>
  <c r="AF134" i="3" s="1"/>
  <c r="D124" i="3"/>
  <c r="M132" i="3" s="1"/>
  <c r="AA132" i="3" s="1"/>
  <c r="D132" i="3" s="1"/>
  <c r="D121" i="3"/>
  <c r="M131" i="3" s="1"/>
  <c r="AA131" i="3" s="1"/>
  <c r="D131" i="3" s="1"/>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197" i="31"/>
  <c r="AE47" i="45"/>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196" i="31" l="1"/>
  <c r="AE41" i="45"/>
  <c r="AG127" i="3"/>
  <c r="AG124" i="3"/>
  <c r="AG121" i="3"/>
  <c r="D120"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D138" i="3"/>
  <c r="AA147" i="3"/>
  <c r="AM38" i="45" a="1"/>
  <c r="AM38" i="45" s="1"/>
  <c r="C229" i="31"/>
  <c r="C228" i="31"/>
  <c r="AM14" i="45"/>
  <c r="AM13" i="45"/>
  <c r="B232" i="31"/>
  <c r="C226" i="31"/>
  <c r="C232" i="31"/>
  <c r="AI8" i="45" l="1"/>
  <c r="C220" i="31"/>
  <c r="B220" i="31"/>
  <c r="C214"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AJ151" i="3"/>
  <c r="AJ155" i="3"/>
  <c r="B222" i="31"/>
  <c r="C222" i="31"/>
  <c r="AI32" i="45"/>
  <c r="C216" i="31"/>
  <c r="AF143" i="3" l="1"/>
  <c r="C227" i="31"/>
  <c r="H139" i="3"/>
  <c r="AM37" i="45"/>
  <c r="C233" i="31"/>
  <c r="B233" i="31"/>
  <c r="BL51" i="45" l="1"/>
  <c r="BK51" i="45" s="1"/>
  <c r="BJ51" i="45" s="1"/>
  <c r="BI51" i="45" s="1"/>
  <c r="BH51" i="45" s="1"/>
  <c r="BL13" i="45"/>
  <c r="BK13" i="45" s="1"/>
  <c r="BJ13" i="45" s="1"/>
  <c r="BI13" i="45" s="1"/>
  <c r="BH13" i="45" s="1"/>
  <c r="BL44" i="45"/>
  <c r="BK44" i="45" s="1"/>
  <c r="BJ44" i="45" s="1"/>
  <c r="BI44" i="45" s="1"/>
  <c r="BH44" i="45" s="1"/>
  <c r="BL40" i="45"/>
  <c r="BK40" i="45" s="1"/>
  <c r="BJ40" i="45" s="1"/>
  <c r="BI40" i="45" s="1"/>
  <c r="BH40" i="45" s="1"/>
  <c r="BL24" i="45"/>
  <c r="BK24" i="45" s="1"/>
  <c r="BJ24" i="45" s="1"/>
  <c r="BI24" i="45" s="1"/>
  <c r="BH24" i="45" s="1"/>
  <c r="BL11" i="45"/>
  <c r="BK11" i="45" s="1"/>
  <c r="BJ11" i="45" s="1"/>
  <c r="BI11" i="45" s="1"/>
  <c r="BH11" i="45" s="1"/>
  <c r="BL23" i="45"/>
  <c r="BK23" i="45" s="1"/>
  <c r="BJ23" i="45" s="1"/>
  <c r="BI23" i="45" s="1"/>
  <c r="BH23" i="45" s="1"/>
  <c r="BL29" i="45"/>
  <c r="BK29" i="45" s="1"/>
  <c r="BJ29" i="45" s="1"/>
  <c r="BI29" i="45" s="1"/>
  <c r="BH29" i="45" s="1"/>
  <c r="BL4" i="45"/>
  <c r="BK4" i="45" s="1"/>
  <c r="BJ4" i="45" s="1"/>
  <c r="BI4" i="45" s="1"/>
  <c r="BH4" i="45" s="1"/>
  <c r="BL17" i="45"/>
  <c r="BK17" i="45" s="1"/>
  <c r="BJ17" i="45" s="1"/>
  <c r="BI17" i="45" s="1"/>
  <c r="BH17" i="45" s="1"/>
  <c r="BL36" i="45"/>
  <c r="BK36" i="45" s="1"/>
  <c r="BJ36" i="45" s="1"/>
  <c r="BI36" i="45" s="1"/>
  <c r="BH36" i="45" s="1"/>
  <c r="BL21" i="45"/>
  <c r="BK21" i="45" s="1"/>
  <c r="BJ21" i="45" s="1"/>
  <c r="BI21" i="45" s="1"/>
  <c r="BH21" i="45" s="1"/>
  <c r="BL43" i="45"/>
  <c r="BK43" i="45" s="1"/>
  <c r="BJ43" i="45" s="1"/>
  <c r="BI43" i="45" s="1"/>
  <c r="BH43" i="45" s="1"/>
  <c r="BL47" i="45"/>
  <c r="BK47" i="45" s="1"/>
  <c r="BJ47" i="45" s="1"/>
  <c r="BI47" i="45" s="1"/>
  <c r="BH47" i="45" s="1"/>
  <c r="BL5" i="45"/>
  <c r="BK5" i="45" s="1"/>
  <c r="BJ5" i="45" s="1"/>
  <c r="BI5" i="45" s="1"/>
  <c r="BH5" i="45" s="1"/>
  <c r="BL49" i="45"/>
  <c r="BK49" i="45" s="1"/>
  <c r="BJ49" i="45" s="1"/>
  <c r="BI49" i="45" s="1"/>
  <c r="BH49" i="45" s="1"/>
  <c r="BL12" i="45"/>
  <c r="BK12" i="45" s="1"/>
  <c r="BJ12" i="45" s="1"/>
  <c r="BI12" i="45" s="1"/>
  <c r="BH12" i="45" s="1"/>
  <c r="BL30" i="45"/>
  <c r="BK30" i="45" s="1"/>
  <c r="BJ30" i="45" s="1"/>
  <c r="BI30" i="45" s="1"/>
  <c r="BH30" i="45" s="1"/>
  <c r="BL6" i="45"/>
  <c r="BK6" i="45" s="1"/>
  <c r="BJ6" i="45" s="1"/>
  <c r="BI6" i="45" s="1"/>
  <c r="BH6" i="45" s="1"/>
  <c r="BL19" i="45"/>
  <c r="BK19" i="45" s="1"/>
  <c r="BJ19" i="45" s="1"/>
  <c r="BI19" i="45" s="1"/>
  <c r="BH19" i="45" s="1"/>
  <c r="BL28" i="45"/>
  <c r="BK28" i="45" s="1"/>
  <c r="BJ28" i="45" s="1"/>
  <c r="BI28" i="45" s="1"/>
  <c r="BH28" i="45" s="1"/>
  <c r="BL16" i="45"/>
  <c r="BK16" i="45" s="1"/>
  <c r="BJ16" i="45" s="1"/>
  <c r="BI16" i="45" s="1"/>
  <c r="BH16" i="45" s="1"/>
  <c r="BL7" i="45"/>
  <c r="BK7" i="45" s="1"/>
  <c r="BJ7" i="45" s="1"/>
  <c r="BI7" i="45" s="1"/>
  <c r="BH7" i="45" s="1"/>
  <c r="BL27" i="45"/>
  <c r="BK27" i="45" s="1"/>
  <c r="BJ27" i="45" s="1"/>
  <c r="BI27" i="45" s="1"/>
  <c r="BH27" i="45" s="1"/>
  <c r="BL38" i="45"/>
  <c r="BK38" i="45" s="1"/>
  <c r="BJ38" i="45" s="1"/>
  <c r="BI38" i="45" s="1"/>
  <c r="BH38" i="45" s="1"/>
  <c r="BL14" i="45"/>
  <c r="BK14" i="45" s="1"/>
  <c r="BJ14" i="45" s="1"/>
  <c r="BI14" i="45" s="1"/>
  <c r="BH14" i="45" s="1"/>
  <c r="BL35" i="45"/>
  <c r="BK35" i="45" s="1"/>
  <c r="BJ35" i="45" s="1"/>
  <c r="BI35" i="45" s="1"/>
  <c r="BH35" i="45" s="1"/>
  <c r="BL34" i="45"/>
  <c r="BK34" i="45" s="1"/>
  <c r="BJ34" i="45" s="1"/>
  <c r="BI34" i="45" s="1"/>
  <c r="BH34" i="45" s="1"/>
  <c r="BL41" i="45"/>
  <c r="BK41" i="45" s="1"/>
  <c r="BJ41" i="45" s="1"/>
  <c r="BI41" i="45" s="1"/>
  <c r="BH41" i="45" s="1"/>
  <c r="BL42" i="45"/>
  <c r="BK42" i="45" s="1"/>
  <c r="BJ42" i="45" s="1"/>
  <c r="BI42" i="45" s="1"/>
  <c r="BH42" i="45" s="1"/>
  <c r="BL8" i="45"/>
  <c r="BK8" i="45" s="1"/>
  <c r="BJ8" i="45" s="1"/>
  <c r="BI8" i="45" s="1"/>
  <c r="BH8" i="45" s="1"/>
  <c r="BL32" i="45"/>
  <c r="BK32" i="45" s="1"/>
  <c r="BJ32" i="45" s="1"/>
  <c r="BI32" i="45" s="1"/>
  <c r="BH32" i="45" s="1"/>
  <c r="BL18" i="45"/>
  <c r="BK18" i="45" s="1"/>
  <c r="BJ18" i="45" s="1"/>
  <c r="BI18" i="45" s="1"/>
  <c r="BH18" i="45" s="1"/>
  <c r="BL22" i="45"/>
  <c r="BK22" i="45" s="1"/>
  <c r="BJ22" i="45" s="1"/>
  <c r="BI22" i="45" s="1"/>
  <c r="BH22" i="45" s="1"/>
  <c r="BL20" i="45"/>
  <c r="BK20" i="45" s="1"/>
  <c r="BJ20" i="45" s="1"/>
  <c r="BI20" i="45" s="1"/>
  <c r="BH20" i="45" s="1"/>
  <c r="BL50" i="45"/>
  <c r="BK50" i="45" s="1"/>
  <c r="BJ50" i="45" s="1"/>
  <c r="BI50" i="45" s="1"/>
  <c r="BH50" i="45" s="1"/>
  <c r="BL26" i="45"/>
  <c r="BK26" i="45" s="1"/>
  <c r="BJ26" i="45" s="1"/>
  <c r="BI26" i="45" s="1"/>
  <c r="BH26" i="45" s="1"/>
  <c r="BL25" i="45"/>
  <c r="BK25" i="45" s="1"/>
  <c r="BJ25" i="45" s="1"/>
  <c r="BI25" i="45" s="1"/>
  <c r="BH25" i="45" s="1"/>
  <c r="BL45" i="45"/>
  <c r="BK45" i="45" s="1"/>
  <c r="BJ45" i="45" s="1"/>
  <c r="BI45" i="45" s="1"/>
  <c r="BH45" i="45" s="1"/>
  <c r="BL33" i="45"/>
  <c r="BK33" i="45" s="1"/>
  <c r="BJ33" i="45" s="1"/>
  <c r="BI33" i="45" s="1"/>
  <c r="BH33" i="45" s="1"/>
  <c r="BL31" i="45"/>
  <c r="BK31" i="45" s="1"/>
  <c r="BJ31" i="45" s="1"/>
  <c r="BI31" i="45" s="1"/>
  <c r="BH31" i="45" s="1"/>
  <c r="BL9" i="45"/>
  <c r="BK9" i="45" s="1"/>
  <c r="BJ9" i="45" s="1"/>
  <c r="BI9" i="45" s="1"/>
  <c r="BH9" i="45" s="1"/>
  <c r="BL15" i="45"/>
  <c r="BK15" i="45" s="1"/>
  <c r="BJ15" i="45" s="1"/>
  <c r="BI15" i="45" s="1"/>
  <c r="BH15" i="45" s="1"/>
  <c r="BL37" i="45"/>
  <c r="BK37" i="45" s="1"/>
  <c r="BJ37" i="45" s="1"/>
  <c r="BI37" i="45" s="1"/>
  <c r="BH37" i="45" s="1"/>
  <c r="BL46" i="45"/>
  <c r="BK46" i="45" s="1"/>
  <c r="BJ46" i="45" s="1"/>
  <c r="BI46" i="45" s="1"/>
  <c r="BH46" i="45" s="1"/>
  <c r="BL39" i="45"/>
  <c r="BK39" i="45" s="1"/>
  <c r="BJ39" i="45" s="1"/>
  <c r="BI39" i="45" s="1"/>
  <c r="BH39" i="45" s="1"/>
  <c r="BL10" i="45"/>
  <c r="BK10" i="45" s="1"/>
  <c r="BJ10" i="45" s="1"/>
  <c r="BI10" i="45" s="1"/>
  <c r="BH10" i="45" s="1"/>
  <c r="BL48" i="45"/>
  <c r="BK48" i="45" s="1"/>
  <c r="BJ48" i="45" s="1"/>
  <c r="BI48" i="45" s="1"/>
  <c r="BH48" i="45" s="1"/>
  <c r="B244" i="31"/>
  <c r="C244" i="31"/>
  <c r="C237" i="31"/>
  <c r="AQ32"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<sst xmlns="http://schemas.openxmlformats.org/spreadsheetml/2006/main" count="6764" uniqueCount="1521">
  <si>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</si>
  <si>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</si>
  <si>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</si>
  <si>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</si>
  <si>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</si>
  <si>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</si>
  <si>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</si>
  <si>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</si>
  <si>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</si>
  <si>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</si>
  <si>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</si>
  <si>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</si>
  <si>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</si>
  <si>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</si>
  <si>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</si>
  <si>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</si>
  <si>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</si>
  <si>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</si>
  <si>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</si>
  <si>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</si>
  <si>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</si>
  <si>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</si>
  <si>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</si>
  <si>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</si>
  <si>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</si>
  <si>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</si>
  <si>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</si>
  <si>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</si>
  <si>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</si>
  <si>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</si>
  <si>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</si>
  <si>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</si>
  <si>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</si>
  <si>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</si>
  <si>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</si>
  <si>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</si>
  <si>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</si>
  <si>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</si>
  <si>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</si>
  <si>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</si>
  <si>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</si>
  <si>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</si>
  <si>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</si>
  <si>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</si>
  <si>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</si>
  <si>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</si>
  <si>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</si>
  <si>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</si>
  <si>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</si>
  <si>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</si>
  <si>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</si>
  <si>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</si>
  <si>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</si>
  <si>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</si>
  <si>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</si>
  <si>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</si>
  <si>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</si>
  <si>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</si>
  <si>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</si>
  <si>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</si>
  <si>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</si>
  <si>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</si>
  <si>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</si>
  <si>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</si>
  <si>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</si>
  <si>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</si>
  <si>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</si>
  <si>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</si>
  <si>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</si>
  <si>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</si>
  <si>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</si>
  <si>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</si>
  <si>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</si>
  <si>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</si>
  <si>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</si>
  <si>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</si>
  <si>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</si>
  <si>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</si>
  <si>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</si>
  <si>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</si>
  <si>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</si>
  <si>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</si>
  <si>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</si>
  <si>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</si>
  <si>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</si>
  <si>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</si>
  <si>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</si>
  <si>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</si>
  <si>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</si>
  <si>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</si>
  <si>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</si>
  <si>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</si>
  <si>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</si>
  <si>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</si>
  <si>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</si>
  <si>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</si>
  <si>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</si>
  <si>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</si>
  <si>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</si>
  <si>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</si>
  <si>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</si>
  <si>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</si>
  <si>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</si>
  <si>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</si>
  <si>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</si>
  <si>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</si>
  <si>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</si>
  <si>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</si>
  <si>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</si>
  <si>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</si>
  <si>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</si>
  <si>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</si>
  <si>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</si>
  <si>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</si>
  <si>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</si>
  <si>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</si>
  <si>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</si>
  <si>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</si>
  <si>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</si>
  <si>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</si>
  <si>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</si>
  <si>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</si>
  <si>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</si>
  <si>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</si>
  <si>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</si>
  <si>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</si>
  <si>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</si>
  <si>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</si>
  <si>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</si>
  <si>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</si>
  <si>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</si>
  <si>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</si>
  <si>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</si>
  <si>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</si>
  <si>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</si>
  <si>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</si>
  <si>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</si>
  <si>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</si>
  <si>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</si>
  <si>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</si>
  <si>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</si>
  <si>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</si>
  <si>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</si>
  <si>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</si>
  <si>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</si>
  <si>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</si>
  <si>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</si>
  <si>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</si>
  <si>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</si>
  <si>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</si>
  <si>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</si>
  <si>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</si>
  <si>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</si>
  <si>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</si>
  <si>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</si>
  <si>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</si>
  <si>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</si>
  <si>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</si>
  <si>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</si>
  <si>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</si>
  <si>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</si>
  <si>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</si>
  <si>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</si>
  <si>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</si>
  <si>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</si>
  <si>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</si>
  <si>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</si>
  <si>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</si>
  <si>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</si>
  <si>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</si>
  <si>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</si>
  <si>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</si>
  <si>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</si>
  <si>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</si>
  <si>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</si>
  <si>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</si>
  <si>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</si>
  <si>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</si>
  <si>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</si>
  <si>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</si>
  <si>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</si>
  <si>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</si>
  <si>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</si>
  <si>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</si>
  <si>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</si>
  <si>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</si>
  <si>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</si>
  <si>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</si>
  <si>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</si>
  <si>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</si>
  <si>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</si>
  <si>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</si>
  <si>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</si>
  <si>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</si>
  <si>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</si>
  <si>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</si>
  <si>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</si>
  <si>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</si>
  <si>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</si>
  <si>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</si>
  <si>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</si>
  <si>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</si>
  <si>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</si>
  <si>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</si>
  <si>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</si>
  <si>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</si>
  <si>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</si>
  <si>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</si>
  <si>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</si>
  <si>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</si>
  <si>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</si>
  <si>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</si>
  <si>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</si>
  <si>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</si>
  <si>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</si>
  <si>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</si>
  <si>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</si>
  <si>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</si>
  <si>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</si>
  <si>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</si>
  <si>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</si>
  <si>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</si>
  <si>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</si>
  <si>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</si>
  <si>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</si>
  <si>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</si>
  <si>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</si>
  <si>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</si>
  <si>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</si>
  <si>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</si>
  <si>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</si>
  <si>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</si>
  <si>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</si>
  <si>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</si>
  <si>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</si>
  <si>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</si>
  <si>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</si>
  <si>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</si>
  <si>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</si>
  <si>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</si>
  <si>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</si>
  <si>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</si>
  <si>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</si>
  <si>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</si>
  <si>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</si>
  <si>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</si>
  <si>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</si>
  <si>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</si>
  <si>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</si>
  <si>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</si>
  <si>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</si>
  <si>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</si>
  <si>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</si>
  <si>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</si>
  <si>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</si>
  <si>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</si>
  <si>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</si>
  <si>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</si>
  <si>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</si>
  <si>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</si>
  <si>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</si>
  <si>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</si>
  <si>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</si>
  <si>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</si>
  <si>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</si>
  <si>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</si>
  <si>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</si>
  <si>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</si>
  <si>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</si>
  <si>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</si>
  <si>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</si>
  <si>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</si>
  <si>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</si>
  <si>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</si>
  <si>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</si>
  <si>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</si>
  <si>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</si>
  <si>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</si>
  <si>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</si>
  <si>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</si>
  <si>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</si>
  <si>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</si>
  <si>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</si>
  <si>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</si>
  <si>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</si>
  <si>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</si>
  <si>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</si>
  <si>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</si>
  <si>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</si>
  <si>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</si>
  <si>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</si>
  <si>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</si>
  <si>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</si>
  <si>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</si>
  <si>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</si>
  <si>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</si>
  <si>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</si>
  <si>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</si>
  <si>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</si>
  <si>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</si>
  <si>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</si>
  <si>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</si>
  <si>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</si>
  <si>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</si>
  <si>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</si>
  <si>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</si>
  <si>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</si>
  <si>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</si>
  <si>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</si>
  <si>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</si>
  <si>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</si>
  <si>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</si>
  <si>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</si>
  <si>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</si>
  <si>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</si>
  <si>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</si>
  <si>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</si>
  <si>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</si>
  <si>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</si>
  <si>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</si>
  <si>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</si>
  <si>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</si>
  <si>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</si>
  <si>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</si>
  <si>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</si>
  <si>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</si>
  <si>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</si>
  <si>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</si>
  <si>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</si>
  <si>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</si>
  <si>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</si>
  <si>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</si>
  <si>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</si>
  <si>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</si>
  <si>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</si>
  <si>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</si>
  <si>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</si>
  <si>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</si>
  <si>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</si>
  <si>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</si>
  <si>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</si>
  <si>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</si>
  <si>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</si>
  <si>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</si>
  <si>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</si>
  <si>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</si>
  <si>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</si>
  <si>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</si>
  <si>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</si>
  <si>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</si>
  <si>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</si>
  <si>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</si>
  <si>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</si>
  <si>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</si>
  <si>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</si>
  <si>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</si>
  <si>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</si>
  <si>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</si>
  <si>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</si>
  <si>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</si>
  <si>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</si>
  <si>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</si>
  <si>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</si>
  <si>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</si>
  <si>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</si>
  <si>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</si>
  <si>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</si>
  <si>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</si>
  <si>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</si>
  <si>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</si>
  <si>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</si>
  <si>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</si>
  <si>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</si>
  <si>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</si>
  <si>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</si>
  <si>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</si>
  <si>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</si>
  <si>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</si>
  <si>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</si>
  <si>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</si>
  <si>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</si>
  <si>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</si>
  <si>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</si>
  <si>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</si>
  <si>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</si>
  <si>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</si>
  <si>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</si>
  <si>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</si>
  <si>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</si>
  <si>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</si>
  <si>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</si>
  <si>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</si>
  <si>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</si>
  <si>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</si>
  <si>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</si>
  <si>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</si>
  <si>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</si>
  <si>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</si>
  <si>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</si>
  <si>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</si>
  <si>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</si>
  <si>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</si>
  <si>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</si>
  <si>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</si>
  <si>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</si>
  <si>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</si>
  <si>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</si>
  <si>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</si>
  <si>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</si>
  <si>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</si>
  <si>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</si>
  <si>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</si>
  <si>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</si>
  <si>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</si>
  <si>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</si>
  <si>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</si>
  <si>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</si>
  <si>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</si>
  <si>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</si>
  <si>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</si>
  <si>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</si>
  <si>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</si>
  <si>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</si>
  <si>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</si>
  <si>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</si>
  <si>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</si>
  <si>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</si>
  <si>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</si>
  <si>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</si>
  <si>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</si>
  <si>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</si>
  <si>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</si>
  <si>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</si>
  <si>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</si>
  <si>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</si>
  <si>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</si>
  <si>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</si>
  <si>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</si>
  <si>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</si>
  <si>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</si>
  <si>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</si>
  <si>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</si>
  <si>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</si>
  <si>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</si>
  <si>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</si>
  <si>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</si>
  <si>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</si>
  <si>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</si>
  <si>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</si>
  <si>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</si>
  <si>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</si>
  <si>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</si>
  <si>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</si>
  <si>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</si>
  <si>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</si>
  <si>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</si>
  <si>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</si>
  <si>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</si>
  <si>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</si>
  <si>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</si>
  <si>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</si>
  <si>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</si>
  <si>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</si>
  <si>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</si>
  <si>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</si>
  <si>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</si>
  <si>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</si>
  <si>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</si>
  <si>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</si>
  <si>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</si>
  <si>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</si>
  <si>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</si>
  <si>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</si>
  <si>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</si>
  <si>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</si>
  <si>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</si>
  <si>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</si>
  <si>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</si>
  <si>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</si>
  <si>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</si>
  <si>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</si>
  <si>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</si>
  <si>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</si>
  <si>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</si>
  <si>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</si>
  <si>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</si>
  <si>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</si>
  <si>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</si>
  <si>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</si>
  <si>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</si>
  <si>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</si>
  <si>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</si>
  <si>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</si>
  <si>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</si>
  <si>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</si>
  <si>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</si>
  <si>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</si>
  <si>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</si>
  <si>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</si>
  <si>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</si>
  <si>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</si>
  <si>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</si>
  <si>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</si>
  <si>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</si>
  <si>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</si>
  <si>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</si>
  <si>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</si>
  <si>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</si>
  <si>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</si>
  <si>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</si>
  <si>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</si>
  <si>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</si>
  <si>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</si>
  <si>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</si>
  <si>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</si>
  <si>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</si>
  <si>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</si>
  <si>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</si>
  <si>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</si>
  <si>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</si>
  <si>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</si>
  <si>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</si>
  <si>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</si>
  <si>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</si>
  <si>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</si>
  <si>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</si>
  <si>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</si>
  <si>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</si>
  <si>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</si>
  <si>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</si>
  <si>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</si>
  <si>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</si>
  <si>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</si>
  <si>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</si>
  <si>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</si>
  <si>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</si>
  <si>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</si>
  <si>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</si>
  <si>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</si>
  <si>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</si>
  <si>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</si>
  <si>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</si>
  <si>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</si>
  <si>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</si>
  <si>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</si>
  <si>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</si>
  <si>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</si>
  <si>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</si>
  <si>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</si>
  <si>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</si>
  <si>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</si>
  <si>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</si>
  <si>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</si>
  <si>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</si>
  <si>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</si>
  <si>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</si>
  <si>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</si>
  <si>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</si>
  <si>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</si>
  <si>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</si>
  <si>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</si>
  <si>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</si>
  <si>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</si>
  <si>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</si>
  <si>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</si>
  <si>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</si>
  <si>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</si>
  <si>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</si>
  <si>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</si>
  <si>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</si>
  <si>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</si>
  <si>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</si>
  <si>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</si>
  <si>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</si>
  <si>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</si>
  <si>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</si>
  <si>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</si>
  <si>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</si>
  <si>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</si>
  <si>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</si>
  <si>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</si>
  <si>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</si>
  <si>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</si>
  <si>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</si>
  <si>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</si>
  <si>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</si>
  <si>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</si>
  <si>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</si>
  <si>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</si>
  <si>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</si>
  <si>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</si>
  <si>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</si>
  <si>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</si>
  <si>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</si>
  <si>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</si>
  <si>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</si>
  <si>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</si>
  <si>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</si>
  <si>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</si>
  <si>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</si>
  <si>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</si>
  <si>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</si>
  <si>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</si>
  <si>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</si>
  <si>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</si>
  <si>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</si>
  <si>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</si>
  <si>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</si>
  <si>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</si>
  <si>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</si>
  <si>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</si>
  <si>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</si>
  <si>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</si>
  <si>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</si>
  <si>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</si>
  <si>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</si>
  <si>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</si>
  <si>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</si>
  <si>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</si>
  <si>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</si>
  <si>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</si>
  <si>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</si>
  <si>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</si>
  <si>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</si>
  <si>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</si>
  <si>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</si>
  <si>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</si>
  <si>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</si>
  <si>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</si>
  <si>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</si>
  <si>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</si>
  <si>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</si>
  <si>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</si>
  <si>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</si>
  <si>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</si>
  <si>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</si>
  <si>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</si>
  <si>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</si>
  <si>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</si>
  <si>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</si>
  <si>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</si>
  <si>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</si>
  <si>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</si>
  <si>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</si>
  <si>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</si>
  <si>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</si>
  <si>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</si>
  <si>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</si>
  <si>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</si>
  <si>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</si>
  <si>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</si>
  <si>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</si>
  <si>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</si>
  <si>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</si>
  <si>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</si>
  <si>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</si>
  <si>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</si>
  <si>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</si>
  <si>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</si>
  <si>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</si>
  <si>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</si>
  <si>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</si>
  <si>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</si>
  <si>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</si>
  <si>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</si>
  <si>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</si>
  <si>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</si>
  <si>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</si>
  <si>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</si>
  <si>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</si>
  <si>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</si>
  <si>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</si>
  <si>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</si>
  <si>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</si>
  <si>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</si>
  <si>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</si>
  <si>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</si>
  <si>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</si>
  <si>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</si>
  <si>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</si>
  <si>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</si>
  <si>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</si>
  <si>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</si>
  <si>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</si>
  <si>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</si>
  <si>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</si>
  <si>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</si>
  <si>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</si>
  <si>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</si>
  <si>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</si>
  <si>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</si>
  <si>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</si>
  <si>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</si>
  <si>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</si>
  <si>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</si>
  <si>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</si>
  <si>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</si>
  <si>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</si>
  <si>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</si>
  <si>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</si>
  <si>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</si>
  <si>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</si>
  <si>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</si>
  <si>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</si>
  <si>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</si>
  <si>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</si>
  <si>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</si>
  <si>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</si>
  <si>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</si>
  <si>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</si>
  <si>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</si>
  <si>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</si>
  <si>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</si>
  <si>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</si>
  <si>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</si>
  <si>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</si>
  <si>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</si>
  <si>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</si>
  <si>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</si>
  <si>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</si>
  <si>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</si>
  <si>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</si>
  <si>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</si>
  <si>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</si>
  <si>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</si>
  <si>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</si>
  <si>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</si>
  <si>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</si>
  <si>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</si>
  <si>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</si>
  <si>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</si>
  <si>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</si>
  <si>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</si>
  <si>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</si>
  <si>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</si>
  <si>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</si>
  <si>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</si>
  <si>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</si>
  <si>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</si>
  <si>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</si>
  <si>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</si>
  <si>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</si>
  <si>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</si>
  <si>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</si>
  <si>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</si>
  <si>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</si>
  <si>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</si>
  <si>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</si>
  <si>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</si>
  <si>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</si>
  <si>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</si>
  <si>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</si>
  <si>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</si>
  <si>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</si>
  <si>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</si>
  <si>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</si>
  <si>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</si>
  <si>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</si>
  <si>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</si>
  <si>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</si>
  <si>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</si>
  <si>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</si>
  <si>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</si>
  <si>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</si>
  <si>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</si>
  <si>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</si>
  <si>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</si>
  <si>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</si>
  <si>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</si>
  <si>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</si>
  <si>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</si>
  <si>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</si>
  <si>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</si>
  <si>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</si>
  <si>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</si>
  <si>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</si>
  <si>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</si>
  <si>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</si>
  <si>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</si>
  <si>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</si>
  <si>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</si>
  <si>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</si>
  <si>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</si>
  <si>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</si>
  <si>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</si>
  <si>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</si>
  <si>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</si>
  <si>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</si>
  <si>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</si>
  <si>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</si>
  <si>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</si>
  <si>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</si>
  <si>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</si>
  <si>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</si>
  <si>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</si>
  <si>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</si>
  <si>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</si>
  <si>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</si>
  <si>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</si>
  <si>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</si>
  <si>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</si>
  <si>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</si>
  <si>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</si>
  <si>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</si>
  <si>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</si>
  <si>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</si>
  <si>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</si>
  <si>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</si>
  <si>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</si>
  <si>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</si>
  <si>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</si>
  <si>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</si>
  <si>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</si>
  <si>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</si>
  <si>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</si>
  <si>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</si>
  <si>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</si>
  <si>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</si>
  <si>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</si>
  <si>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</si>
  <si>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</si>
  <si>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</si>
  <si>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</si>
  <si>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</si>
  <si>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</si>
  <si>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</si>
  <si>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</si>
  <si>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</si>
  <si>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</si>
  <si>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</si>
  <si>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</si>
  <si>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</si>
  <si>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</si>
  <si>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</si>
  <si>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</si>
  <si>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</si>
  <si>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</si>
  <si>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</si>
  <si>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</si>
  <si>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</si>
  <si>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</si>
  <si>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</si>
  <si>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</si>
  <si>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</si>
  <si>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</si>
  <si>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</si>
  <si>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</si>
  <si>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</si>
  <si>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</si>
  <si>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</si>
  <si>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</si>
  <si>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</si>
  <si>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</si>
  <si>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</si>
  <si>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</si>
  <si>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</si>
  <si>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</si>
  <si>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</si>
  <si>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</si>
  <si>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</si>
  <si>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</si>
  <si>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</si>
  <si>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</si>
  <si>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</si>
  <si>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</si>
  <si>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</si>
  <si>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</si>
  <si>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</si>
  <si>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</si>
  <si>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</si>
  <si>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</si>
  <si>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</si>
  <si>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</si>
  <si>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</si>
  <si>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</si>
  <si>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</si>
  <si>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</si>
  <si>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</si>
  <si>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</si>
  <si>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</si>
  <si>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</si>
  <si>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</si>
  <si>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</si>
  <si>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</si>
  <si>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</si>
  <si>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</si>
  <si>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</si>
  <si>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</si>
  <si>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</si>
  <si>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</si>
  <si>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</si>
  <si>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</si>
  <si>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</si>
  <si>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</si>
  <si>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</si>
  <si>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</si>
  <si>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</si>
  <si>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</si>
  <si>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</si>
  <si>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</si>
  <si>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</si>
  <si>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</si>
  <si>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</si>
  <si>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</si>
  <si>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</si>
  <si>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</si>
  <si>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</si>
  <si>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</si>
  <si>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</si>
  <si>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</si>
  <si>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</si>
  <si>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</si>
  <si>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</si>
  <si>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</si>
  <si>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</si>
  <si>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</si>
  <si>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</si>
  <si>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</si>
  <si>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</si>
  <si>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</si>
  <si>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</si>
  <si>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</si>
  <si>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</si>
  <si>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</si>
  <si>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</si>
  <si>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</si>
  <si>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</si>
  <si>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</si>
  <si>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</si>
  <si>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</si>
  <si>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</si>
  <si>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</si>
  <si>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</si>
  <si>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</si>
  <si>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</si>
  <si>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</si>
  <si>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</si>
  <si>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</si>
  <si>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</si>
  <si>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</si>
  <si>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</si>
  <si>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</si>
  <si>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</si>
  <si>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</si>
  <si>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</si>
  <si>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</si>
  <si>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</si>
  <si>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</si>
  <si>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</si>
  <si>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</si>
  <si>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</si>
  <si>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</si>
  <si>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</si>
  <si>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</si>
  <si>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</si>
  <si>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</si>
  <si>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</si>
  <si>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</si>
  <si>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</si>
  <si>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</si>
  <si>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</si>
  <si>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</si>
  <si>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</si>
  <si>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</si>
  <si>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</si>
  <si>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</si>
  <si>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</si>
  <si>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</si>
  <si>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</si>
  <si>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</si>
  <si>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</si>
  <si>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</si>
  <si>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</si>
  <si>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</si>
  <si>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</si>
  <si>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</si>
  <si>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</si>
  <si>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</si>
  <si>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</si>
  <si>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</si>
  <si>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</si>
  <si>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</si>
  <si>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</si>
  <si>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</si>
  <si>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</si>
  <si>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</si>
  <si>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</si>
  <si>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</si>
  <si>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</si>
  <si>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</si>
  <si>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</si>
  <si>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</si>
  <si>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</si>
  <si>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</si>
  <si>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</si>
  <si>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</si>
  <si>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</si>
  <si>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</si>
  <si>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</si>
  <si>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</si>
  <si>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</si>
  <si>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</si>
  <si>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</si>
  <si>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</si>
  <si>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</si>
  <si>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</si>
  <si>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</si>
  <si>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</si>
  <si>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</si>
  <si>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</si>
  <si>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</si>
  <si>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</si>
  <si>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</si>
  <si>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</si>
  <si>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</si>
  <si>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</si>
  <si>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</si>
  <si>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</si>
  <si>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</si>
  <si>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</si>
  <si>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</si>
  <si>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</si>
  <si>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</si>
  <si>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</si>
  <si>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</si>
  <si>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</si>
  <si>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</si>
  <si>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</si>
  <si>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</si>
  <si>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</si>
  <si>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</si>
  <si>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</si>
  <si>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</si>
  <si>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</si>
  <si>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</si>
  <si>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</si>
  <si>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</si>
  <si>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</si>
  <si>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</si>
  <si>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</si>
  <si>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</si>
  <si>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</si>
  <si>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</si>
  <si>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</si>
  <si>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</si>
  <si>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</si>
  <si>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</si>
  <si>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</si>
  <si>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</si>
  <si>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</si>
  <si>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</si>
  <si>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</si>
  <si>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</si>
  <si>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</si>
  <si>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</si>
  <si>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</si>
  <si>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</si>
  <si>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</si>
  <si>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</si>
  <si>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</si>
  <si>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</si>
  <si>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</si>
  <si>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</si>
  <si>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</si>
  <si>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</si>
  <si>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</si>
  <si>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</si>
  <si>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</si>
  <si>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</si>
  <si>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</si>
  <si>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</si>
  <si>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</si>
  <si>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</si>
  <si>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</si>
  <si>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</si>
  <si>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</si>
  <si>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</si>
  <si>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</si>
  <si>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</si>
  <si>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</si>
  <si>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</si>
  <si>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</si>
  <si>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</si>
  <si>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</si>
  <si>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</si>
  <si>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</si>
  <si>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</si>
  <si>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</si>
  <si>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</si>
  <si>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</si>
  <si>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</si>
  <si>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</si>
  <si>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</si>
  <si>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</si>
  <si>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</si>
  <si>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</si>
  <si>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</si>
  <si>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</si>
  <si>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</si>
  <si>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</si>
  <si>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</si>
  <si>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</si>
  <si>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</si>
  <si>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</si>
  <si>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</si>
  <si>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</si>
  <si>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</si>
  <si>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</si>
  <si>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</si>
  <si>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</si>
  <si>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</si>
  <si>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</si>
  <si>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</si>
  <si>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</si>
  <si>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</si>
  <si>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</si>
  <si>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</si>
  <si>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</si>
  <si>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</si>
  <si>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</si>
  <si>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</si>
  <si>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</si>
  <si>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</si>
  <si>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</si>
  <si>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</si>
  <si>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</si>
  <si>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</si>
  <si>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</si>
  <si>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</si>
  <si>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</si>
  <si>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</si>
  <si>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</si>
  <si>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</si>
  <si>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</si>
  <si>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</si>
  <si>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</si>
  <si>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</si>
  <si>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</si>
  <si>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</si>
  <si>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</si>
  <si>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</si>
  <si>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</si>
  <si>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</si>
  <si>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</si>
  <si>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</si>
  <si>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</si>
  <si>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</si>
  <si>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</si>
  <si>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</si>
  <si>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</si>
  <si>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</si>
  <si>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</si>
  <si>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</si>
  <si>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</si>
  <si>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</si>
  <si>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</si>
  <si>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</si>
  <si>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</si>
  <si>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</si>
  <si>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</si>
  <si>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</si>
  <si>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</si>
  <si>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</si>
  <si>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</si>
  <si>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</si>
  <si>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</si>
  <si>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</si>
  <si>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</si>
  <si>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</si>
  <si>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</si>
  <si>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</si>
  <si>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</si>
  <si>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</si>
  <si>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</si>
  <si>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</si>
  <si>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</si>
  <si>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</si>
  <si>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</si>
  <si>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</si>
  <si>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</si>
  <si>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</si>
  <si>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</si>
  <si>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</si>
  <si>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</si>
  <si>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</si>
  <si>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</si>
  <si>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</si>
  <si>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</si>
  <si>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</si>
  <si>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</si>
  <si>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</si>
  <si>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</si>
  <si>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</si>
  <si>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</si>
  <si>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</si>
  <si>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</si>
  <si>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</si>
  <si>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</si>
  <si>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</si>
  <si>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</si>
  <si>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</si>
  <si>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</si>
  <si>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</si>
  <si>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</si>
  <si>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</si>
  <si>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</si>
  <si>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</si>
  <si>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</si>
  <si>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</si>
  <si>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</si>
  <si>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</si>
  <si>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</si>
  <si>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</si>
  <si>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</si>
  <si>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</si>
  <si>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</si>
  <si>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</si>
  <si>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</si>
  <si>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</si>
  <si>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</si>
  <si>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</si>
  <si>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</si>
  <si>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</si>
  <si>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</si>
  <si>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</si>
  <si>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</si>
  <si>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</si>
  <si>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</si>
  <si>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</si>
  <si>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</si>
  <si>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</si>
  <si>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</si>
  <si>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</si>
  <si>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</si>
  <si>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</si>
  <si>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</si>
  <si>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</si>
  <si>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</si>
  <si>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</si>
  <si>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</si>
  <si>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</si>
  <si>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</si>
  <si>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</si>
  <si>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</si>
  <si>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</si>
  <si>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</si>
  <si>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</si>
  <si>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</si>
  <si>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</si>
  <si>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</si>
  <si>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</si>
  <si>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</si>
  <si>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</si>
  <si>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</si>
  <si>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</si>
  <si>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</si>
  <si>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</si>
  <si>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</si>
  <si>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</si>
  <si>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</si>
  <si>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</si>
  <si>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</si>
  <si>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</si>
  <si>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</si>
  <si>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</si>
  <si>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</si>
  <si>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</si>
  <si>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</si>
  <si>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</si>
  <si>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</si>
  <si>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</si>
  <si>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</si>
  <si>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</si>
  <si>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</si>
  <si>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</si>
  <si>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</si>
  <si>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</si>
  <si>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</si>
  <si>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</si>
  <si>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</si>
  <si>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</si>
  <si>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</si>
  <si>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</si>
  <si>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</si>
  <si>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</si>
  <si>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</si>
  <si>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</si>
  <si>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</si>
  <si>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</si>
  <si>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</si>
  <si>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</si>
  <si>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</si>
  <si>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</si>
  <si>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</si>
  <si>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</si>
  <si>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</si>
  <si>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</si>
  <si>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</si>
  <si>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</si>
  <si>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</si>
  <si>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</si>
  <si>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</si>
  <si>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</si>
  <si>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</si>
  <si>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</si>
  <si>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</si>
  <si>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</si>
  <si>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</si>
  <si>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</si>
  <si>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</si>
  <si>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</si>
  <si>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</si>
  <si>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</si>
  <si>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</si>
  <si>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</si>
  <si>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</si>
  <si>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</si>
  <si>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</si>
  <si>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</si>
  <si>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</si>
  <si>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</si>
  <si>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</si>
  <si>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</si>
  <si>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</si>
  <si>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</si>
  <si>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</si>
  <si>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</si>
  <si>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</si>
  <si>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</si>
  <si>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</si>
  <si>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</si>
  <si>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</si>
  <si>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</si>
  <si>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</si>
  <si>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</si>
  <si>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</si>
  <si>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</si>
  <si>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</si>
  <si>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</si>
  <si>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</si>
  <si>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</si>
  <si>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</si>
  <si>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</si>
  <si>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</si>
  <si>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</si>
  <si>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</si>
  <si>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</si>
  <si>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</si>
  <si>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</si>
  <si>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</si>
  <si>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</si>
  <si>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</si>
  <si>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</si>
  <si>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</si>
  <si>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</si>
  <si>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</si>
  <si>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</si>
  <si>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</si>
  <si>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</si>
  <si>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</si>
  <si>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</si>
  <si>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</si>
  <si>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</si>
  <si>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</si>
  <si>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</si>
  <si>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</si>
  <si>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</si>
  <si>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</si>
  <si>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</si>
  <si>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</si>
  <si>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</si>
  <si>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</si>
  <si>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</si>
  <si>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</si>
  <si>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</si>
  <si>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</si>
  <si>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</si>
  <si>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</si>
  <si>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</si>
  <si>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</si>
  <si>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</si>
  <si>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</si>
  <si>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</si>
  <si>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</si>
  <si>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</si>
  <si>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</si>
  <si>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</si>
  <si>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</si>
  <si>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</si>
  <si>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</si>
  <si>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</si>
  <si>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</si>
  <si>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</si>
  <si>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</si>
  <si>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</si>
  <si>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</si>
  <si>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</si>
  <si>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</si>
  <si>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</si>
  <si>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</si>
  <si>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</si>
  <si>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</si>
  <si>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</si>
  <si>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</si>
  <si>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</si>
  <si>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</si>
  <si>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</si>
  <si>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</si>
  <si>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</si>
  <si>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</si>
  <si>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</si>
  <si>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</si>
  <si>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</si>
  <si>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</si>
  <si>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</si>
  <si>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</si>
  <si>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</si>
  <si>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</si>
  <si>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</si>
  <si>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</si>
  <si>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</si>
  <si>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</si>
  <si>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</si>
  <si>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</si>
  <si>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</si>
  <si>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</si>
  <si>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</si>
  <si>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</si>
  <si>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</si>
  <si>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</si>
  <si>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</si>
  <si>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</si>
  <si>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</si>
  <si>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</si>
  <si>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</si>
  <si>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</si>
  <si>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</si>
  <si>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</si>
  <si>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</si>
  <si>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</si>
  <si>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</si>
  <si>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</si>
  <si>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</si>
  <si>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</si>
  <si>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</si>
  <si>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</si>
  <si>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</si>
  <si>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</si>
  <si>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</si>
  <si>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</si>
  <si>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</si>
  <si>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</si>
  <si>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</si>
  <si>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</si>
  <si>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</si>
  <si>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</si>
  <si>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</si>
  <si>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</si>
  <si>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</si>
  <si>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</si>
  <si>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</si>
  <si>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</si>
  <si>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</si>
  <si>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</si>
  <si>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</si>
  <si>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</si>
  <si>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</si>
  <si>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</si>
  <si>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</si>
  <si>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</si>
  <si>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</si>
  <si>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</si>
  <si>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</si>
  <si>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</si>
  <si>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</si>
  <si>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</si>
  <si>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</si>
  <si>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</si>
  <si>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</si>
  <si>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</si>
  <si>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</si>
  <si>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</si>
  <si>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</si>
  <si>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</si>
  <si>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</si>
  <si>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</si>
  <si>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</si>
  <si>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</si>
  <si>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</si>
  <si>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</si>
  <si>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</si>
  <si>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</si>
  <si>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</si>
  <si>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</si>
  <si>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</si>
  <si>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</si>
  <si>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</si>
  <si>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</si>
  <si>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</si>
  <si>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</si>
  <si>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</si>
  <si>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</si>
  <si>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</si>
  <si>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</si>
  <si>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</si>
  <si>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</si>
  <si>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</si>
  <si>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</si>
  <si>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</si>
  <si>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</si>
  <si>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</si>
  <si>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</si>
  <si>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</si>
  <si>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</si>
  <si>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</si>
  <si>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</si>
  <si>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Pol C.</t>
  </si>
  <si>
    <t>mbape</t>
  </si>
  <si>
    <t>lamine</t>
  </si>
  <si>
    <t>harry kane</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</si>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</sst>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3" zoomScaleNormal="100" workbookViewId="0">
      <selection activeCell="AA158" sqref="AA15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v>
      </c>
      <c r="G4" s="16"/>
      <c r="H4" s="16" t="str">
        <f t="shared" ref="H4:H9" ca="1" si="3">IF(D4="Pendiente","-",INDEX($BZ$6:$BZ$53,MATCH($AA4,$BD$6:$BD$53,0)))</f>
        <v>P.1 (2)</v>
      </c>
      <c r="I4" s="16" t="str">
        <f t="shared" ref="I4:I9" ca="1" si="4">IF(D4="Pendiente","-",INDEX($BZ$6:$BZ$53,MATCH($AF4,$BD$6:$BD$53,0)))</f>
        <v>-</v>
      </c>
      <c r="J4" s="16"/>
      <c r="K4" s="16" t="str">
        <f t="shared" ref="K4:K9" ca="1" si="5">IF(D4="Pendiente","-",INDEX($CE$6:$CE$53,MATCH($AA4,$BD$6:$BD$53,0)))</f>
        <v>P.1 (2)</v>
      </c>
      <c r="L4" s="16" t="str">
        <f t="shared" ref="L4:L9" ca="1" si="6">IF(D4="Pendiente","-",INDEX($CE$6:$CE$53,MATCH($AF4,$BD$6:$BD$53,0)))</f>
        <v>-</v>
      </c>
      <c r="M4" s="16"/>
      <c r="N4" s="16" t="str">
        <f t="shared" ref="N4:N9" ca="1" si="7">IF(D4="Pendiente","-",INDEX($CH$6:$CH$53,MATCH($AA4,$BD$6:$BD$53,0)))</f>
        <v>P.1 (2)</v>
      </c>
      <c r="O4" s="16" t="str">
        <f t="shared" ref="O4:O9" ca="1" si="8">IF(D4="Pendiente","-",INDEX($CH$6:$CH$53,MATCH($AF4,$BD$6:$BD$53,0)))</f>
        <v>-</v>
      </c>
      <c r="P4" s="16"/>
      <c r="Q4" s="16" t="str">
        <f t="shared" ref="Q4:Q9" ca="1" si="9">IF(D4="Pendiente","-",INDEX($CN$6:$CN$53,MATCH($AA4,$BD$6:$BD$53,0)))</f>
        <v>P.1 (2)</v>
      </c>
      <c r="R4" s="16" t="str">
        <f t="shared" ref="R4:R9" ca="1" si="10">IF(D4="Pendiente","-",INDEX($CN$6:$CN$53,MATCH($AF4,$BD$6:$BD$53,0)))</f>
        <v>-</v>
      </c>
      <c r="S4" s="16"/>
      <c r="T4" s="16" t="str">
        <f t="shared" ref="T4:T9" ca="1" si="11">IF(D4="Pendiente","-",INDEX($CS$6:$CS$53,MATCH($AA4,$BD$6:$BD$53,0)))</f>
        <v>P.1 (2)</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Visitante</v>
      </c>
      <c r="E5" s="16" t="str">
        <f t="shared" ca="1" si="1"/>
        <v>-</v>
      </c>
      <c r="F5" s="16" t="str">
        <f t="shared" ca="1" si="2"/>
        <v>P.1 (2)</v>
      </c>
      <c r="G5" s="16"/>
      <c r="H5" s="16" t="str">
        <f t="shared" ca="1" si="3"/>
        <v>-</v>
      </c>
      <c r="I5" s="16" t="str">
        <f t="shared" ca="1" si="4"/>
        <v>P.1 (2)</v>
      </c>
      <c r="J5" s="16"/>
      <c r="K5" s="16" t="str">
        <f t="shared" ca="1" si="5"/>
        <v>-</v>
      </c>
      <c r="L5" s="16" t="str">
        <f t="shared" ca="1" si="6"/>
        <v>P.1 (2)</v>
      </c>
      <c r="M5" s="16"/>
      <c r="N5" s="16" t="str">
        <f t="shared" ca="1" si="7"/>
        <v>-</v>
      </c>
      <c r="O5" s="16" t="str">
        <f t="shared" ca="1" si="8"/>
        <v>P.1 (2)</v>
      </c>
      <c r="P5" s="16"/>
      <c r="Q5" s="16" t="str">
        <f t="shared" ca="1" si="9"/>
        <v>-</v>
      </c>
      <c r="R5" s="16" t="str">
        <f t="shared" ca="1" si="10"/>
        <v>P.1 (2)</v>
      </c>
      <c r="S5" s="16"/>
      <c r="T5" s="16" t="str">
        <f t="shared" ca="1" si="11"/>
        <v>-</v>
      </c>
      <c r="U5" s="16" t="str">
        <f t="shared" ca="1" si="12"/>
        <v>P.1 (2)</v>
      </c>
      <c r="V5" s="17"/>
      <c r="W5" s="668"/>
      <c r="X5" s="24">
        <f ca="1">Horarios!C5</f>
        <v>46185.166666666664</v>
      </c>
      <c r="Y5" s="25">
        <f ca="1">Horarios!C5</f>
        <v>46185.166666666664</v>
      </c>
      <c r="Z5" s="26" t="str">
        <f>$Z$4</f>
        <v>J1</v>
      </c>
      <c r="AA5" s="27" t="str">
        <f ca="1">A7</f>
        <v>Corea del Sur</v>
      </c>
      <c r="AB5" s="49" t="e" cm="1" vm="3">
        <f t="array" aca="1" ref="AB5" ca="1">Ver_flag_local</f>
        <v>#VALUE!</v>
      </c>
      <c r="AC5" s="50">
        <v>0</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P.1 (2)</v>
      </c>
      <c r="F6" s="16" t="str">
        <f t="shared" ca="1" si="2"/>
        <v>-</v>
      </c>
      <c r="G6" s="16"/>
      <c r="H6" s="16" t="str">
        <f t="shared" ca="1" si="3"/>
        <v>P.1 (2)</v>
      </c>
      <c r="I6" s="16" t="str">
        <f t="shared" ca="1" si="4"/>
        <v>-</v>
      </c>
      <c r="J6" s="16"/>
      <c r="K6" s="16" t="str">
        <f t="shared" ca="1" si="5"/>
        <v>P.1 (2)</v>
      </c>
      <c r="L6" s="16" t="str">
        <f t="shared" ca="1" si="6"/>
        <v>-</v>
      </c>
      <c r="M6" s="16"/>
      <c r="N6" s="16" t="str">
        <f t="shared" ca="1" si="7"/>
        <v>P.1 (2)</v>
      </c>
      <c r="O6" s="16" t="str">
        <f t="shared" ca="1" si="8"/>
        <v>-</v>
      </c>
      <c r="P6" s="16"/>
      <c r="Q6" s="16" t="str">
        <f t="shared" ca="1" si="9"/>
        <v>P.1 (2)</v>
      </c>
      <c r="R6" s="16" t="str">
        <f t="shared" ca="1" si="10"/>
        <v>-</v>
      </c>
      <c r="S6" s="16"/>
      <c r="T6" s="16" t="str">
        <f t="shared" ca="1" si="11"/>
        <v>P.1 (2)</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1</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4</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P.1 (2)</v>
      </c>
      <c r="F7" s="16" t="str">
        <f t="shared" ca="1" si="2"/>
        <v>-</v>
      </c>
      <c r="G7" s="16"/>
      <c r="H7" s="16" t="str">
        <f t="shared" ca="1" si="3"/>
        <v>P.1 (2)</v>
      </c>
      <c r="I7" s="16" t="str">
        <f t="shared" ca="1" si="4"/>
        <v>-</v>
      </c>
      <c r="J7" s="16"/>
      <c r="K7" s="16" t="str">
        <f t="shared" ca="1" si="5"/>
        <v>P.1 (2)</v>
      </c>
      <c r="L7" s="16" t="str">
        <f t="shared" ca="1" si="6"/>
        <v>-</v>
      </c>
      <c r="M7" s="16"/>
      <c r="N7" s="16" t="str">
        <f t="shared" ca="1" si="7"/>
        <v>P.1 (2)</v>
      </c>
      <c r="O7" s="16" t="str">
        <f t="shared" ca="1" si="8"/>
        <v>-</v>
      </c>
      <c r="P7" s="16"/>
      <c r="Q7" s="16" t="str">
        <f t="shared" ca="1" si="9"/>
        <v>P.1 (2)</v>
      </c>
      <c r="R7" s="16" t="str">
        <f t="shared" ca="1" si="10"/>
        <v>-</v>
      </c>
      <c r="S7" s="16"/>
      <c r="T7" s="16" t="str">
        <f t="shared" ca="1" si="11"/>
        <v>P.1 (2)</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0</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7</v>
      </c>
      <c r="AN7" s="39">
        <f t="shared" ca="1" si="15"/>
        <v>3</v>
      </c>
      <c r="AO7" s="39">
        <f t="shared" ca="1" si="15"/>
        <v>2</v>
      </c>
      <c r="AP7" s="39">
        <f t="shared" ca="1" si="15"/>
        <v>1</v>
      </c>
      <c r="AQ7" s="39">
        <f t="shared" ca="1" si="15"/>
        <v>0</v>
      </c>
      <c r="AR7" s="39">
        <f t="shared" ca="1" si="15"/>
        <v>4</v>
      </c>
      <c r="AS7" s="39">
        <f t="shared" ca="1" si="15"/>
        <v>1</v>
      </c>
      <c r="AT7" s="43">
        <f t="shared" ca="1" si="15"/>
        <v>3</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2</v>
      </c>
      <c r="BK7" s="16">
        <f t="shared" ca="1" si="21"/>
        <v>4</v>
      </c>
      <c r="BL7" s="16">
        <f t="shared" ref="BL7:BL53" ca="1" si="42">+BJ7-BK7</f>
        <v>-2</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6.05" customHeight="1">
      <c r="A8" s="16" t="str">
        <f ca="1">+Equipos!B5</f>
        <v>República Checa</v>
      </c>
      <c r="B8" s="16"/>
      <c r="C8" s="16"/>
      <c r="D8" s="16" t="str">
        <f t="shared" si="0"/>
        <v>Empate</v>
      </c>
      <c r="E8" s="16" t="str">
        <f t="shared" ca="1" si="1"/>
        <v>P.1 (2)</v>
      </c>
      <c r="F8" s="16" t="str">
        <f t="shared" ca="1" si="2"/>
        <v>P.1 (2)</v>
      </c>
      <c r="G8" s="16"/>
      <c r="H8" s="16" t="str">
        <f t="shared" ca="1" si="3"/>
        <v>P.1 (2)</v>
      </c>
      <c r="I8" s="16" t="str">
        <f t="shared" ca="1" si="4"/>
        <v>P.1 (2)</v>
      </c>
      <c r="J8" s="16"/>
      <c r="K8" s="16" t="str">
        <f t="shared" ca="1" si="5"/>
        <v>P.1 (2)</v>
      </c>
      <c r="L8" s="16" t="str">
        <f t="shared" ca="1" si="6"/>
        <v>P.1 (2)</v>
      </c>
      <c r="M8" s="16"/>
      <c r="N8" s="16" t="str">
        <f t="shared" ca="1" si="7"/>
        <v>P.1 (2)</v>
      </c>
      <c r="O8" s="16" t="str">
        <f t="shared" ca="1" si="8"/>
        <v>P.1 (2)</v>
      </c>
      <c r="P8" s="16"/>
      <c r="Q8" s="16" t="str">
        <f t="shared" ca="1" si="9"/>
        <v>P.1 (2)</v>
      </c>
      <c r="R8" s="16" t="str">
        <f t="shared" ca="1" si="10"/>
        <v>P.1 (2)</v>
      </c>
      <c r="S8" s="16"/>
      <c r="T8" s="16" t="str">
        <f t="shared" ca="1" si="11"/>
        <v>P.1 (2)</v>
      </c>
      <c r="U8" s="16" t="str">
        <f t="shared" ca="1" si="12"/>
        <v>P.1 (2)</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2">
        <f t="array" aca="1" ref="AK8" ca="1">Ver_flag_visit</f>
        <v>#VALUE!</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2</v>
      </c>
      <c r="AS8" s="39">
        <f t="shared" ca="1" si="15"/>
        <v>4</v>
      </c>
      <c r="AT8" s="43">
        <f t="shared" ca="1" si="15"/>
        <v>-2</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0</v>
      </c>
      <c r="BF8" s="16">
        <f t="shared" ca="1" si="41"/>
        <v>3</v>
      </c>
      <c r="BG8" s="16">
        <f t="shared" ca="1" si="17"/>
        <v>0</v>
      </c>
      <c r="BH8" s="16">
        <f t="shared" ca="1" si="18"/>
        <v>0</v>
      </c>
      <c r="BI8" s="16">
        <f t="shared" ca="1" si="19"/>
        <v>3</v>
      </c>
      <c r="BJ8" s="16">
        <f t="shared" ca="1" si="20"/>
        <v>1</v>
      </c>
      <c r="BK8" s="16">
        <f t="shared" ca="1" si="21"/>
        <v>6</v>
      </c>
      <c r="BL8" s="16">
        <f t="shared" ca="1" si="42"/>
        <v>-5</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0</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0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2</v>
      </c>
      <c r="AD9" s="54">
        <v>1</v>
      </c>
      <c r="AE9" s="596" t="e" cm="1" vm="3">
        <f t="array" aca="1" ref="AE9" ca="1">Ver_flag_visit</f>
        <v>#VALUE!</v>
      </c>
      <c r="AF9" s="33" t="str">
        <f ca="1">A7</f>
        <v>Corea del Sur</v>
      </c>
      <c r="AG9" s="323">
        <f t="shared" si="13"/>
        <v>1</v>
      </c>
      <c r="AH9" s="195">
        <v>54</v>
      </c>
      <c r="AI9" s="181" t="str">
        <f>AJ9&amp;$B$4</f>
        <v>4A</v>
      </c>
      <c r="AJ9" s="44">
        <v>4</v>
      </c>
      <c r="AK9" s="599" t="e" cm="1" vm="3">
        <f t="array" aca="1" ref="AK9" ca="1">Ver_flag_visit</f>
        <v>#VALUE!</v>
      </c>
      <c r="AL9" s="45" t="str">
        <f ca="1">IFERROR(INDEX($BD$6:$BD$53,MATCH(AI9,$BN$6:$BN$53,0)),"")</f>
        <v>Corea del Sur</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4</v>
      </c>
      <c r="BK9" s="16">
        <f t="shared" ca="1" si="21"/>
        <v>1</v>
      </c>
      <c r="BL9" s="16">
        <f t="shared" ca="1" si="42"/>
        <v>3</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(2)</v>
      </c>
      <c r="BU9" s="16">
        <f t="shared" ca="1" si="24"/>
        <v>0</v>
      </c>
      <c r="BV9" s="16">
        <f t="shared" ca="1" si="25"/>
        <v>1</v>
      </c>
      <c r="BW9" s="16">
        <f t="shared" ca="1" si="26"/>
        <v>0</v>
      </c>
      <c r="BX9" s="16">
        <f ca="1">IF($BT9="-","-",BU9*3+BV9)</f>
        <v>1</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(2)</v>
      </c>
      <c r="CA9" s="16">
        <f t="shared" ca="1" si="27"/>
        <v>1</v>
      </c>
      <c r="CB9" s="16">
        <f t="shared" ca="1" si="28"/>
        <v>1</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(2)</v>
      </c>
      <c r="CF9" s="16">
        <f t="shared" ca="1" si="29"/>
        <v>1</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(2)</v>
      </c>
      <c r="CI9" s="16">
        <f t="shared" ca="1" si="30"/>
        <v>0</v>
      </c>
      <c r="CJ9" s="16">
        <f t="shared" ca="1" si="31"/>
        <v>1</v>
      </c>
      <c r="CK9" s="16">
        <f t="shared" ca="1" si="32"/>
        <v>0</v>
      </c>
      <c r="CL9" s="16">
        <f ca="1">IF($CH9="-","-",CI9*3+CJ9)</f>
        <v>1</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(2)</v>
      </c>
      <c r="CO9" s="16">
        <f t="shared" ca="1" si="33"/>
        <v>1</v>
      </c>
      <c r="CP9" s="16">
        <f t="shared" ca="1" si="34"/>
        <v>1</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(2)</v>
      </c>
      <c r="CT9" s="16">
        <f t="shared" ca="1" si="35"/>
        <v>1</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(2)</v>
      </c>
      <c r="CW9" s="16">
        <f t="shared" ca="1" si="36"/>
        <v>3</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3</v>
      </c>
      <c r="BF10" s="16">
        <f t="shared" ca="1" si="41"/>
        <v>3</v>
      </c>
      <c r="BG10" s="16">
        <f t="shared" ca="1" si="17"/>
        <v>1</v>
      </c>
      <c r="BH10" s="16">
        <f t="shared" ca="1" si="18"/>
        <v>0</v>
      </c>
      <c r="BI10" s="16">
        <f t="shared" ca="1" si="19"/>
        <v>2</v>
      </c>
      <c r="BJ10" s="16">
        <f t="shared" ca="1" si="20"/>
        <v>3</v>
      </c>
      <c r="BK10" s="16">
        <f t="shared" ca="1" si="21"/>
        <v>5</v>
      </c>
      <c r="BL10" s="16">
        <f t="shared" ca="1" si="42"/>
        <v>-2</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3</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3</v>
      </c>
      <c r="BK11" s="16">
        <f t="shared" ca="1" si="21"/>
        <v>4</v>
      </c>
      <c r="BL11" s="16">
        <f t="shared" ca="1" si="42"/>
        <v>-1</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Bosnia y Herzegovina</v>
      </c>
    </row>
    <row r="12" spans="1:121" ht="16.0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1</v>
      </c>
      <c r="AD12" s="51">
        <v>2</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3</v>
      </c>
      <c r="BK12" s="16">
        <f t="shared" ca="1" si="21"/>
        <v>5</v>
      </c>
      <c r="BL12" s="16">
        <f t="shared" ca="1" si="42"/>
        <v>-2</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6</v>
      </c>
      <c r="BK13" s="16">
        <f t="shared" ca="1" si="21"/>
        <v>1</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6</v>
      </c>
      <c r="AS14" s="36">
        <f t="shared" ca="1" si="69"/>
        <v>1</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3</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5</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2</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6">
        <f t="array" aca="1" ref="AK15" ca="1">Ver_flag_visit</f>
        <v>#VALUE!</v>
      </c>
      <c r="AL15" s="37" t="str">
        <f ca="1">IFERROR(INDEX($BD$6:$BD$53,MATCH(AI15,$BN$6:$BN$53,0)),"")</f>
        <v>Bosnia y Herzegovina</v>
      </c>
      <c r="AM15" s="38">
        <f t="shared" ca="1" si="69"/>
        <v>4</v>
      </c>
      <c r="AN15" s="39">
        <f t="shared" ca="1" si="69"/>
        <v>3</v>
      </c>
      <c r="AO15" s="39">
        <f t="shared" ca="1" si="69"/>
        <v>1</v>
      </c>
      <c r="AP15" s="39">
        <f t="shared" ca="1" si="69"/>
        <v>1</v>
      </c>
      <c r="AQ15" s="39">
        <f t="shared" ca="1" si="69"/>
        <v>1</v>
      </c>
      <c r="AR15" s="39">
        <f t="shared" ca="1" si="69"/>
        <v>3</v>
      </c>
      <c r="AS15" s="39">
        <f t="shared" ca="1" si="69"/>
        <v>4</v>
      </c>
      <c r="AT15" s="74">
        <f t="shared" ca="1" si="69"/>
        <v>-1</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4</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2</v>
      </c>
      <c r="AD16" s="51">
        <v>0</v>
      </c>
      <c r="AE16" s="595" t="e" cm="1" vm="5">
        <f t="array" aca="1" ref="AE16" ca="1">Ver_flag_visit</f>
        <v>#VALUE!</v>
      </c>
      <c r="AF16" s="32" t="str">
        <f ca="1">A13</f>
        <v>Canadá</v>
      </c>
      <c r="AG16" s="323">
        <f t="shared" si="66"/>
        <v>1</v>
      </c>
      <c r="AH16" s="195">
        <v>51</v>
      </c>
      <c r="AI16" s="181" t="str">
        <f t="shared" si="70"/>
        <v>3B</v>
      </c>
      <c r="AJ16" s="73">
        <v>3</v>
      </c>
      <c r="AK16" s="602" t="e" cm="1" vm="5">
        <f t="array" aca="1" ref="AK16" ca="1">Ver_flag_visit</f>
        <v>#VALUE!</v>
      </c>
      <c r="AL16" s="37" t="str">
        <f ca="1">IFERROR(INDEX($BD$6:$BD$53,MATCH(AI16,$BN$6:$BN$53,0)),"")</f>
        <v>Canadá</v>
      </c>
      <c r="AM16" s="38">
        <f t="shared" ca="1" si="69"/>
        <v>3</v>
      </c>
      <c r="AN16" s="39">
        <f t="shared" ca="1" si="69"/>
        <v>3</v>
      </c>
      <c r="AO16" s="39">
        <f t="shared" ca="1" si="69"/>
        <v>1</v>
      </c>
      <c r="AP16" s="39">
        <f t="shared" ca="1" si="69"/>
        <v>0</v>
      </c>
      <c r="AQ16" s="39">
        <f t="shared" ca="1" si="69"/>
        <v>2</v>
      </c>
      <c r="AR16" s="39">
        <f t="shared" ca="1" si="69"/>
        <v>3</v>
      </c>
      <c r="AS16" s="39">
        <f t="shared" ca="1" si="69"/>
        <v>5</v>
      </c>
      <c r="AT16" s="74">
        <f t="shared" ca="1" si="69"/>
        <v>-2</v>
      </c>
      <c r="AU16" s="330">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7</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3</v>
      </c>
      <c r="AS17" s="78">
        <f t="shared" ca="1" si="69"/>
        <v>5</v>
      </c>
      <c r="AT17" s="79">
        <f t="shared" ca="1" si="69"/>
        <v>-2</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4</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4</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3</v>
      </c>
      <c r="BK20" s="16">
        <f t="shared" ca="1" si="21"/>
        <v>7</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6</v>
      </c>
      <c r="BK21" s="16">
        <f t="shared" ca="1" si="21"/>
        <v>2</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e" cm="1" vm="12">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3</v>
      </c>
      <c r="AT22" s="41">
        <f t="shared" ca="1" si="87"/>
        <v>5</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2</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4</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4</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3</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7</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5</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1</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5</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4</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2</v>
      </c>
      <c r="BF28" s="16">
        <f t="shared" ca="1" si="41"/>
        <v>3</v>
      </c>
      <c r="BG28" s="16">
        <f t="shared" ca="1" si="17"/>
        <v>0</v>
      </c>
      <c r="BH28" s="16">
        <f t="shared" ca="1" si="18"/>
        <v>2</v>
      </c>
      <c r="BI28" s="16">
        <f t="shared" ca="1" si="19"/>
        <v>1</v>
      </c>
      <c r="BJ28" s="16">
        <f t="shared" ca="1" si="20"/>
        <v>2</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1</v>
      </c>
      <c r="AD29" s="51">
        <v>3</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2</v>
      </c>
      <c r="AT30" s="41">
        <f t="shared" ca="1" si="107"/>
        <v>4</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2</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1</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2</v>
      </c>
      <c r="AD32" s="51">
        <v>0</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3</v>
      </c>
      <c r="AS32" s="39">
        <f t="shared" ca="1" si="107"/>
        <v>4</v>
      </c>
      <c r="AT32" s="43">
        <f t="shared" ca="1" si="107"/>
        <v>-1</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5</v>
      </c>
      <c r="BL32" s="16">
        <f t="shared" ca="1" si="42"/>
        <v>-4</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2</v>
      </c>
      <c r="AD33" s="54">
        <v>1</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3</v>
      </c>
      <c r="AS33" s="47">
        <f t="shared" ca="1" si="107"/>
        <v>7</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3</v>
      </c>
      <c r="BF33" s="16">
        <f t="shared" ca="1" si="41"/>
        <v>3</v>
      </c>
      <c r="BG33" s="16">
        <f t="shared" ca="1" si="17"/>
        <v>1</v>
      </c>
      <c r="BH33" s="16">
        <f t="shared" ca="1" si="18"/>
        <v>0</v>
      </c>
      <c r="BI33" s="16">
        <f t="shared" ca="1" si="19"/>
        <v>2</v>
      </c>
      <c r="BJ33" s="16">
        <f t="shared" ca="1" si="20"/>
        <v>2</v>
      </c>
      <c r="BK33" s="16">
        <f t="shared" ca="1" si="21"/>
        <v>4</v>
      </c>
      <c r="BL33" s="16">
        <f t="shared" ca="1" si="42"/>
        <v>-2</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3</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2</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9</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7</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2</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5</v>
      </c>
      <c r="AS39" s="39">
        <f t="shared" ca="1" si="127"/>
        <v>4</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3</v>
      </c>
      <c r="BK39" s="16">
        <f t="shared" ca="1" si="21"/>
        <v>6</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2</v>
      </c>
      <c r="BK40" s="16">
        <f t="shared" ca="1" si="21"/>
        <v>7</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4</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1">
        <f t="array" aca="1" ref="AB44" ca="1">Ver_flag_local</f>
        <v>#VALUE!</v>
      </c>
      <c r="AC44" s="50">
        <v>1</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3</v>
      </c>
      <c r="BF44" s="16">
        <f t="shared" ca="1" si="41"/>
        <v>3</v>
      </c>
      <c r="BG44" s="16">
        <f t="shared" ca="1" si="17"/>
        <v>1</v>
      </c>
      <c r="BH44" s="16">
        <f t="shared" ca="1" si="18"/>
        <v>0</v>
      </c>
      <c r="BI44" s="16">
        <f t="shared" ca="1" si="19"/>
        <v>2</v>
      </c>
      <c r="BJ44" s="16">
        <f t="shared" ca="1" si="20"/>
        <v>4</v>
      </c>
      <c r="BK44" s="16">
        <f t="shared" ca="1" si="21"/>
        <v>5</v>
      </c>
      <c r="BL44" s="16">
        <f t="shared" ca="1" si="42"/>
        <v>-1</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3</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0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3">
        <f t="array" aca="1" ref="AB45" ca="1">Ver_flag_local</f>
        <v>#VALUE!</v>
      </c>
      <c r="AC45" s="50">
        <v>0</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6</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3</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4">
        <f t="array" aca="1" ref="AB47" ca="1">Ver_flag_local</f>
        <v>#VALUE!</v>
      </c>
      <c r="AC47" s="50">
        <v>1</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4</v>
      </c>
      <c r="AS47" s="39">
        <f t="shared" ca="1" si="147"/>
        <v>3</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1</v>
      </c>
      <c r="BK47" s="16">
        <f t="shared" ca="1" si="21"/>
        <v>6</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2</v>
      </c>
      <c r="AN48" s="39">
        <f t="shared" ca="1" si="147"/>
        <v>3</v>
      </c>
      <c r="AO48" s="39">
        <f t="shared" ca="1" si="147"/>
        <v>0</v>
      </c>
      <c r="AP48" s="39">
        <f t="shared" ca="1" si="147"/>
        <v>2</v>
      </c>
      <c r="AQ48" s="39">
        <f t="shared" ca="1" si="147"/>
        <v>1</v>
      </c>
      <c r="AR48" s="39">
        <f t="shared" ca="1" si="147"/>
        <v>2</v>
      </c>
      <c r="AS48" s="39">
        <f t="shared" ca="1" si="147"/>
        <v>3</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1</v>
      </c>
      <c r="BK48" s="16">
        <f t="shared" ca="1" si="21"/>
        <v>6</v>
      </c>
      <c r="BL48" s="16">
        <f t="shared" ca="1" si="42"/>
        <v>-5</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4">
        <f t="array" aca="1" ref="AB49" ca="1">Ver_flag_local</f>
        <v>#VALUE!</v>
      </c>
      <c r="AC49" s="53">
        <v>1</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7</v>
      </c>
      <c r="BK49" s="16">
        <f t="shared" ca="1" si="21"/>
        <v>3</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5</v>
      </c>
      <c r="BK50" s="16">
        <f t="shared" ca="1" si="21"/>
        <v>2</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4</v>
      </c>
      <c r="BK51" s="16">
        <f t="shared" ca="1" si="21"/>
        <v>3</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1</v>
      </c>
      <c r="CB51" s="16">
        <f t="shared" ca="1" si="28"/>
        <v>1</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1</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1</v>
      </c>
      <c r="CP51" s="16">
        <f t="shared" ca="1" si="34"/>
        <v>1</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1</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1</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5">
        <f t="array" aca="1" ref="AB52" ca="1">Ver_flag_local</f>
        <v>#VALUE!</v>
      </c>
      <c r="AC52" s="50">
        <v>2</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4</v>
      </c>
      <c r="BK52" s="16">
        <f t="shared" ca="1" si="21"/>
        <v>4</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1</v>
      </c>
      <c r="CB52" s="16">
        <f t="shared" ca="1" si="28"/>
        <v>1</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1</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1</v>
      </c>
      <c r="CP52" s="16">
        <f t="shared" ca="1" si="34"/>
        <v>1</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1</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7">
        <f t="array" aca="1" ref="AB53" ca="1">Ver_flag_local</f>
        <v>#VALUE!</v>
      </c>
      <c r="AC53" s="50">
        <v>0</v>
      </c>
      <c r="AD53" s="51">
        <v>1</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5">
        <f t="array" aca="1" ref="AB54" ca="1">Ver_flag_local</f>
        <v>#VALUE!</v>
      </c>
      <c r="AC54" s="50">
        <v>3</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2</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8">
        <f t="array" aca="1" ref="AB55" ca="1">Ver_flag_local</f>
        <v>#VALUE!</v>
      </c>
      <c r="AC55" s="50">
        <v>0</v>
      </c>
      <c r="AD55" s="51">
        <v>1</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3</v>
      </c>
      <c r="AS55" s="39">
        <f t="shared" ca="1" si="165"/>
        <v>3</v>
      </c>
      <c r="AT55" s="43">
        <f t="shared" ca="1" si="165"/>
        <v>0</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Nueva Zelanda</v>
      </c>
      <c r="AM56" s="38">
        <f t="shared" ca="1" si="165"/>
        <v>3</v>
      </c>
      <c r="AN56" s="39">
        <f t="shared" ca="1" si="165"/>
        <v>3</v>
      </c>
      <c r="AO56" s="39">
        <f t="shared" ca="1" si="165"/>
        <v>1</v>
      </c>
      <c r="AP56" s="39">
        <f t="shared" ca="1" si="165"/>
        <v>0</v>
      </c>
      <c r="AQ56" s="39">
        <f t="shared" ca="1" si="165"/>
        <v>2</v>
      </c>
      <c r="AR56" s="39">
        <f t="shared" ca="1" si="165"/>
        <v>2</v>
      </c>
      <c r="AS56" s="39">
        <f t="shared" ca="1" si="165"/>
        <v>4</v>
      </c>
      <c r="AT56" s="43">
        <f t="shared" ca="1" si="165"/>
        <v>-2</v>
      </c>
      <c r="AU56" s="330">
        <f ca="1">INDEX($DL$6:$DL$53,MATCH(AI56,$DP$6:$DP$53,0))</f>
        <v>1</v>
      </c>
      <c r="AV56" s="182" t="str">
        <f ca="1">INDEX($BD$6:$BD$53,MATCH(AI56,$BM$6:$BM$53,0))</f>
        <v>Nueva Zelanda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3</v>
      </c>
      <c r="AE57" s="596" t="e" cm="1" vm="25">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1</v>
      </c>
      <c r="AS57" s="47">
        <f t="shared" ca="1" si="165"/>
        <v>5</v>
      </c>
      <c r="AT57" s="48">
        <f t="shared" ca="1" si="165"/>
        <v>-4</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8</v>
      </c>
      <c r="BN58" s="16">
        <f ca="1">CF58</f>
        <v>8</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(8)</v>
      </c>
      <c r="BU58" s="16">
        <f t="shared" ref="BU58:BU69" ca="1" si="176">IF(BT58="-","-",BL58)</f>
        <v>-2</v>
      </c>
      <c r="BV58" s="16">
        <f t="shared" ref="BV58:BV69" ca="1" si="177">BS58+COUNTIFS(BT$58:BT$69,BT58,BU$58:BU$69,"&gt;"&amp;BU58)</f>
        <v>5</v>
      </c>
      <c r="BW58" s="16" t="str">
        <f t="shared" ref="BW58:BW69" ca="1" si="178">IF(COUNTIF(BV$58:BV$69,BV58)=1,"-","Pos. "&amp;BV58&amp;" ("&amp;COUNTIF(BV$58:BV$69,BV58)&amp;")")</f>
        <v>Pos. 5 (4)</v>
      </c>
      <c r="BX58" s="16">
        <f t="shared" ref="BX58:BX69" ca="1" si="179">IF(BW58="-","-",BJ58)</f>
        <v>2</v>
      </c>
      <c r="BY58" s="16">
        <f t="shared" ref="BY58:BY69" ca="1" si="180">BV58+COUNTIFS(BW$58:BW$69,BW58,BX$58:BX$69,"&gt;"&amp;BX58)</f>
        <v>7</v>
      </c>
      <c r="BZ58" s="16" t="str">
        <f t="shared" ref="BZ58:BZ69" ca="1" si="181">IF(COUNTIF(BY$58:BY$69,BY58)=1,"-","Pos. "&amp;BY58&amp;" ("&amp;COUNTIF(BY$58:BY$69,BY58)&amp;")")</f>
        <v>Pos. 7 (2)</v>
      </c>
      <c r="CA58" s="16">
        <f t="shared" ref="CA58:CA69" ca="1" si="182">IF(BZ58="-","-",COUNTIF($BD$58:$BD$69,"&gt;"&amp;BD58))</f>
        <v>2</v>
      </c>
      <c r="CB58" s="16">
        <f ca="1">BY58+COUNTIFS(BZ$58:BZ$69,BZ58,CA$58:CA$69,"&gt;"&amp;CA58)</f>
        <v>8</v>
      </c>
      <c r="CC58" s="16"/>
      <c r="CD58" s="16">
        <f t="shared" ref="CD58:CD69" ca="1" si="183">IF(OR(INDEX($AW$102:$AW$113,MATCH($BD58,$AV$102:$AV$113,0))="",BZ58="-"),CB58,INDEX($AW$102:$AW$113,MATCH($BD58,$AV$102:$AV$113,0))+CB58/1000)</f>
        <v>8.0079999999999991</v>
      </c>
      <c r="CE58" s="16">
        <f ca="1">IF(BZ58="-","-",COUNTIF(CD$58:CD$69,"&lt;"&amp;CD58))</f>
        <v>7</v>
      </c>
      <c r="CF58" s="16">
        <f ca="1">BY58+COUNTIFS(BZ$58:BZ$69,BZ58,CE$58:CE$69,"&lt;"&amp;CE58)</f>
        <v>8</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Costa de Marfil</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5</v>
      </c>
      <c r="BL59" s="16">
        <f t="shared" ref="BL59:BL69" ca="1" si="190">+BJ59-BK59</f>
        <v>-2</v>
      </c>
      <c r="BM59" s="16">
        <f t="shared" ref="BM59:BM69" ca="1" si="191">CB59</f>
        <v>5</v>
      </c>
      <c r="BN59" s="16">
        <f t="shared" ref="BN59:BN69" ca="1" si="192">CF59</f>
        <v>5</v>
      </c>
      <c r="BO59" s="16" t="str">
        <f t="shared" si="174"/>
        <v>4B</v>
      </c>
      <c r="BP59" s="16"/>
      <c r="BQ59" s="16"/>
      <c r="BR59" s="16">
        <f t="shared" ca="1" si="175"/>
        <v>3</v>
      </c>
      <c r="BS59" s="16">
        <f t="shared" ref="BS59:BS69" ca="1" si="193">COUNTIFS(BR$58:BR$69,"&gt;"&amp;BR59)+1</f>
        <v>4</v>
      </c>
      <c r="BT59" s="16" t="str">
        <f t="shared" ref="BT59:BT69" ca="1" si="194">IF(COUNTIF(BS$58:BS$69,BS59)=1,"-","Pos. "&amp;BS59&amp;" ("&amp;COUNTIF(BS$58:BS$69,BS59)&amp;")")</f>
        <v>Pos. 4 (8)</v>
      </c>
      <c r="BU59" s="16">
        <f t="shared" ca="1" si="176"/>
        <v>-2</v>
      </c>
      <c r="BV59" s="16">
        <f t="shared" ca="1" si="177"/>
        <v>5</v>
      </c>
      <c r="BW59" s="16" t="str">
        <f t="shared" ca="1" si="178"/>
        <v>Pos. 5 (4)</v>
      </c>
      <c r="BX59" s="16">
        <f t="shared" ca="1" si="179"/>
        <v>3</v>
      </c>
      <c r="BY59" s="16">
        <f t="shared" ca="1" si="180"/>
        <v>5</v>
      </c>
      <c r="BZ59" s="16" t="str">
        <f t="shared" ca="1" si="181"/>
        <v>Pos. 5 (2)</v>
      </c>
      <c r="CA59" s="16">
        <f t="shared" ca="1" si="182"/>
        <v>9</v>
      </c>
      <c r="CB59" s="16">
        <f t="shared" ref="CB59:CB68" ca="1" si="195">BY59+COUNTIFS(BZ$58:BZ$69,BZ59,CA$58:CA$69,"&gt;"&amp;CA59)</f>
        <v>5</v>
      </c>
      <c r="CC59" s="16"/>
      <c r="CD59" s="16">
        <f t="shared" ca="1" si="183"/>
        <v>5.0049999999999999</v>
      </c>
      <c r="CE59" s="16">
        <f t="shared" ref="CE59:CE69" ca="1" si="196">IF(BZ59="-","-",COUNTIF(CD$58:CD$69,"&lt;"&amp;CD59))</f>
        <v>4</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Ghana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29">
        <f t="array" aca="1" ref="AB60" ca="1">Ver_flag_local</f>
        <v>#VALUE!</v>
      </c>
      <c r="AC60" s="50">
        <v>4</v>
      </c>
      <c r="AD60" s="51">
        <v>1</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6</v>
      </c>
      <c r="BN60" s="16">
        <f t="shared" ca="1" si="192"/>
        <v>6</v>
      </c>
      <c r="BO60" s="16" t="str">
        <f t="shared" si="174"/>
        <v>4C</v>
      </c>
      <c r="BP60" s="16"/>
      <c r="BQ60" s="16"/>
      <c r="BR60" s="16">
        <f t="shared" ca="1" si="175"/>
        <v>3</v>
      </c>
      <c r="BS60" s="16">
        <f t="shared" ca="1" si="193"/>
        <v>4</v>
      </c>
      <c r="BT60" s="16" t="str">
        <f t="shared" ca="1" si="194"/>
        <v>Pos. 4 (8)</v>
      </c>
      <c r="BU60" s="16">
        <f t="shared" ca="1" si="176"/>
        <v>-2</v>
      </c>
      <c r="BV60" s="16">
        <f t="shared" ca="1" si="177"/>
        <v>5</v>
      </c>
      <c r="BW60" s="16" t="str">
        <f t="shared" ca="1" si="178"/>
        <v>Pos. 5 (4)</v>
      </c>
      <c r="BX60" s="16">
        <f t="shared" ca="1" si="179"/>
        <v>3</v>
      </c>
      <c r="BY60" s="16">
        <f t="shared" ca="1" si="180"/>
        <v>5</v>
      </c>
      <c r="BZ60" s="16" t="str">
        <f t="shared" ca="1" si="181"/>
        <v>Pos. 5 (2)</v>
      </c>
      <c r="CA60" s="16">
        <f t="shared" ca="1" si="182"/>
        <v>7</v>
      </c>
      <c r="CB60" s="16">
        <f t="shared" ca="1" si="195"/>
        <v>6</v>
      </c>
      <c r="CC60" s="16"/>
      <c r="CD60" s="16">
        <f t="shared" ca="1" si="183"/>
        <v>6.0060000000000002</v>
      </c>
      <c r="CE60" s="16">
        <f t="shared" ca="1" si="196"/>
        <v>5</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Paraguay</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1">
        <f t="array" aca="1" ref="AB61" ca="1">Ver_flag_local</f>
        <v>#VALUE!</v>
      </c>
      <c r="AC61" s="50">
        <v>1</v>
      </c>
      <c r="AD61" s="51">
        <v>3</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3</v>
      </c>
      <c r="BK61" s="16">
        <f t="shared" ca="1" si="173"/>
        <v>4</v>
      </c>
      <c r="BL61" s="16">
        <f t="shared" ca="1" si="190"/>
        <v>-1</v>
      </c>
      <c r="BM61" s="16">
        <f t="shared" ca="1" si="191"/>
        <v>3</v>
      </c>
      <c r="BN61" s="16">
        <f t="shared" ca="1" si="192"/>
        <v>3</v>
      </c>
      <c r="BO61" s="16" t="str">
        <f t="shared" si="174"/>
        <v>4D</v>
      </c>
      <c r="BP61" s="16"/>
      <c r="BQ61" s="16"/>
      <c r="BR61" s="16">
        <f t="shared" ca="1" si="175"/>
        <v>4</v>
      </c>
      <c r="BS61" s="16">
        <f t="shared" ca="1" si="193"/>
        <v>1</v>
      </c>
      <c r="BT61" s="16" t="str">
        <f t="shared" ca="1" si="194"/>
        <v>Pos. 1 (3)</v>
      </c>
      <c r="BU61" s="16">
        <f t="shared" ca="1" si="176"/>
        <v>-1</v>
      </c>
      <c r="BV61" s="16">
        <f t="shared" ca="1" si="177"/>
        <v>3</v>
      </c>
      <c r="BW61" s="16" t="str">
        <f t="shared" ca="1" si="178"/>
        <v>-</v>
      </c>
      <c r="BX61" s="16" t="str">
        <f t="shared" ca="1" si="179"/>
        <v>-</v>
      </c>
      <c r="BY61" s="16">
        <f t="shared" ca="1" si="180"/>
        <v>3</v>
      </c>
      <c r="BZ61" s="16" t="str">
        <f t="shared" ca="1" si="181"/>
        <v>-</v>
      </c>
      <c r="CA61" s="16" t="str">
        <f t="shared" ca="1" si="182"/>
        <v>-</v>
      </c>
      <c r="CB61" s="16">
        <f t="shared" ca="1" si="195"/>
        <v>3</v>
      </c>
      <c r="CC61" s="16"/>
      <c r="CD61" s="16">
        <f t="shared" ca="1" si="183"/>
        <v>3</v>
      </c>
      <c r="CE61" s="16" t="str">
        <f t="shared" ca="1" si="196"/>
        <v>-</v>
      </c>
      <c r="CF61" s="16">
        <f t="shared" ca="1" si="197"/>
        <v>3</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Austria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29">
        <f t="array" aca="1" ref="AB62" ca="1">Ver_flag_local</f>
        <v>#VALUE!</v>
      </c>
      <c r="AC62" s="50">
        <v>3</v>
      </c>
      <c r="AD62" s="51">
        <v>0</v>
      </c>
      <c r="AE62" s="595" t="e" cm="1" vm="31">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2</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(3)</v>
      </c>
      <c r="BU62" s="16">
        <f t="shared" ca="1" si="176"/>
        <v>1</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2</v>
      </c>
      <c r="DM62" s="16" t="str">
        <f t="shared" ca="1" si="186"/>
        <v>5.2</v>
      </c>
      <c r="DN62" s="16" t="e" cm="1" vm="33">
        <f t="array" aca="1" ref="DN62" ca="1">OFFSET(Horarios!$P$3,DJ62-1,0,DL62,1)</f>
        <v>#VALUE!</v>
      </c>
      <c r="DO62" s="16"/>
      <c r="DP62" s="16">
        <v>5</v>
      </c>
      <c r="DQ62" s="16" t="str">
        <f t="shared" ca="1" si="198"/>
        <v>Canadá</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2">
        <f t="array" aca="1" ref="AB63" ca="1">Ver_flag_local</f>
        <v>#VALUE!</v>
      </c>
      <c r="AC63" s="50">
        <v>2</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2</v>
      </c>
      <c r="BF63" s="16">
        <f t="shared" ca="1" si="189"/>
        <v>3</v>
      </c>
      <c r="BG63" s="16">
        <f t="shared" ca="1" si="169"/>
        <v>0</v>
      </c>
      <c r="BH63" s="16">
        <f t="shared" ca="1" si="170"/>
        <v>2</v>
      </c>
      <c r="BI63" s="16">
        <f t="shared" ca="1" si="171"/>
        <v>1</v>
      </c>
      <c r="BJ63" s="16">
        <f t="shared" ca="1" si="172"/>
        <v>2</v>
      </c>
      <c r="BK63" s="16">
        <f t="shared" ca="1" si="173"/>
        <v>3</v>
      </c>
      <c r="BL63" s="16">
        <f t="shared" ca="1" si="190"/>
        <v>-1</v>
      </c>
      <c r="BM63" s="16">
        <f t="shared" ca="1" si="191"/>
        <v>12</v>
      </c>
      <c r="BN63" s="16">
        <f t="shared" ca="1" si="192"/>
        <v>12</v>
      </c>
      <c r="BO63" s="16" t="str">
        <f t="shared" si="174"/>
        <v>4F</v>
      </c>
      <c r="BP63" s="16"/>
      <c r="BQ63" s="16"/>
      <c r="BR63" s="16">
        <f t="shared" ca="1" si="175"/>
        <v>2</v>
      </c>
      <c r="BS63" s="16">
        <f t="shared" ca="1" si="193"/>
        <v>12</v>
      </c>
      <c r="BT63" s="16" t="str">
        <f t="shared" ca="1" si="194"/>
        <v>-</v>
      </c>
      <c r="BU63" s="16" t="str">
        <f t="shared" ca="1" si="176"/>
        <v>-</v>
      </c>
      <c r="BV63" s="16">
        <f t="shared" ca="1" si="177"/>
        <v>12</v>
      </c>
      <c r="BW63" s="16" t="str">
        <f t="shared" ca="1" si="178"/>
        <v>-</v>
      </c>
      <c r="BX63" s="16" t="str">
        <f t="shared" ca="1" si="179"/>
        <v>-</v>
      </c>
      <c r="BY63" s="16">
        <f t="shared" ca="1" si="180"/>
        <v>12</v>
      </c>
      <c r="BZ63" s="16" t="str">
        <f t="shared" ca="1" si="181"/>
        <v>-</v>
      </c>
      <c r="CA63" s="16" t="str">
        <f t="shared" ca="1" si="182"/>
        <v>-</v>
      </c>
      <c r="CB63" s="16">
        <f t="shared" ca="1" si="195"/>
        <v>12</v>
      </c>
      <c r="CC63" s="16"/>
      <c r="CD63" s="16">
        <f t="shared" ca="1" si="183"/>
        <v>12</v>
      </c>
      <c r="CE63" s="16" t="str">
        <f t="shared" ca="1" si="196"/>
        <v>-</v>
      </c>
      <c r="CF63" s="16">
        <f t="shared" ca="1" si="197"/>
        <v>12</v>
      </c>
      <c r="DJ63" s="16">
        <f t="shared" ca="1" si="184"/>
        <v>5</v>
      </c>
      <c r="DK63" s="16"/>
      <c r="DL63" s="16">
        <f t="shared" ca="1" si="185"/>
        <v>2</v>
      </c>
      <c r="DM63" s="16" t="str">
        <f t="shared" ca="1" si="186"/>
        <v>5.2</v>
      </c>
      <c r="DN63" s="16" t="e" cm="1" vm="33">
        <f t="array" aca="1" ref="DN63" ca="1">OFFSET(Horarios!$P$3,DJ63-1,0,DL63,1)</f>
        <v>#VALUE!</v>
      </c>
      <c r="DO63" s="16"/>
      <c r="DP63" s="16">
        <v>6</v>
      </c>
      <c r="DQ63" s="16" t="str">
        <f t="shared" ca="1" si="198"/>
        <v>Escocia</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0">
        <f t="array" aca="1" ref="AB64" ca="1">Ver_flag_local</f>
        <v>#VALUE!</v>
      </c>
      <c r="AC64" s="50">
        <v>1</v>
      </c>
      <c r="AD64" s="51">
        <v>3</v>
      </c>
      <c r="AE64" s="595" t="e" cm="1" vm="31">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7</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3</v>
      </c>
      <c r="BF64" s="16">
        <f t="shared" ca="1" si="189"/>
        <v>3</v>
      </c>
      <c r="BG64" s="16">
        <f t="shared" ca="1" si="169"/>
        <v>1</v>
      </c>
      <c r="BH64" s="16">
        <f t="shared" ca="1" si="170"/>
        <v>0</v>
      </c>
      <c r="BI64" s="16">
        <f t="shared" ca="1" si="171"/>
        <v>2</v>
      </c>
      <c r="BJ64" s="16">
        <f t="shared" ca="1" si="172"/>
        <v>2</v>
      </c>
      <c r="BK64" s="16">
        <f t="shared" ca="1" si="173"/>
        <v>4</v>
      </c>
      <c r="BL64" s="16">
        <f t="shared" ca="1" si="190"/>
        <v>-2</v>
      </c>
      <c r="BM64" s="16">
        <f t="shared" ca="1" si="191"/>
        <v>7</v>
      </c>
      <c r="BN64" s="16">
        <f t="shared" ca="1" si="192"/>
        <v>7</v>
      </c>
      <c r="BO64" s="16" t="str">
        <f t="shared" si="174"/>
        <v>4G</v>
      </c>
      <c r="BP64" s="16"/>
      <c r="BQ64" s="16"/>
      <c r="BR64" s="16">
        <f t="shared" ca="1" si="175"/>
        <v>3</v>
      </c>
      <c r="BS64" s="16">
        <f t="shared" ca="1" si="193"/>
        <v>4</v>
      </c>
      <c r="BT64" s="16" t="str">
        <f t="shared" ca="1" si="194"/>
        <v>Pos. 4 (8)</v>
      </c>
      <c r="BU64" s="16">
        <f t="shared" ca="1" si="176"/>
        <v>-2</v>
      </c>
      <c r="BV64" s="16">
        <f t="shared" ca="1" si="177"/>
        <v>5</v>
      </c>
      <c r="BW64" s="16" t="str">
        <f t="shared" ca="1" si="178"/>
        <v>Pos. 5 (4)</v>
      </c>
      <c r="BX64" s="16">
        <f t="shared" ca="1" si="179"/>
        <v>2</v>
      </c>
      <c r="BY64" s="16">
        <f t="shared" ca="1" si="180"/>
        <v>7</v>
      </c>
      <c r="BZ64" s="16" t="str">
        <f t="shared" ca="1" si="181"/>
        <v>Pos. 7 (2)</v>
      </c>
      <c r="CA64" s="16">
        <f t="shared" ca="1" si="182"/>
        <v>5</v>
      </c>
      <c r="CB64" s="16">
        <f t="shared" ca="1" si="195"/>
        <v>7</v>
      </c>
      <c r="CC64" s="16"/>
      <c r="CD64" s="16">
        <f t="shared" ca="1" si="183"/>
        <v>7.0069999999999997</v>
      </c>
      <c r="CE64" s="16">
        <f t="shared" ca="1" si="196"/>
        <v>6</v>
      </c>
      <c r="CF64" s="16">
        <f t="shared" ca="1" si="197"/>
        <v>7</v>
      </c>
      <c r="DJ64" s="16">
        <f t="shared" ca="1" si="184"/>
        <v>7</v>
      </c>
      <c r="DK64" s="16"/>
      <c r="DL64" s="16">
        <f t="shared" ca="1" si="185"/>
        <v>2</v>
      </c>
      <c r="DM64" s="16" t="str">
        <f t="shared" ca="1" si="186"/>
        <v>7.2</v>
      </c>
      <c r="DN64" s="16" t="e" cm="1" vm="33">
        <f t="array" aca="1" ref="DN64" ca="1">OFFSET(Horarios!$P$3,DJ64-1,0,DL64,1)</f>
        <v>#VALUE!</v>
      </c>
      <c r="DO64" s="16"/>
      <c r="DP64" s="16">
        <v>7</v>
      </c>
      <c r="DQ64" s="16" t="str">
        <f t="shared" ca="1" si="198"/>
        <v>Nueva Zelanda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2">
        <f t="array" aca="1" ref="AB65" ca="1">Ver_flag_local</f>
        <v>#VALUE!</v>
      </c>
      <c r="AC65" s="53">
        <v>1</v>
      </c>
      <c r="AD65" s="54">
        <v>2</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9</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7</v>
      </c>
      <c r="BL65" s="16">
        <f t="shared" ca="1" si="190"/>
        <v>-3</v>
      </c>
      <c r="BM65" s="16">
        <f t="shared" ca="1" si="191"/>
        <v>9</v>
      </c>
      <c r="BN65" s="16">
        <f t="shared" ca="1" si="192"/>
        <v>9</v>
      </c>
      <c r="BO65" s="16" t="str">
        <f t="shared" si="174"/>
        <v>4H</v>
      </c>
      <c r="BP65" s="16"/>
      <c r="BQ65" s="16"/>
      <c r="BR65" s="16">
        <f t="shared" ca="1" si="175"/>
        <v>3</v>
      </c>
      <c r="BS65" s="16">
        <f t="shared" ca="1" si="193"/>
        <v>4</v>
      </c>
      <c r="BT65" s="16" t="str">
        <f t="shared" ca="1" si="194"/>
        <v>Pos. 4 (8)</v>
      </c>
      <c r="BU65" s="16">
        <f t="shared" ca="1" si="176"/>
        <v>-3</v>
      </c>
      <c r="BV65" s="16">
        <f t="shared" ca="1" si="177"/>
        <v>9</v>
      </c>
      <c r="BW65" s="16" t="str">
        <f t="shared" ca="1" si="178"/>
        <v>Pos. 9 (2)</v>
      </c>
      <c r="BX65" s="16">
        <f t="shared" ca="1" si="179"/>
        <v>4</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7</v>
      </c>
      <c r="DK65" s="16"/>
      <c r="DL65" s="16">
        <f t="shared" ca="1" si="185"/>
        <v>2</v>
      </c>
      <c r="DM65" s="16" t="str">
        <f t="shared" ca="1" si="186"/>
        <v>7.2</v>
      </c>
      <c r="DN65" s="16" t="e" cm="1" vm="33">
        <f t="array" aca="1" ref="DN65" ca="1">OFFSET(Horarios!$P$3,DJ65-1,0,DL65,1)</f>
        <v>#VALUE!</v>
      </c>
      <c r="DO65" s="16"/>
      <c r="DP65" s="16">
        <v>8</v>
      </c>
      <c r="DQ65" s="16" t="str">
        <f t="shared" ca="1" si="198"/>
        <v>Sudáfrica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3</v>
      </c>
      <c r="BK66" s="16">
        <f t="shared" ca="1" si="173"/>
        <v>6</v>
      </c>
      <c r="BL66" s="16">
        <f t="shared" ca="1" si="190"/>
        <v>-3</v>
      </c>
      <c r="BM66" s="16">
        <f t="shared" ca="1" si="191"/>
        <v>10</v>
      </c>
      <c r="BN66" s="16">
        <f t="shared" ca="1" si="192"/>
        <v>10</v>
      </c>
      <c r="BO66" s="16" t="str">
        <f t="shared" si="174"/>
        <v>4I</v>
      </c>
      <c r="BP66" s="16"/>
      <c r="BQ66" s="16"/>
      <c r="BR66" s="16">
        <f t="shared" ca="1" si="175"/>
        <v>3</v>
      </c>
      <c r="BS66" s="16">
        <f t="shared" ca="1" si="193"/>
        <v>4</v>
      </c>
      <c r="BT66" s="16" t="str">
        <f t="shared" ca="1" si="194"/>
        <v>Pos. 4 (8)</v>
      </c>
      <c r="BU66" s="16">
        <f t="shared" ca="1" si="176"/>
        <v>-3</v>
      </c>
      <c r="BV66" s="16">
        <f t="shared" ca="1" si="177"/>
        <v>9</v>
      </c>
      <c r="BW66" s="16" t="str">
        <f t="shared" ca="1" si="178"/>
        <v>Pos. 9 (2)</v>
      </c>
      <c r="BX66" s="16">
        <f t="shared" ca="1" si="179"/>
        <v>3</v>
      </c>
      <c r="BY66" s="16">
        <f t="shared" ca="1" si="180"/>
        <v>10</v>
      </c>
      <c r="BZ66" s="16" t="str">
        <f t="shared" ca="1" si="181"/>
        <v>-</v>
      </c>
      <c r="CA66" s="16" t="str">
        <f t="shared" ca="1" si="182"/>
        <v>-</v>
      </c>
      <c r="CB66" s="16">
        <f t="shared" ca="1" si="195"/>
        <v>10</v>
      </c>
      <c r="CC66" s="16"/>
      <c r="CD66" s="16">
        <f t="shared" ca="1" si="183"/>
        <v>10</v>
      </c>
      <c r="CE66" s="16" t="str">
        <f t="shared" ca="1" si="196"/>
        <v>-</v>
      </c>
      <c r="CF66" s="16">
        <f t="shared" ca="1" si="197"/>
        <v>10</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Arabia Saudita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3</v>
      </c>
      <c r="BF67" s="16">
        <f t="shared" ca="1" si="189"/>
        <v>3</v>
      </c>
      <c r="BG67" s="16">
        <f t="shared" ca="1" si="169"/>
        <v>1</v>
      </c>
      <c r="BH67" s="16">
        <f t="shared" ca="1" si="170"/>
        <v>0</v>
      </c>
      <c r="BI67" s="16">
        <f t="shared" ca="1" si="171"/>
        <v>2</v>
      </c>
      <c r="BJ67" s="16">
        <f t="shared" ca="1" si="172"/>
        <v>4</v>
      </c>
      <c r="BK67" s="16">
        <f t="shared" ca="1" si="173"/>
        <v>5</v>
      </c>
      <c r="BL67" s="16">
        <f t="shared" ca="1" si="190"/>
        <v>-1</v>
      </c>
      <c r="BM67" s="16">
        <f t="shared" ca="1" si="191"/>
        <v>4</v>
      </c>
      <c r="BN67" s="16">
        <f t="shared" ca="1" si="192"/>
        <v>4</v>
      </c>
      <c r="BO67" s="16" t="str">
        <f t="shared" si="174"/>
        <v>4J</v>
      </c>
      <c r="BP67" s="16"/>
      <c r="BQ67" s="16"/>
      <c r="BR67" s="16">
        <f t="shared" ca="1" si="175"/>
        <v>3</v>
      </c>
      <c r="BS67" s="16">
        <f t="shared" ca="1" si="193"/>
        <v>4</v>
      </c>
      <c r="BT67" s="16" t="str">
        <f t="shared" ca="1" si="194"/>
        <v>Pos. 4 (8)</v>
      </c>
      <c r="BU67" s="16">
        <f t="shared" ca="1" si="176"/>
        <v>-1</v>
      </c>
      <c r="BV67" s="16">
        <f t="shared" ca="1" si="177"/>
        <v>4</v>
      </c>
      <c r="BW67" s="16" t="str">
        <f t="shared" ca="1" si="178"/>
        <v>-</v>
      </c>
      <c r="BX67" s="16" t="str">
        <f t="shared" ca="1" si="179"/>
        <v>-</v>
      </c>
      <c r="BY67" s="16">
        <f t="shared" ca="1" si="180"/>
        <v>4</v>
      </c>
      <c r="BZ67" s="16" t="str">
        <f t="shared" ca="1" si="181"/>
        <v>-</v>
      </c>
      <c r="CA67" s="16" t="str">
        <f t="shared" ca="1" si="182"/>
        <v>-</v>
      </c>
      <c r="CB67" s="16">
        <f t="shared" ca="1" si="195"/>
        <v>4</v>
      </c>
      <c r="CC67" s="16"/>
      <c r="CD67" s="16">
        <f t="shared" ca="1" si="183"/>
        <v>4</v>
      </c>
      <c r="CE67" s="16" t="str">
        <f t="shared" ca="1" si="196"/>
        <v>-</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Senegal</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3</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1</v>
      </c>
      <c r="BK68" s="16">
        <f t="shared" ca="1" si="173"/>
        <v>6</v>
      </c>
      <c r="BL68" s="16">
        <f t="shared" ca="1" si="190"/>
        <v>-5</v>
      </c>
      <c r="BM68" s="16">
        <f t="shared" ca="1" si="191"/>
        <v>11</v>
      </c>
      <c r="BN68" s="16">
        <f t="shared" ca="1" si="192"/>
        <v>11</v>
      </c>
      <c r="BO68" s="16" t="str">
        <f t="shared" si="174"/>
        <v>4K</v>
      </c>
      <c r="BP68" s="16"/>
      <c r="BQ68" s="16"/>
      <c r="BR68" s="16">
        <f t="shared" ca="1" si="175"/>
        <v>3</v>
      </c>
      <c r="BS68" s="16">
        <f t="shared" ca="1" si="193"/>
        <v>4</v>
      </c>
      <c r="BT68" s="16" t="str">
        <f t="shared" ca="1" si="194"/>
        <v>Pos. 4 (8)</v>
      </c>
      <c r="BU68" s="16">
        <f t="shared" ca="1" si="176"/>
        <v>-5</v>
      </c>
      <c r="BV68" s="16">
        <f t="shared" ca="1" si="177"/>
        <v>11</v>
      </c>
      <c r="BW68" s="16" t="str">
        <f t="shared" ca="1" si="178"/>
        <v>-</v>
      </c>
      <c r="BX68" s="16" t="str">
        <f t="shared" ca="1" si="179"/>
        <v>-</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Uzbekistán</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1</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4</v>
      </c>
      <c r="BK69" s="16">
        <f t="shared" ca="1" si="173"/>
        <v>4</v>
      </c>
      <c r="BL69" s="16">
        <f t="shared" ca="1" si="190"/>
        <v>0</v>
      </c>
      <c r="BM69" s="16">
        <f t="shared" ca="1" si="191"/>
        <v>2</v>
      </c>
      <c r="BN69" s="16">
        <f t="shared" ca="1" si="192"/>
        <v>2</v>
      </c>
      <c r="BO69" s="16" t="str">
        <f t="shared" si="174"/>
        <v>4L</v>
      </c>
      <c r="BP69" s="16"/>
      <c r="BQ69" s="16"/>
      <c r="BR69" s="16">
        <f t="shared" ca="1" si="175"/>
        <v>4</v>
      </c>
      <c r="BS69" s="16">
        <f t="shared" ca="1" si="193"/>
        <v>1</v>
      </c>
      <c r="BT69" s="16" t="str">
        <f t="shared" ca="1" si="194"/>
        <v>Pos. 1 (3)</v>
      </c>
      <c r="BU69" s="16">
        <f t="shared" ca="1" si="176"/>
        <v>0</v>
      </c>
      <c r="BV69" s="16">
        <f t="shared" ca="1" si="177"/>
        <v>2</v>
      </c>
      <c r="BW69" s="16" t="str">
        <f t="shared" ca="1" si="178"/>
        <v>-</v>
      </c>
      <c r="BX69" s="16" t="str">
        <f t="shared" ca="1" si="179"/>
        <v>-</v>
      </c>
      <c r="BY69" s="16">
        <f t="shared" ca="1" si="180"/>
        <v>2</v>
      </c>
      <c r="BZ69" s="16" t="str">
        <f t="shared" ca="1" si="181"/>
        <v>-</v>
      </c>
      <c r="CA69" s="16" t="str">
        <f t="shared" ca="1" si="182"/>
        <v>-</v>
      </c>
      <c r="CB69" s="16">
        <f ca="1">BY69+COUNTIFS(BZ$58:BZ$69,BZ69,CA$58:CA$69,"&gt;"&amp;CA69)</f>
        <v>2</v>
      </c>
      <c r="CC69" s="16"/>
      <c r="CD69" s="16">
        <f t="shared" ca="1" si="183"/>
        <v>2</v>
      </c>
      <c r="CE69" s="16" t="str">
        <f t="shared" ca="1" si="196"/>
        <v>-</v>
      </c>
      <c r="CF69" s="16">
        <f t="shared" ca="1" si="197"/>
        <v>2</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Suecia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4</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3</v>
      </c>
      <c r="AS72" s="39">
        <f t="shared" ca="1" si="233"/>
        <v>6</v>
      </c>
      <c r="AT72" s="43">
        <f t="shared" ca="1" si="233"/>
        <v>-3</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2</v>
      </c>
      <c r="AS73" s="47">
        <f t="shared" ca="1" si="233"/>
        <v>7</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3</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39">
        <f t="array" aca="1" ref="AK79" ca="1">Ver_flag_visit</f>
        <v>#VALUE!</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3</v>
      </c>
      <c r="AS79" s="39">
        <f t="shared" ca="1" si="251"/>
        <v>4</v>
      </c>
      <c r="AT79" s="43">
        <f t="shared" ca="1" si="251"/>
        <v>-1</v>
      </c>
      <c r="AU79" s="330">
        <f ca="1">INDEX($DL$6:$DL$53,MATCH(AI79,$DP$6:$DP$53,0))</f>
        <v>1</v>
      </c>
      <c r="AV79" s="182" t="str">
        <f ca="1">INDEX($BD$6:$BD$53,MATCH(AI79,$BM$6:$BM$53,0))</f>
        <v>Argelia</v>
      </c>
      <c r="AW79" s="210"/>
      <c r="AX79" s="171"/>
      <c r="AY79" s="203" t="str">
        <f ca="1">+A78</f>
        <v>Argelia</v>
      </c>
      <c r="AZ79" s="204"/>
      <c r="BA79" s="176"/>
      <c r="DN79" s="16"/>
    </row>
    <row r="80" spans="1:121" ht="16.05" customHeight="1">
      <c r="A80" s="16" t="str">
        <f ca="1">+Equipos!B41</f>
        <v>Jordania</v>
      </c>
      <c r="B80" s="16"/>
      <c r="C80" s="16"/>
      <c r="D80" s="16" t="str">
        <f t="shared" si="235"/>
        <v>Local</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2</v>
      </c>
      <c r="AD80" s="51">
        <v>1</v>
      </c>
      <c r="AE80" s="595" t="e" cm="1" vm="40">
        <f t="array" aca="1" ref="AE80" ca="1">Ver_flag_visit</f>
        <v>#VALUE!</v>
      </c>
      <c r="AF80" s="32" t="str">
        <f ca="1">A79</f>
        <v>Austria</v>
      </c>
      <c r="AG80" s="323">
        <f t="shared" si="248"/>
        <v>1</v>
      </c>
      <c r="AH80" s="195">
        <v>69</v>
      </c>
      <c r="AI80" s="181" t="str">
        <f t="shared" si="252"/>
        <v>3J</v>
      </c>
      <c r="AJ80" s="42">
        <v>3</v>
      </c>
      <c r="AK80" s="602" t="e" cm="1" vm="40">
        <f t="array" aca="1" ref="AK80" ca="1">Ver_flag_visit</f>
        <v>#VALUE!</v>
      </c>
      <c r="AL80" s="37" t="str">
        <f ca="1">IFERROR(INDEX($BD$6:$BD$53,MATCH(AI80,$BN$6:$BN$53,0)),"")</f>
        <v>Austria</v>
      </c>
      <c r="AM80" s="38">
        <f t="shared" ca="1" si="251"/>
        <v>3</v>
      </c>
      <c r="AN80" s="39">
        <f t="shared" ca="1" si="251"/>
        <v>3</v>
      </c>
      <c r="AO80" s="39">
        <f t="shared" ca="1" si="251"/>
        <v>1</v>
      </c>
      <c r="AP80" s="39">
        <f t="shared" ca="1" si="251"/>
        <v>0</v>
      </c>
      <c r="AQ80" s="39">
        <f t="shared" ca="1" si="251"/>
        <v>2</v>
      </c>
      <c r="AR80" s="39">
        <f t="shared" ca="1" si="251"/>
        <v>4</v>
      </c>
      <c r="AS80" s="39">
        <f t="shared" ca="1" si="251"/>
        <v>5</v>
      </c>
      <c r="AT80" s="43">
        <f t="shared" ca="1" si="251"/>
        <v>-1</v>
      </c>
      <c r="AU80" s="330">
        <f ca="1">INDEX($DL$6:$DL$53,MATCH(AI80,$DP$6:$DP$53,0))</f>
        <v>1</v>
      </c>
      <c r="AV80" s="182" t="str">
        <f ca="1">INDEX($BD$6:$BD$53,MATCH(AI80,$BM$6:$BM$53,0))</f>
        <v>Austria</v>
      </c>
      <c r="AW80" s="210"/>
      <c r="AX80" s="171"/>
      <c r="AY80" s="201" t="str">
        <f ca="1">+A79</f>
        <v>Austria</v>
      </c>
      <c r="AZ80" s="202"/>
      <c r="BA80" s="17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6</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1</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3</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7</v>
      </c>
      <c r="AS87" s="39">
        <f t="shared" ca="1" si="269"/>
        <v>3</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1</v>
      </c>
      <c r="AS88" s="39">
        <f t="shared" ca="1" si="269"/>
        <v>6</v>
      </c>
      <c r="AT88" s="43">
        <f t="shared" ca="1" si="269"/>
        <v>-5</v>
      </c>
      <c r="AU88" s="330">
        <f ca="1">INDEX($DL$6:$DL$53,MATCH(AI88,$DP$6:$DP$53,0))</f>
        <v>1</v>
      </c>
      <c r="AV88" s="182" t="str">
        <f ca="1">INDEX($BD$6:$BD$53,MATCH(AI88,$BM$6:$BM$53,0))</f>
        <v>Uzbekistán</v>
      </c>
      <c r="AW88" s="210"/>
      <c r="AX88" s="171"/>
      <c r="AY88" s="201" t="str">
        <f ca="1">+A87</f>
        <v>Uzbekistán</v>
      </c>
      <c r="AZ88" s="202"/>
      <c r="BA88" s="176"/>
    </row>
    <row r="89" spans="1:118" ht="16.0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0</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1</v>
      </c>
      <c r="AS89" s="47">
        <f t="shared" ca="1" si="269"/>
        <v>6</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5</v>
      </c>
      <c r="AS94" s="36">
        <f t="shared" ca="1" si="287"/>
        <v>2</v>
      </c>
      <c r="AT94" s="41">
        <f t="shared" ca="1" si="287"/>
        <v>3</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4</v>
      </c>
      <c r="AS95" s="39">
        <f t="shared" ca="1" si="287"/>
        <v>3</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1</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4</v>
      </c>
      <c r="AS96" s="39">
        <f t="shared" ca="1" si="287"/>
        <v>4</v>
      </c>
      <c r="AT96" s="43">
        <f t="shared" ca="1" si="287"/>
        <v>0</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Bosnia y Herzegovina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República Checa</v>
      </c>
      <c r="AB101" s="89"/>
      <c r="AC101" s="51">
        <v>1</v>
      </c>
      <c r="AD101" s="51">
        <v>2</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ABCDEGJL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0</v>
      </c>
      <c r="AE102" s="89"/>
      <c r="AF102" s="91" t="str">
        <f t="shared" ca="1" si="293"/>
        <v>Japón</v>
      </c>
      <c r="AG102" s="327">
        <f t="shared" ca="1" si="294"/>
        <v>1</v>
      </c>
      <c r="AH102" s="195">
        <v>76</v>
      </c>
      <c r="AI102" s="182">
        <v>1</v>
      </c>
      <c r="AJ102" s="80">
        <v>1</v>
      </c>
      <c r="AK102" s="605" t="e" cm="1" vm="19">
        <f t="array" aca="1" ref="AK102" ca="1">Ver_flag_visit</f>
        <v>#VALUE!</v>
      </c>
      <c r="AL102" s="81" t="str">
        <f t="shared" ref="AL102:AL113" ca="1" si="297">+IF($H$113&gt;=48,INDEX($BD$58:$BD$69,MATCH(AI102,$BN$58:$BN$69,0)),BB58)</f>
        <v>Costa de Marfil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Costa de Marfil</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Escocia</v>
      </c>
      <c r="AG103" s="327">
        <f t="shared" ca="1" si="294"/>
        <v>1</v>
      </c>
      <c r="AH103" s="195">
        <v>74</v>
      </c>
      <c r="AI103" s="182">
        <v>2</v>
      </c>
      <c r="AJ103" s="42">
        <v>2</v>
      </c>
      <c r="AK103" s="602" t="e" cm="1" vm="48">
        <f t="array" aca="1" ref="AK103" ca="1">Ver_flag_visit</f>
        <v>#VALUE!</v>
      </c>
      <c r="AL103" s="85" t="str">
        <f t="shared" ca="1" si="297"/>
        <v>Ghana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Ghana</v>
      </c>
      <c r="AW103" s="215"/>
      <c r="AX103" s="170"/>
      <c r="AY103" s="276"/>
      <c r="AZ103" s="279" t="str">
        <f t="shared" ref="AZ103:AZ110" ca="1" si="303">+IF(OR($H$113&gt;=48,$AJ$99=144),BF117&amp;" - "&amp;BG117,"")</f>
        <v>1A - 3E</v>
      </c>
      <c r="BA103" s="176"/>
      <c r="BF103" t="str">
        <f t="shared" ref="BF103:BF110" ca="1" si="304">IFERROR(INDEX($BC$6:$BC$53,MATCH(AL102,$BD$6:$BD$53,0)),"")</f>
        <v>E</v>
      </c>
      <c r="BG103">
        <f t="shared" ref="BG103:BG110" ca="1" si="305">COUNTIF($BF$103:$BF$110,"&lt;="&amp;BF103)</f>
        <v>5</v>
      </c>
      <c r="BI103">
        <v>1</v>
      </c>
      <c r="BJ103" t="str">
        <f t="shared" ref="BJ103:BJ110" ca="1" si="306">IFERROR(INDEX($BF$103:$BF$110,MATCH(BI103,$BG$103:$BG$110,0)),"Grupo")</f>
        <v>A</v>
      </c>
    </row>
    <row r="104" spans="1:62" ht="16.0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3</v>
      </c>
      <c r="AD104" s="92">
        <v>2</v>
      </c>
      <c r="AE104" s="89"/>
      <c r="AF104" s="91" t="str">
        <f t="shared" ca="1" si="293"/>
        <v>Marruecos</v>
      </c>
      <c r="AG104" s="327">
        <f t="shared" ca="1" si="294"/>
        <v>1</v>
      </c>
      <c r="AH104" s="195">
        <v>75</v>
      </c>
      <c r="AI104" s="182">
        <v>3</v>
      </c>
      <c r="AJ104" s="42">
        <v>3</v>
      </c>
      <c r="AK104" s="602" t="e" cm="1" vm="14">
        <f t="array" aca="1" ref="AK104" ca="1">Ver_flag_visit</f>
        <v>#VALUE!</v>
      </c>
      <c r="AL104" s="85" t="str">
        <f t="shared" ca="1" si="297"/>
        <v>Paraguay</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4</v>
      </c>
      <c r="AT104" s="87">
        <f t="shared" ca="1" si="307"/>
        <v>-1</v>
      </c>
      <c r="AU104" s="330">
        <f t="shared" ca="1" si="299"/>
        <v>1</v>
      </c>
      <c r="AV104" s="182" t="str">
        <f t="shared" ca="1" si="300"/>
        <v>Paraguay</v>
      </c>
      <c r="AW104" s="215"/>
      <c r="AX104" s="170"/>
      <c r="AY104" s="276"/>
      <c r="AZ104" s="279" t="str">
        <f t="shared" ca="1" si="303"/>
        <v>1B - 3G</v>
      </c>
      <c r="BA104" s="176"/>
      <c r="BF104" t="str">
        <f t="shared" ca="1" si="304"/>
        <v>L</v>
      </c>
      <c r="BG104">
        <f t="shared" ca="1" si="305"/>
        <v>8</v>
      </c>
      <c r="BI104">
        <v>2</v>
      </c>
      <c r="BJ104" t="str">
        <f t="shared" ca="1" si="306"/>
        <v>B</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v>0</v>
      </c>
      <c r="AC105" s="92">
        <v>1</v>
      </c>
      <c r="AD105" s="92">
        <v>1</v>
      </c>
      <c r="AE105" s="89">
        <v>1</v>
      </c>
      <c r="AF105" s="91" t="str">
        <f t="shared" ca="1" si="293"/>
        <v>Noruega</v>
      </c>
      <c r="AG105" s="327">
        <f t="shared" ca="1" si="294"/>
        <v>1</v>
      </c>
      <c r="AH105" s="195">
        <v>78</v>
      </c>
      <c r="AI105" s="182">
        <v>4</v>
      </c>
      <c r="AJ105" s="42">
        <v>4</v>
      </c>
      <c r="AK105" s="602" t="e" cm="1" vm="40">
        <f t="array" aca="1" ref="AK105" ca="1">Ver_flag_visit</f>
        <v>#VALUE!</v>
      </c>
      <c r="AL105" s="85" t="str">
        <f t="shared" ca="1" si="297"/>
        <v>Austria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5</v>
      </c>
      <c r="AT105" s="87">
        <f t="shared" ca="1" si="308"/>
        <v>-1</v>
      </c>
      <c r="AU105" s="330">
        <f t="shared" ca="1" si="299"/>
        <v>1</v>
      </c>
      <c r="AV105" s="182" t="str">
        <f t="shared" ca="1" si="300"/>
        <v>Austria</v>
      </c>
      <c r="AW105" s="215"/>
      <c r="AX105" s="170"/>
      <c r="AY105" s="276"/>
      <c r="AZ105" s="279" t="str">
        <f t="shared" ca="1" si="303"/>
        <v>1D - 3B</v>
      </c>
      <c r="BA105" s="176"/>
      <c r="BF105" t="str">
        <f t="shared" ca="1" si="304"/>
        <v>D</v>
      </c>
      <c r="BG105">
        <f t="shared" ca="1" si="305"/>
        <v>4</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Paraguay</v>
      </c>
      <c r="AG106" s="327">
        <f t="shared" ca="1" si="294"/>
        <v>1</v>
      </c>
      <c r="AH106" s="195">
        <v>77</v>
      </c>
      <c r="AI106" s="182">
        <v>5</v>
      </c>
      <c r="AJ106" s="42">
        <v>5</v>
      </c>
      <c r="AK106" s="602" t="e" cm="1" vm="5">
        <f t="array" aca="1" ref="AK106" ca="1">Ver_flag_visit</f>
        <v>#VALUE!</v>
      </c>
      <c r="AL106" s="85" t="str">
        <f t="shared" ca="1" si="297"/>
        <v>Canadá</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5</v>
      </c>
      <c r="AT106" s="87">
        <f t="shared" ca="1" si="309"/>
        <v>-2</v>
      </c>
      <c r="AU106" s="330">
        <f t="shared" ca="1" si="299"/>
        <v>2</v>
      </c>
      <c r="AV106" s="182" t="str">
        <f t="shared" ca="1" si="300"/>
        <v>Canadá</v>
      </c>
      <c r="AW106" s="215">
        <v>5</v>
      </c>
      <c r="AX106" s="170"/>
      <c r="AY106" s="276"/>
      <c r="AZ106" s="279" t="str">
        <f t="shared" ca="1" si="303"/>
        <v>1E - 3C</v>
      </c>
      <c r="BA106" s="176"/>
      <c r="BF106" t="str">
        <f t="shared" ca="1" si="304"/>
        <v>J</v>
      </c>
      <c r="BG106">
        <f t="shared" ca="1" si="305"/>
        <v>7</v>
      </c>
      <c r="BI106">
        <v>4</v>
      </c>
      <c r="BJ106" t="str">
        <f t="shared" ca="1" si="306"/>
        <v>D</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3</v>
      </c>
      <c r="AD107" s="92">
        <v>0</v>
      </c>
      <c r="AE107" s="89"/>
      <c r="AF107" s="91" t="str">
        <f t="shared" ca="1" si="293"/>
        <v>Costa de Marfil</v>
      </c>
      <c r="AG107" s="327">
        <f t="shared" ca="1" si="294"/>
        <v>1</v>
      </c>
      <c r="AH107" s="195">
        <v>79</v>
      </c>
      <c r="AI107" s="182">
        <v>6</v>
      </c>
      <c r="AJ107" s="42">
        <v>6</v>
      </c>
      <c r="AK107" s="602" t="e" cm="1" vm="12">
        <f t="array" aca="1" ref="AK107" ca="1">Ver_flag_visit</f>
        <v>#VALUE!</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2</v>
      </c>
      <c r="AV107" s="182" t="str">
        <f ca="1">INDEX($BD$58:$BD$69,MATCH(AI107,$BM$58:$BM$69,0))</f>
        <v>Escocia</v>
      </c>
      <c r="AW107" s="215">
        <v>6</v>
      </c>
      <c r="AX107" s="170"/>
      <c r="AY107" s="276"/>
      <c r="AZ107" s="279" t="str">
        <f t="shared" ca="1" si="303"/>
        <v>1G - 3A</v>
      </c>
      <c r="BA107" s="176"/>
      <c r="BF107" t="str">
        <f t="shared" ca="1" si="304"/>
        <v>B</v>
      </c>
      <c r="BG107">
        <f t="shared" ca="1" si="305"/>
        <v>2</v>
      </c>
      <c r="BI107">
        <v>5</v>
      </c>
      <c r="BJ107" t="str">
        <f t="shared" ca="1" si="306"/>
        <v>E</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1</v>
      </c>
      <c r="AE108" s="89"/>
      <c r="AF108" s="91" t="str">
        <f t="shared" ca="1" si="293"/>
        <v>Austria</v>
      </c>
      <c r="AG108" s="327">
        <f t="shared" ca="1" si="294"/>
        <v>1</v>
      </c>
      <c r="AH108" s="195">
        <v>80</v>
      </c>
      <c r="AI108" s="182">
        <v>7</v>
      </c>
      <c r="AJ108" s="42">
        <v>7</v>
      </c>
      <c r="AK108" s="602" t="e" cm="1" vm="28">
        <f t="array" aca="1" ref="AK108" ca="1">Ver_flag_visit</f>
        <v>#VALUE!</v>
      </c>
      <c r="AL108" s="85" t="str">
        <f t="shared" ca="1" si="297"/>
        <v>Nueva Zelanda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2</v>
      </c>
      <c r="AS108" s="86">
        <f t="shared" ca="1" si="311"/>
        <v>4</v>
      </c>
      <c r="AT108" s="87">
        <f t="shared" ca="1" si="311"/>
        <v>-2</v>
      </c>
      <c r="AU108" s="330">
        <f t="shared" ca="1" si="299"/>
        <v>2</v>
      </c>
      <c r="AV108" s="182" t="str">
        <f t="shared" ca="1" si="300"/>
        <v>Nueva Zelanda</v>
      </c>
      <c r="AW108" s="215">
        <v>7</v>
      </c>
      <c r="AX108" s="170"/>
      <c r="AY108" s="276"/>
      <c r="AZ108" s="279" t="str">
        <f t="shared" ca="1" si="303"/>
        <v>1I - 3D</v>
      </c>
      <c r="BA108" s="176"/>
      <c r="BF108" t="str">
        <f t="shared" ca="1" si="304"/>
        <v>C</v>
      </c>
      <c r="BG108">
        <f t="shared" ca="1" si="305"/>
        <v>3</v>
      </c>
      <c r="BI108">
        <v>6</v>
      </c>
      <c r="BJ108" t="str">
        <f t="shared" ca="1" si="306"/>
        <v>G</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Sudáfrica</v>
      </c>
      <c r="AG109" s="327">
        <f t="shared" ca="1" si="294"/>
        <v>1</v>
      </c>
      <c r="AH109" s="195">
        <v>82</v>
      </c>
      <c r="AI109" s="182">
        <v>8</v>
      </c>
      <c r="AJ109" s="42">
        <v>8</v>
      </c>
      <c r="AK109" s="602" t="e" cm="1" vm="2">
        <f t="array" aca="1" ref="AK109" ca="1">Ver_flag_visit</f>
        <v>#VALUE!</v>
      </c>
      <c r="AL109" s="85" t="str">
        <f t="shared" ca="1" si="297"/>
        <v>Sudáfrica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4</v>
      </c>
      <c r="AT109" s="87">
        <f t="shared" ca="1" si="312"/>
        <v>-2</v>
      </c>
      <c r="AU109" s="330">
        <f t="shared" ca="1" si="299"/>
        <v>2</v>
      </c>
      <c r="AV109" s="182" t="str">
        <f t="shared" ca="1" si="300"/>
        <v>Sudáfrica</v>
      </c>
      <c r="AW109" s="215">
        <v>8</v>
      </c>
      <c r="AX109" s="170"/>
      <c r="AY109" s="276"/>
      <c r="AZ109" s="279" t="str">
        <f t="shared" ca="1" si="303"/>
        <v>1K - 3L</v>
      </c>
      <c r="BA109" s="176"/>
      <c r="BF109" t="str">
        <f t="shared" ca="1" si="304"/>
        <v>G</v>
      </c>
      <c r="BG109">
        <f t="shared" ca="1" si="305"/>
        <v>6</v>
      </c>
      <c r="BI109">
        <v>7</v>
      </c>
      <c r="BJ109" t="str">
        <f t="shared" ca="1" si="306"/>
        <v>J</v>
      </c>
    </row>
    <row r="110" spans="1:62" ht="16.0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c r="AC110" s="92">
        <v>2</v>
      </c>
      <c r="AD110" s="92">
        <v>0</v>
      </c>
      <c r="AE110" s="89"/>
      <c r="AF110" s="91" t="str">
        <f t="shared" ca="1" si="293"/>
        <v>Canadá</v>
      </c>
      <c r="AG110" s="327">
        <f t="shared" ca="1" si="294"/>
        <v>1</v>
      </c>
      <c r="AH110" s="195">
        <v>81</v>
      </c>
      <c r="AI110" s="182">
        <v>9</v>
      </c>
      <c r="AJ110" s="42">
        <v>9</v>
      </c>
      <c r="AK110" s="602" t="e" cm="1" vm="31">
        <f t="array" aca="1" ref="AK110" ca="1">Ver_flag_visit</f>
        <v>#VALUE!</v>
      </c>
      <c r="AL110" s="85" t="str">
        <f t="shared" ca="1" si="297"/>
        <v>Arabia Saudita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4</v>
      </c>
      <c r="AS110" s="86">
        <f t="shared" ca="1" si="313"/>
        <v>7</v>
      </c>
      <c r="AT110" s="87">
        <f t="shared" ca="1" si="313"/>
        <v>-3</v>
      </c>
      <c r="AU110" s="330">
        <f t="shared" ca="1" si="299"/>
        <v>1</v>
      </c>
      <c r="AV110" s="182" t="str">
        <f t="shared" ca="1" si="300"/>
        <v>Arabia Saudita</v>
      </c>
      <c r="AW110" s="215"/>
      <c r="AX110" s="170"/>
      <c r="AY110" s="276"/>
      <c r="AZ110" s="279" t="str">
        <f t="shared" ca="1" si="303"/>
        <v>1L - 3J</v>
      </c>
      <c r="BA110" s="176"/>
      <c r="BF110" t="str">
        <f t="shared" ca="1" si="304"/>
        <v>A</v>
      </c>
      <c r="BG110">
        <f t="shared" ca="1" si="305"/>
        <v>1</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0</v>
      </c>
      <c r="AE111" s="89"/>
      <c r="AF111" s="91" t="str">
        <f t="shared" ca="1" si="293"/>
        <v>Argelia</v>
      </c>
      <c r="AG111" s="327">
        <f t="shared" ca="1" si="294"/>
        <v>1</v>
      </c>
      <c r="AH111" s="195">
        <v>84</v>
      </c>
      <c r="AI111" s="182">
        <v>10</v>
      </c>
      <c r="AJ111" s="42">
        <v>10</v>
      </c>
      <c r="AK111" s="602" t="e" cm="1" vm="35">
        <f t="array" aca="1" ref="AK111" ca="1">Ver_flag_visit</f>
        <v>#VALUE!</v>
      </c>
      <c r="AL111" s="85" t="str">
        <f t="shared" ca="1" si="297"/>
        <v>Senegal</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3</v>
      </c>
      <c r="AS111" s="86">
        <f t="shared" ca="1" si="314"/>
        <v>6</v>
      </c>
      <c r="AT111" s="87">
        <f t="shared" ca="1" si="314"/>
        <v>-3</v>
      </c>
      <c r="AU111" s="330">
        <f t="shared" ca="1" si="299"/>
        <v>1</v>
      </c>
      <c r="AV111" s="182" t="str">
        <f t="shared" ca="1" si="300"/>
        <v>Senegal</v>
      </c>
      <c r="AW111" s="215"/>
      <c r="AX111" s="170"/>
      <c r="AY111" s="275"/>
      <c r="AZ111" s="275"/>
      <c r="BA111" s="176"/>
      <c r="BI111" t="s">
        <v>87</v>
      </c>
    </row>
    <row r="112" spans="1:62" ht="16.0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3</v>
      </c>
      <c r="AD112" s="92">
        <v>2</v>
      </c>
      <c r="AE112" s="89"/>
      <c r="AF112" s="91" t="str">
        <f t="shared" ca="1" si="293"/>
        <v>Croacia</v>
      </c>
      <c r="AG112" s="327">
        <f t="shared" ca="1" si="294"/>
        <v>1</v>
      </c>
      <c r="AH112" s="195">
        <v>83</v>
      </c>
      <c r="AI112" s="182">
        <v>11</v>
      </c>
      <c r="AJ112" s="42">
        <v>11</v>
      </c>
      <c r="AK112" s="602" t="e" cm="1" vm="44">
        <f t="array" aca="1" ref="AK112" ca="1">Ver_flag_visit</f>
        <v>#VALUE!</v>
      </c>
      <c r="AL112" s="85" t="str">
        <f t="shared" ca="1" si="297"/>
        <v>Uzbekistán</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6</v>
      </c>
      <c r="AT112" s="87">
        <f t="shared" ca="1" si="315"/>
        <v>-5</v>
      </c>
      <c r="AU112" s="330">
        <f t="shared" ca="1" si="299"/>
        <v>1</v>
      </c>
      <c r="AV112" s="182" t="str">
        <f t="shared" ca="1" si="300"/>
        <v>Uzbekistán</v>
      </c>
      <c r="AW112" s="215"/>
      <c r="AX112" s="170"/>
      <c r="AY112" s="275"/>
      <c r="AZ112" s="275"/>
      <c r="BA112" s="176"/>
      <c r="BI112" t="str">
        <f ca="1">IFERROR(CONCATENATE(BJ103,BJ104,BJ105,BJ106,BJ107,BJ108,BJ109,BJ110),"¿A/B/C/D/E/F/G/H/I/J/K/L?")</f>
        <v>ABCDEGJL</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3</v>
      </c>
      <c r="AD113" s="92">
        <v>1</v>
      </c>
      <c r="AE113" s="90"/>
      <c r="AF113" s="91" t="str">
        <f t="shared" ca="1" si="293"/>
        <v>Nueva Zelanda</v>
      </c>
      <c r="AG113" s="327">
        <f t="shared" ca="1" si="294"/>
        <v>1</v>
      </c>
      <c r="AH113" s="195">
        <v>85</v>
      </c>
      <c r="AI113" s="182">
        <v>12</v>
      </c>
      <c r="AJ113" s="44">
        <v>12</v>
      </c>
      <c r="AK113" s="604" t="e" cm="1" vm="23">
        <f t="array" aca="1" ref="AK113" ca="1">Ver_flag_visit</f>
        <v>#VALUE!</v>
      </c>
      <c r="AL113" s="45" t="str">
        <f t="shared" ca="1" si="297"/>
        <v>Suecia</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2</v>
      </c>
      <c r="AS113" s="47">
        <f t="shared" ca="1" si="316"/>
        <v>3</v>
      </c>
      <c r="AT113" s="48">
        <f t="shared" ca="1" si="316"/>
        <v>-1</v>
      </c>
      <c r="AU113" s="330">
        <f t="shared" ca="1" si="299"/>
        <v>1</v>
      </c>
      <c r="AV113" s="182" t="str">
        <f t="shared" ca="1" si="300"/>
        <v>Suecia</v>
      </c>
      <c r="AW113" s="215"/>
      <c r="AX113" s="170"/>
      <c r="AY113" s="154"/>
      <c r="AZ113" s="155"/>
      <c r="BA113" s="176"/>
    </row>
    <row r="114" spans="1:59" ht="16.0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1</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2</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Bosnia y Herzegovina</v>
      </c>
      <c r="AB120" s="89"/>
      <c r="AC120" s="96">
        <v>2</v>
      </c>
      <c r="AD120" s="96">
        <v>4</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Bosnia y Herzegovina</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3J</v>
      </c>
    </row>
    <row r="125" spans="1:59" ht="16.05" customHeight="1">
      <c r="A125" s="16" t="s">
        <v>751</v>
      </c>
      <c r="B125" s="16" t="s">
        <v>752</v>
      </c>
      <c r="C125" s="16"/>
      <c r="D125" s="16" t="str">
        <f t="shared" ca="1" si="317"/>
        <v>Turquía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Turquía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3</v>
      </c>
      <c r="AD132" s="99">
        <v>0</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0</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Argentina</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2</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Argentina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1518</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1520</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6" sqref="C6"/>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Pol C.</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2|0-2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2|1-2</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2|1-2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X|2-2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2|1-3</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X|0-0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2|0-1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1|4-1</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2|1-3</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1|2-1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1|2-0</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1|2-0</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2|1-3</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2|1-3</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1|2-1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2|0-1</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Sudáfrica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Bosnia y Herzegovina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Canadá</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Argelia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Austria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Bosnia y Herzegovina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Paraguay</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Austria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Sudáfrica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Canadá</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Argelia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Nueva Zelanda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República Checa-Bosnia y Herzegovina</v>
      </c>
      <c r="C164" s="349" t="str">
        <f ca="1">CONCATENATE(WORLDCUP!AA101,"-",WORLDCUP!AF101,"·",IF(WORLDCUP!AC101&gt;WORLDCUP!AD101,1,IF(WORLDCUP!AC101&lt;WORLDCUP!AD101,2,IF(AND(WORLDCUP!AC101=WORLDCUP!AD101,WORLDCUP!AC101&lt;&gt;"",WORLDCUP!AD101&lt;&gt;""),"X",0))),"|",WORLDCUP!AC101,"-",WORLDCUP!AD101)</f>
        <v>República Checa-Bosnia y Herzegovina·2|1-2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Bajos-Marruecos·1|3-2</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Ecuador-Noruega·X|1-1</v>
      </c>
      <c r="D168" s="692"/>
      <c r="E168" s="370"/>
      <c r="F168" s="370"/>
      <c r="G168" s="370"/>
      <c r="H168" s="370"/>
      <c r="I168" s="352"/>
      <c r="J168" s="370"/>
      <c r="K168" s="370"/>
      <c r="L168" s="370"/>
      <c r="M168" s="386"/>
      <c r="N168" s="377"/>
    </row>
    <row r="169" spans="1:14" ht="15" customHeight="1">
      <c r="A169" s="690"/>
      <c r="B169" s="360" t="str">
        <f ca="1">CONCATENATE(WORLDCUP!AA106,"-",WORLDCUP!AF106)</f>
        <v>Francia-Paraguay</v>
      </c>
      <c r="C169" s="349" t="str">
        <f ca="1">CONCATENATE(WORLDCUP!AA106,"-",WORLDCUP!AF106,"·",IF(WORLDCUP!AC106&gt;WORLDCUP!AD106,1,IF(WORLDCUP!AC106&lt;WORLDCUP!AD106,2,IF(AND(WORLDCUP!AC106=WORLDCUP!AD106,WORLDCUP!AC106&lt;&gt;"",WORLDCUP!AD106&lt;&gt;""),"X",0))),"|",WORLDCUP!AC106,"-",WORLDCUP!AD106)</f>
        <v>Francia-Paraguay·1|3-0</v>
      </c>
      <c r="D169" s="692"/>
      <c r="E169" s="370"/>
      <c r="F169" s="370"/>
      <c r="G169" s="370"/>
      <c r="H169" s="370"/>
      <c r="I169" s="352"/>
      <c r="J169" s="370"/>
      <c r="K169" s="370"/>
      <c r="L169" s="370"/>
      <c r="M169" s="386"/>
      <c r="N169" s="377"/>
    </row>
    <row r="170" spans="1:14" ht="15" customHeight="1">
      <c r="A170" s="690"/>
      <c r="B170" s="360" t="str">
        <f ca="1">CONCATENATE(WORLDCUP!AA107,"-",WORLDCUP!AF107)</f>
        <v>México-Costa de Marfil</v>
      </c>
      <c r="C170" s="349" t="str">
        <f ca="1">CONCATENATE(WORLDCUP!AA107,"-",WORLDCUP!AF107,"·",IF(WORLDCUP!AC107&gt;WORLDCUP!AD107,1,IF(WORLDCUP!AC107&lt;WORLDCUP!AD107,2,IF(AND(WORLDCUP!AC107=WORLDCUP!AD107,WORLDCUP!AC107&lt;&gt;"",WORLDCUP!AD107&lt;&gt;""),"X",0))),"|",WORLDCUP!AC107,"-",WORLDCUP!AD107)</f>
        <v>México-Costa de Marfil·1|3-0</v>
      </c>
      <c r="D170" s="692"/>
      <c r="E170" s="370"/>
      <c r="F170" s="370"/>
      <c r="G170" s="370"/>
      <c r="H170" s="370"/>
      <c r="I170" s="352"/>
      <c r="J170" s="370"/>
      <c r="K170" s="370"/>
      <c r="L170" s="370"/>
      <c r="M170" s="386"/>
      <c r="N170" s="377"/>
    </row>
    <row r="171" spans="1:14" ht="15" customHeight="1">
      <c r="A171" s="690"/>
      <c r="B171" s="360" t="str">
        <f ca="1">CONCATENATE(WORLDCUP!AA108,"-",WORLDCUP!AF108)</f>
        <v>Inglaterra-Austria</v>
      </c>
      <c r="C171" s="349" t="str">
        <f ca="1">CONCATENATE(WORLDCUP!AA108,"-",WORLDCUP!AF108,"·",IF(WORLDCUP!AC108&gt;WORLDCUP!AD108,1,IF(WORLDCUP!AC108&lt;WORLDCUP!AD108,2,IF(AND(WORLDCUP!AC108=WORLDCUP!AD108,WORLDCUP!AC108&lt;&gt;"",WORLDCUP!AD108&lt;&gt;""),"X",0))),"|",WORLDCUP!AC108,"-",WORLDCUP!AD108)</f>
        <v>Inglaterra-Austria·1|2-1</v>
      </c>
      <c r="D171" s="692"/>
      <c r="E171" s="370"/>
      <c r="F171" s="370"/>
      <c r="G171" s="370"/>
      <c r="H171" s="370"/>
      <c r="I171" s="352"/>
      <c r="J171" s="370"/>
      <c r="K171" s="370"/>
      <c r="L171" s="370"/>
      <c r="M171" s="386"/>
      <c r="N171" s="377"/>
    </row>
    <row r="172" spans="1:14" ht="15" customHeight="1">
      <c r="A172" s="690"/>
      <c r="B172" s="360" t="str">
        <f ca="1">CONCATENATE(WORLDCUP!AA109,"-",WORLDCUP!AF109)</f>
        <v>Bélgica-Sudáfrica</v>
      </c>
      <c r="C172" s="349" t="str">
        <f ca="1">CONCATENATE(WORLDCUP!AA109,"-",WORLDCUP!AF109,"·",IF(WORLDCUP!AC109&gt;WORLDCUP!AD109,1,IF(WORLDCUP!AC109&lt;WORLDCUP!AD109,2,IF(AND(WORLDCUP!AC109=WORLDCUP!AD109,WORLDCUP!AC109&lt;&gt;"",WORLDCUP!AD109&lt;&gt;""),"X",0))),"|",WORLDCUP!AC109,"-",WORLDCUP!AD109)</f>
        <v>Bélgica-Sudáfrica·1|2-0</v>
      </c>
      <c r="D172" s="692"/>
      <c r="E172" s="370"/>
      <c r="F172" s="370"/>
      <c r="G172" s="370"/>
      <c r="H172" s="370"/>
      <c r="I172" s="352"/>
      <c r="J172" s="370"/>
      <c r="K172" s="370"/>
      <c r="L172" s="370"/>
      <c r="M172" s="386"/>
      <c r="N172" s="377"/>
    </row>
    <row r="173" spans="1:14" ht="15" customHeight="1">
      <c r="A173" s="690"/>
      <c r="B173" s="360" t="str">
        <f ca="1">CONCATENATE(WORLDCUP!AA110,"-",WORLDCUP!AF110)</f>
        <v>Turquía-Canadá</v>
      </c>
      <c r="C173" s="349" t="str">
        <f ca="1">CONCATENATE(WORLDCUP!AA110,"-",WORLDCUP!AF110,"·",IF(WORLDCUP!AC110&gt;WORLDCUP!AD110,1,IF(WORLDCUP!AC110&lt;WORLDCUP!AD110,2,IF(AND(WORLDCUP!AC110=WORLDCUP!AD110,WORLDCUP!AC110&lt;&gt;"",WORLDCUP!AD110&lt;&gt;""),"X",0))),"|",WORLDCUP!AC110,"-",WORLDCUP!AD110)</f>
        <v>Turquía-Canadá·1|2-0</v>
      </c>
      <c r="D173" s="692"/>
      <c r="E173" s="370"/>
      <c r="F173" s="370"/>
      <c r="G173" s="370"/>
      <c r="H173" s="370"/>
      <c r="I173" s="352"/>
      <c r="J173" s="370"/>
      <c r="K173" s="370"/>
      <c r="L173" s="370"/>
      <c r="M173" s="386"/>
      <c r="N173" s="377"/>
    </row>
    <row r="174" spans="1:14" ht="15" customHeight="1">
      <c r="A174" s="690"/>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España-Argelia·1|3-0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Colombia-Croacia·1|3-2</v>
      </c>
      <c r="D175" s="692"/>
      <c r="E175" s="370"/>
      <c r="F175" s="370"/>
      <c r="G175" s="370"/>
      <c r="H175" s="370"/>
      <c r="I175" s="352"/>
      <c r="J175" s="370"/>
      <c r="K175" s="370"/>
      <c r="L175" s="370"/>
      <c r="M175" s="386"/>
      <c r="N175" s="377"/>
    </row>
    <row r="176" spans="1:14" ht="15" customHeight="1">
      <c r="A176" s="690"/>
      <c r="B176" s="360" t="str">
        <f ca="1">CONCATENATE(WORLDCUP!AA113,"-",WORLDCUP!AF113)</f>
        <v>Suiza-Nueva Zelanda</v>
      </c>
      <c r="C176" s="349" t="str">
        <f ca="1">CONCATENATE(WORLDCUP!AA113,"-",WORLDCUP!AF113,"·",IF(WORLDCUP!AC113&gt;WORLDCUP!AD113,1,IF(WORLDCUP!AC113&lt;WORLDCUP!AD113,2,IF(AND(WORLDCUP!AC113=WORLDCUP!AD113,WORLDCUP!AC113&lt;&gt;"",WORLDCUP!AD113&lt;&gt;""),"X",0))),"|",WORLDCUP!AC113,"-",WORLDCUP!AD113)</f>
        <v>Suiza-Nueva Zelanda·1|3-1</v>
      </c>
      <c r="D176" s="692"/>
      <c r="E176" s="370"/>
      <c r="F176" s="370"/>
      <c r="G176" s="370"/>
      <c r="H176" s="370"/>
      <c r="I176" s="352"/>
      <c r="J176" s="370"/>
      <c r="K176" s="370"/>
      <c r="L176" s="370"/>
      <c r="M176" s="386"/>
      <c r="N176" s="377"/>
    </row>
    <row r="177" spans="1:14" ht="15" customHeight="1">
      <c r="A177" s="690"/>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Unidos-Egipto·2|1-2</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Argentina-Uruguay·1|3-2</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Bosnia y Herzegovina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Bosnia y Herzegovina-Países Bajos</v>
      </c>
      <c r="C200" s="351" t="str">
        <f ca="1">CONCATENATE(WORLDCUP!AA120,"-",WORLDCUP!AF120,"·",IF(WORLDCUP!AC120&gt;WORLDCUP!AD120,1,IF(WORLDCUP!AC120&lt;WORLDCUP!AD120,2,IF(AND(WORLDCUP!AC120=WORLDCUP!AD120,WORLDCUP!AC120&lt;&gt;"",WORLDCUP!AD120&lt;&gt;""),"X",0))),"|",WORLDCUP!AC120,"-",WORLDCUP!AD120)</f>
        <v>Bosnia y Herzegovina-Países Bajos·2|2-4</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Alemania-Francia·2|1-3</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91"/>
      <c r="E204" s="352"/>
      <c r="F204" s="352"/>
      <c r="G204" s="352"/>
      <c r="H204" s="352"/>
      <c r="I204" s="352"/>
      <c r="J204" s="370"/>
      <c r="K204" s="370"/>
      <c r="L204" s="370"/>
      <c r="M204" s="386"/>
      <c r="N204" s="377"/>
    </row>
    <row r="205" spans="1:14" ht="15" customHeight="1">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Argentina-Egipto·1|3-1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Turquía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España-Turquía·1|3-0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Francia-España·2|2-3</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España-Argentina·2|1-2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Argentina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España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lamine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harry 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mbape</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U16" sqref="U1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5-1</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8-2</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7</v>
      </c>
      <c r="J5" s="39">
        <f ca="1">+INDEX(WORLDCUP!$AT$6:$AT$97,MATCH(L5,WORLDCUP!$AI$6:$AI$97,0))</f>
        <v>3</v>
      </c>
      <c r="K5" s="43" t="str">
        <f ca="1">+INDEX(WORLDCUP!$AR$6:$AR$97,MATCH(L5,WORLDCUP!$AI$6:$AI$97,0))&amp;"-"&amp;INDEX(WORLDCUP!$AS$6:$AS$97,MATCH(L5,WORLDCUP!$AI$6:$AI$97,0))</f>
        <v>4-1</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3-3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Sud</v>
      </c>
      <c r="I6" s="38">
        <f ca="1">+INDEX(WORLDCUP!$AM$6:$AM$97,MATCH(L6,WORLDCUP!$AI$6:$AI$97,0))</f>
        <v>3</v>
      </c>
      <c r="J6" s="39">
        <f ca="1">+INDEX(WORLDCUP!$AT$6:$AT$97,MATCH(L6,WORLDCUP!$AI$6:$AI$97,0))</f>
        <v>-2</v>
      </c>
      <c r="K6" s="43" t="str">
        <f ca="1">+INDEX(WORLDCUP!$AR$6:$AR$97,MATCH(L6,WORLDCUP!$AI$6:$AI$97,0))&amp;"-"&amp;INDEX(WORLDCUP!$AS$6:$AS$97,MATCH(L6,WORLDCUP!$AI$6:$AI$97,0))</f>
        <v>2-4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3</v>
      </c>
      <c r="V6" s="39">
        <f ca="1">+INDEX(WORLDCUP!$AT$6:$AT$97,MATCH(X6,WORLDCUP!$AI$6:$AI$97,0))</f>
        <v>-2</v>
      </c>
      <c r="W6" s="43" t="str">
        <f ca="1">+INDEX(WORLDCUP!$AR$6:$AR$97,MATCH(X6,WORLDCUP!$AI$6:$AI$97,0))&amp;"-"&amp;INDEX(WORLDCUP!$AS$6:$AS$97,MATCH(X6,WORLDCUP!$AI$6:$AI$97,0))</f>
        <v>2-4</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Cor</v>
      </c>
      <c r="I7" s="477">
        <f ca="1">+INDEX(WORLDCUP!$AM$6:$AM$97,MATCH(L7,WORLDCUP!$AI$6:$AI$97,0))</f>
        <v>0</v>
      </c>
      <c r="J7" s="478">
        <f ca="1">+INDEX(WORLDCUP!$AT$6:$AT$97,MATCH(L7,WORLDCUP!$AI$6:$AI$97,0))</f>
        <v>-5</v>
      </c>
      <c r="K7" s="479" t="str">
        <f ca="1">+INDEX(WORLDCUP!$AR$6:$AR$97,MATCH(L7,WORLDCUP!$AI$6:$AI$97,0))&amp;"-"&amp;INDEX(WORLDCUP!$AS$6:$AS$97,MATCH(L7,WORLDCUP!$AI$6:$AI$97,0))</f>
        <v>1-6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-4</v>
      </c>
      <c r="W7" s="479" t="str">
        <f ca="1">+INDEX(WORLDCUP!$AR$6:$AR$97,MATCH(X7,WORLDCUP!$AI$6:$AI$97,0))&amp;"-"&amp;INDEX(WORLDCUP!$AS$6:$AS$97,MATCH(X7,WORLDCUP!$AI$6:$AI$97,0))</f>
        <v>1-5</v>
      </c>
      <c r="X7" s="181" t="s">
        <v>680</v>
      </c>
      <c r="Y7" s="181">
        <v>77</v>
      </c>
      <c r="Z7" s="425" t="s">
        <v>734</v>
      </c>
      <c r="AA7" s="480" t="str">
        <f ca="1">+MID(INDEX(WORLDCUP!$AF$101:$AF$147,MATCH(Y7,WORLDCUP!$Z$101:$Z$147,0)),1,IF(WORLDCUP!$H$113&lt;144,6,3))</f>
        <v>Par</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1</v>
      </c>
    </row>
    <row r="8" spans="1:67" ht="15" thickBot="1">
      <c r="A8" s="181">
        <v>54</v>
      </c>
      <c r="B8" s="486"/>
      <c r="C8" s="487" t="str">
        <f ca="1">+MID(INDEX(WORLDCUP!$AA$4:$AA$147,MATCH(A8,WORLDCUP!$AH$4:$AH$147,0)),1,3)</f>
        <v>Sud</v>
      </c>
      <c r="D8" s="488">
        <f>IF(ISBLANK(INDEX(WORLDCUP!$AC$4:$AC$147,MATCH(A8,WORLDCUP!$AH$4:$AH$147,0))),"",INDEX(WORLDCUP!$AC$4:$AC$147,MATCH(A8,WORLDCUP!$AH$4:$AH$147,0)))</f>
        <v>2</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Bos</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Bos</v>
      </c>
      <c r="AF10" s="457">
        <f>+IF(ISBLANK(INDEX(WORLDCUP!$AC$101:$AC$147,MATCH(AD10,WORLDCUP!$Z$101:$Z$147,0))),"",INDEX(WORLDCUP!$AC$101:$AC$147,MATCH(AD10,WORLDCUP!$Z$101:$Z$147,0)))</f>
        <v>2</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2</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1</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4</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6-1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9-2</v>
      </c>
      <c r="X12" s="181" t="s">
        <v>681</v>
      </c>
      <c r="Y12" s="181">
        <v>75</v>
      </c>
      <c r="Z12" s="425" t="s">
        <v>675</v>
      </c>
      <c r="AA12" s="426" t="str">
        <f ca="1">+MID(INDEX(WORLDCUP!$AA$101:$AA$147,MATCH(Y12,WORLDCUP!$Z$101:$Z$147,0)),1,3)</f>
        <v>Paí</v>
      </c>
      <c r="AB12" s="472">
        <f>+IF(ISBLANK(INDEX(WORLDCUP!$AC$101:$AC$147,MATCH(Y12,WORLDCUP!$Z$101:$Z$147,0))),"",INDEX(WORLDCUP!$AC$101:$AC$147,MATCH(Y12,WORLDCUP!$Z$101:$Z$147,0)))</f>
        <v>3</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Bos</v>
      </c>
      <c r="I13" s="38">
        <f ca="1">+INDEX(WORLDCUP!$AM$6:$AM$97,MATCH(L13,WORLDCUP!$AI$6:$AI$97,0))</f>
        <v>4</v>
      </c>
      <c r="J13" s="39">
        <f ca="1">+INDEX(WORLDCUP!$AT$6:$AT$97,MATCH(L13,WORLDCUP!$AI$6:$AI$97,0))</f>
        <v>-1</v>
      </c>
      <c r="K13" s="43" t="str">
        <f ca="1">+INDEX(WORLDCUP!$AR$6:$AR$97,MATCH(L13,WORLDCUP!$AI$6:$AI$97,0))&amp;"-"&amp;INDEX(WORLDCUP!$AS$6:$AS$97,MATCH(L13,WORLDCUP!$AI$6:$AI$97,0))</f>
        <v>3-4</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Can</v>
      </c>
      <c r="I14" s="38">
        <f ca="1">+INDEX(WORLDCUP!$AM$6:$AM$97,MATCH(L14,WORLDCUP!$AI$6:$AI$97,0))</f>
        <v>3</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4-7</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-2</v>
      </c>
      <c r="K15" s="479" t="str">
        <f ca="1">+INDEX(WORLDCUP!$AR$6:$AR$97,MATCH(L15,WORLDCUP!$AI$6:$AI$97,0))&amp;"-"&amp;INDEX(WORLDCUP!$AS$6:$AS$97,MATCH(L15,WORLDCUP!$AI$6:$AI$97,0))</f>
        <v>3-5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3</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2-9</v>
      </c>
      <c r="X15" s="181" t="s">
        <v>683</v>
      </c>
      <c r="Y15" s="181">
        <v>83</v>
      </c>
      <c r="Z15" s="425" t="s">
        <v>691</v>
      </c>
      <c r="AA15" s="426" t="str">
        <f ca="1">+MID(INDEX(WORLDCUP!$AA$101:$AA$147,MATCH(Y15,WORLDCUP!$Z$101:$Z$147,0)),1,3)</f>
        <v>Col</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5</v>
      </c>
      <c r="K20" s="451" t="str">
        <f ca="1">+INDEX(WORLDCUP!$AR$6:$AR$97,MATCH(L20,WORLDCUP!$AI$6:$AI$97,0))&amp;"-"&amp;INDEX(WORLDCUP!$AS$6:$AS$97,MATCH(L20,WORLDCUP!$AI$6:$AI$97,0))</f>
        <v>8-3</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7-1</v>
      </c>
      <c r="X20" s="181" t="s">
        <v>684</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7-4</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6-4</v>
      </c>
      <c r="X21" s="181" t="s">
        <v>685</v>
      </c>
      <c r="Y21" s="181">
        <v>81</v>
      </c>
      <c r="Z21" s="425" t="s">
        <v>669</v>
      </c>
      <c r="AA21" s="426" t="str">
        <f ca="1">+MID(INDEX(WORLDCUP!$AA$101:$AA$147,MATCH(Y21,WORLDCUP!$Z$101:$Z$147,0)),1,3)</f>
        <v>Tur</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Argentina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-3</v>
      </c>
      <c r="W22" s="43" t="str">
        <f ca="1">+INDEX(WORLDCUP!$AR$6:$AR$97,MATCH(X22,WORLDCUP!$AI$6:$AI$97,0))&amp;"-"&amp;INDEX(WORLDCUP!$AS$6:$AS$97,MATCH(X22,WORLDCUP!$AI$6:$AI$97,0))</f>
        <v>3-6</v>
      </c>
      <c r="X22" s="181" t="s">
        <v>450</v>
      </c>
      <c r="Y22" s="181">
        <v>81</v>
      </c>
      <c r="Z22" s="425" t="s">
        <v>737</v>
      </c>
      <c r="AA22" s="426" t="str">
        <f ca="1">+MID(INDEX(WORLDCUP!$AF$101:$AF$147,MATCH(Y22,WORLDCUP!$Z$101:$Z$147,0)),1,IF(WORLDCUP!$H$113&lt;144,6,3))</f>
        <v>Can</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1-7</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2-7</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Sud</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4</v>
      </c>
      <c r="K28" s="451" t="str">
        <f ca="1">+INDEX(WORLDCUP!$AR$6:$AR$97,MATCH(L28,WORLDCUP!$AI$6:$AI$97,0))&amp;"-"&amp;INDEX(WORLDCUP!$AS$6:$AS$97,MATCH(L28,WORLDCUP!$AI$6:$AI$97,0))</f>
        <v>6-2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1</v>
      </c>
      <c r="K29" s="43" t="str">
        <f ca="1">+INDEX(WORLDCUP!$AR$6:$AR$97,MATCH(L29,WORLDCUP!$AI$6:$AI$97,0))&amp;"-"&amp;INDEX(WORLDCUP!$AS$6:$AS$97,MATCH(L29,WORLDCUP!$AI$6:$AI$97,0))</f>
        <v>4-3</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3-4</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-1</v>
      </c>
      <c r="K30" s="43" t="str">
        <f ca="1">+INDEX(WORLDCUP!$AR$6:$AR$97,MATCH(L30,WORLDCUP!$AI$6:$AI$97,0))&amp;"-"&amp;INDEX(WORLDCUP!$AS$6:$AS$97,MATCH(L30,WORLDCUP!$AI$6:$AI$97,0))</f>
        <v>3-4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Aus</v>
      </c>
      <c r="U30" s="38">
        <f ca="1">+INDEX(WORLDCUP!$AM$6:$AM$97,MATCH(X30,WORLDCUP!$AI$6:$AI$97,0))</f>
        <v>3</v>
      </c>
      <c r="V30" s="39">
        <f ca="1">+INDEX(WORLDCUP!$AT$6:$AT$97,MATCH(X30,WORLDCUP!$AI$6:$AI$97,0))</f>
        <v>-1</v>
      </c>
      <c r="W30" s="43" t="str">
        <f ca="1">+INDEX(WORLDCUP!$AR$6:$AR$97,MATCH(X30,WORLDCUP!$AI$6:$AI$97,0))&amp;"-"&amp;INDEX(WORLDCUP!$AS$6:$AS$97,MATCH(X30,WORLDCUP!$AI$6:$AI$97,0))</f>
        <v>4-5</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( 0 )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3-7</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-5</v>
      </c>
      <c r="W31" s="479" t="str">
        <f ca="1">+INDEX(WORLDCUP!$AR$6:$AR$97,MATCH(X31,WORLDCUP!$AI$6:$AI$97,0))&amp;"-"&amp;INDEX(WORLDCUP!$AS$6:$AS$97,MATCH(X31,WORLDCUP!$AI$6:$AI$97,0))</f>
        <v>1-6</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( 1 )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9-2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7-1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4</v>
      </c>
      <c r="J37" s="39">
        <f ca="1">+INDEX(WORLDCUP!$AT$6:$AT$97,MATCH(L37,WORLDCUP!$AI$6:$AI$97,0))</f>
        <v>1</v>
      </c>
      <c r="K37" s="43" t="str">
        <f ca="1">+INDEX(WORLDCUP!$AR$6:$AR$97,MATCH(L37,WORLDCUP!$AI$6:$AI$97,0))&amp;"-"&amp;INDEX(WORLDCUP!$AS$6:$AS$97,MATCH(L37,WORLDCUP!$AI$6:$AI$97,0))</f>
        <v>5-4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81" t="s">
        <v>691</v>
      </c>
      <c r="Y37" s="181">
        <v>80</v>
      </c>
      <c r="Z37" s="425" t="s">
        <v>736</v>
      </c>
      <c r="AA37" s="480" t="str">
        <f ca="1">+MID(INDEX(WORLDCUP!$AF$101:$AF$147,MATCH(Y37,WORLDCUP!$Z$101:$Z$147,0)),1,IF(WORLDCUP!$H$113&lt;144,6,3))</f>
        <v>Aus</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1</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-5</v>
      </c>
      <c r="W38" s="43" t="str">
        <f ca="1">+INDEX(WORLDCUP!$AR$6:$AR$97,MATCH(X38,WORLDCUP!$AI$6:$AI$97,0))&amp;"-"&amp;INDEX(WORLDCUP!$AS$6:$AS$97,MATCH(X38,WORLDCUP!$AI$6:$AI$97,0))</f>
        <v>1-6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0-9</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-5</v>
      </c>
      <c r="W39" s="479" t="str">
        <f ca="1">+INDEX(WORLDCUP!$AR$6:$AR$97,MATCH(X39,WORLDCUP!$AI$6:$AI$97,0))&amp;"-"&amp;INDEX(WORLDCUP!$AS$6:$AS$97,MATCH(X39,WORLDCUP!$AI$6:$AI$97,0))</f>
        <v>1-6</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2</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0</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3</v>
      </c>
      <c r="K44" s="451" t="str">
        <f ca="1">+INDEX(WORLDCUP!$AR$6:$AR$97,MATCH(L44,WORLDCUP!$AI$6:$AI$97,0))&amp;"-"&amp;INDEX(WORLDCUP!$AS$6:$AS$97,MATCH(L44,WORLDCUP!$AI$6:$AI$97,0))</f>
        <v>6-3</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3</v>
      </c>
      <c r="W44" s="451" t="str">
        <f ca="1">+INDEX(WORLDCUP!$AR$6:$AR$97,MATCH(X44,WORLDCUP!$AI$6:$AI$97,0))&amp;"-"&amp;INDEX(WORLDCUP!$AS$6:$AS$97,MATCH(X44,WORLDCUP!$AI$6:$AI$97,0))</f>
        <v>5-2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4-3</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4</v>
      </c>
      <c r="V45" s="39">
        <f ca="1">+INDEX(WORLDCUP!$AT$6:$AT$97,MATCH(X45,WORLDCUP!$AI$6:$AI$97,0))</f>
        <v>1</v>
      </c>
      <c r="W45" s="43" t="str">
        <f ca="1">+INDEX(WORLDCUP!$AR$6:$AR$97,MATCH(X45,WORLDCUP!$AI$6:$AI$97,0))&amp;"-"&amp;INDEX(WORLDCUP!$AS$6:$AS$97,MATCH(X45,WORLDCUP!$AI$6:$AI$97,0))</f>
        <v>4-3</v>
      </c>
      <c r="X45" s="181" t="s">
        <v>694</v>
      </c>
      <c r="Y45" s="181">
        <v>85</v>
      </c>
      <c r="Z45" s="425" t="s">
        <v>659</v>
      </c>
      <c r="AA45" s="426" t="str">
        <f ca="1">+MID(INDEX(WORLDCUP!$AA$101:$AA$147,MATCH(Y45,WORLDCUP!$Z$101:$Z$147,0)),1,3)</f>
        <v>Sui</v>
      </c>
      <c r="AB45" s="427">
        <f>+IF(ISBLANK(INDEX(WORLDCUP!$AC$101:$AC$147,MATCH(Y45,WORLDCUP!$Z$101:$Z$147,0))),"",INDEX(WORLDCUP!$AC$101:$AC$147,MATCH(Y45,WORLDCUP!$Z$101:$Z$147,0)))</f>
        <v>3</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2</v>
      </c>
      <c r="J46" s="39">
        <f ca="1">+INDEX(WORLDCUP!$AT$6:$AT$97,MATCH(L46,WORLDCUP!$AI$6:$AI$97,0))</f>
        <v>-1</v>
      </c>
      <c r="K46" s="43" t="str">
        <f ca="1">+INDEX(WORLDCUP!$AR$6:$AR$97,MATCH(L46,WORLDCUP!$AI$6:$AI$97,0))&amp;"-"&amp;INDEX(WORLDCUP!$AS$6:$AS$97,MATCH(L46,WORLDCUP!$AI$6:$AI$97,0))</f>
        <v>2-3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4-4</v>
      </c>
      <c r="X46" s="181" t="s">
        <v>453</v>
      </c>
      <c r="Y46" s="181">
        <v>85</v>
      </c>
      <c r="Z46" s="425" t="s">
        <v>739</v>
      </c>
      <c r="AA46" s="426" t="str">
        <f ca="1">+MID(INDEX(WORLDCUP!$AF$101:$AF$147,MATCH(Y46,WORLDCUP!$Z$101:$Z$147,0)),1,IF(WORLDCUP!$H$113&lt;144,6,3))</f>
        <v>Nue</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-3</v>
      </c>
      <c r="K47" s="479" t="str">
        <f ca="1">+INDEX(WORLDCUP!$AR$6:$AR$97,MATCH(L47,WORLDCUP!$AI$6:$AI$97,0))&amp;"-"&amp;INDEX(WORLDCUP!$AS$6:$AS$97,MATCH(L47,WORLDCUP!$AI$6:$AI$97,0))</f>
        <v>2-5</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1</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Nueva Zelanda</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Paraguay</v>
      </c>
      <c r="G3" s="9" t="str">
        <f ca="1">+WORLDCUP!BD67</f>
        <v>Austria</v>
      </c>
      <c r="H3" s="9" t="str">
        <f ca="1">+WORLDCUP!BD63</f>
        <v>Suecia</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Austria</v>
      </c>
      <c r="E4" s="9" t="str">
        <f ca="1">+WORLDCUP!BD66</f>
        <v>Senegal</v>
      </c>
      <c r="F4" s="9" t="str">
        <f ca="1">+WORLDCUP!BD61</f>
        <v>Paraguay</v>
      </c>
      <c r="G4" s="9" t="str">
        <f ca="1">+WORLDCUP!BD65</f>
        <v>Arabia Saudita</v>
      </c>
      <c r="H4" s="9" t="str">
        <f ca="1">+WORLDCUP!BD64</f>
        <v>Nueva Zelanda</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Austria</v>
      </c>
      <c r="E5" s="9" t="str">
        <f ca="1">+WORLDCUP!BD66</f>
        <v>Senegal</v>
      </c>
      <c r="F5" s="9" t="str">
        <f ca="1">+WORLDCUP!BD61</f>
        <v>Paraguay</v>
      </c>
      <c r="G5" s="9" t="str">
        <f ca="1">+WORLDCUP!BD65</f>
        <v>Arabia Saudita</v>
      </c>
      <c r="H5" s="9" t="str">
        <f ca="1">+WORLDCUP!BD63</f>
        <v>Suecia</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Senegal</v>
      </c>
      <c r="F6" s="9" t="str">
        <f ca="1">+WORLDCUP!BD61</f>
        <v>Paraguay</v>
      </c>
      <c r="G6" s="9" t="str">
        <f ca="1">+WORLDCUP!BD67</f>
        <v>Austria</v>
      </c>
      <c r="H6" s="9" t="str">
        <f ca="1">+WORLDCUP!BD63</f>
        <v>Suecia</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Austria</v>
      </c>
      <c r="F7" s="9" t="str">
        <f ca="1">+WORLDCUP!BD61</f>
        <v>Paraguay</v>
      </c>
      <c r="G7" s="9" t="str">
        <f ca="1">+WORLDCUP!BD65</f>
        <v>Arabia Saudita</v>
      </c>
      <c r="H7" s="9" t="str">
        <f ca="1">+WORLDCUP!BD63</f>
        <v>Suecia</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Senegal</v>
      </c>
      <c r="F8" s="9" t="str">
        <f ca="1">+WORLDCUP!BD61</f>
        <v>Paraguay</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Austria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Austria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Austria</v>
      </c>
      <c r="H11" s="9" t="str">
        <f ca="1">+WORLDCUP!BD63</f>
        <v>Suecia</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Austria</v>
      </c>
      <c r="H14" s="9" t="str">
        <f ca="1">+WORLDCUP!BD63</f>
        <v>Suecia</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Austria</v>
      </c>
      <c r="F15" s="9" t="str">
        <f ca="1">+WORLDCUP!BD60</f>
        <v>Escocia</v>
      </c>
      <c r="G15" s="9" t="str">
        <f ca="1">+WORLDCUP!BD65</f>
        <v>Arabia Saudita</v>
      </c>
      <c r="H15" s="9" t="str">
        <f ca="1">+WORLDCUP!BD63</f>
        <v>Suecia</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Austria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Austria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Austria</v>
      </c>
      <c r="H19" s="9" t="str">
        <f ca="1">+WORLDCUP!BD61</f>
        <v>Paraguay</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Suecia</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Paraguay</v>
      </c>
      <c r="G21" s="9" t="str">
        <f ca="1">+WORLDCUP!BD67</f>
        <v>Austria</v>
      </c>
      <c r="H21" s="9" t="str">
        <f ca="1">+WORLDCUP!BD63</f>
        <v>Suecia</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Austria</v>
      </c>
      <c r="F22" s="9" t="str">
        <f ca="1">+WORLDCUP!BD61</f>
        <v>Paraguay</v>
      </c>
      <c r="G22" s="9" t="str">
        <f ca="1">+WORLDCUP!BD65</f>
        <v>Arabia Saudita</v>
      </c>
      <c r="H22" s="9" t="str">
        <f ca="1">+WORLDCUP!BD63</f>
        <v>Suecia</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Austria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Austria</v>
      </c>
      <c r="F25" s="9" t="str">
        <f ca="1">+WORLDCUP!BD61</f>
        <v>Paraguay</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Austria</v>
      </c>
      <c r="H27" s="9" t="str">
        <f ca="1">+WORLDCUP!BD61</f>
        <v>Paraguay</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Austria</v>
      </c>
      <c r="F28" s="9" t="str">
        <f ca="1">+WORLDCUP!BD60</f>
        <v>Escocia</v>
      </c>
      <c r="G28" s="9" t="str">
        <f ca="1">+WORLDCUP!BD65</f>
        <v>Arabia Saudita</v>
      </c>
      <c r="H28" s="9" t="str">
        <f ca="1">+WORLDCUP!BD61</f>
        <v>Paraguay</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Austria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Austria</v>
      </c>
      <c r="F31" s="9" t="str">
        <f ca="1">+WORLDCUP!BD60</f>
        <v>Escocia</v>
      </c>
      <c r="G31" s="9" t="str">
        <f ca="1">+WORLDCUP!BD65</f>
        <v>Arabia Saudita</v>
      </c>
      <c r="H31" s="9" t="str">
        <f ca="1">+WORLDCUP!BD61</f>
        <v>Paraguay</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Austria</v>
      </c>
      <c r="E32" s="9" t="str">
        <f ca="1">+WORLDCUP!BD62</f>
        <v>Costa de Marfil</v>
      </c>
      <c r="F32" s="9" t="str">
        <f ca="1">+WORLDCUP!BD61</f>
        <v>Paraguay</v>
      </c>
      <c r="G32" s="9" t="str">
        <f ca="1">+WORLDCUP!BD66</f>
        <v>Senegal</v>
      </c>
      <c r="H32" s="9" t="str">
        <f ca="1">+WORLDCUP!BD63</f>
        <v>Suecia</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Austria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Austria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Austria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Austria</v>
      </c>
      <c r="H37" s="9" t="str">
        <f ca="1">+WORLDCUP!BD63</f>
        <v>Suecia</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Senegal</v>
      </c>
      <c r="H38" s="9" t="str">
        <f ca="1">+WORLDCUP!BD63</f>
        <v>Suecia</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Austria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Austria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Austria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Austria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Austria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Austria</v>
      </c>
      <c r="E47" s="9" t="str">
        <f ca="1">+WORLDCUP!BD59</f>
        <v>Canadá</v>
      </c>
      <c r="F47" s="9" t="str">
        <f ca="1">+WORLDCUP!BD63</f>
        <v>Suecia</v>
      </c>
      <c r="G47" s="9" t="str">
        <f ca="1">+WORLDCUP!BD66</f>
        <v>Senegal</v>
      </c>
      <c r="H47" s="9" t="str">
        <f ca="1">+WORLDCUP!BD64</f>
        <v>Nueva Zelanda</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Austria</v>
      </c>
      <c r="E48" s="9" t="str">
        <f ca="1">+WORLDCUP!BD66</f>
        <v>Senegal</v>
      </c>
      <c r="F48" s="9" t="str">
        <f ca="1">+WORLDCUP!BD59</f>
        <v>Canadá</v>
      </c>
      <c r="G48" s="9" t="str">
        <f ca="1">+WORLDCUP!BD65</f>
        <v>Arabia Saudita</v>
      </c>
      <c r="H48" s="9" t="str">
        <f ca="1">+WORLDCUP!BD64</f>
        <v>Nueva Zelanda</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Austria</v>
      </c>
      <c r="E49" s="9" t="str">
        <f ca="1">+WORLDCUP!BD59</f>
        <v>Canadá</v>
      </c>
      <c r="F49" s="9" t="str">
        <f ca="1">+WORLDCUP!BD63</f>
        <v>Suecia</v>
      </c>
      <c r="G49" s="9" t="str">
        <f ca="1">+WORLDCUP!BD66</f>
        <v>Senegal</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Austria</v>
      </c>
      <c r="E50" s="9" t="str">
        <f ca="1">+WORLDCUP!BD59</f>
        <v>Canadá</v>
      </c>
      <c r="F50" s="9" t="str">
        <f ca="1">+WORLDCUP!BD63</f>
        <v>Suecia</v>
      </c>
      <c r="G50" s="9" t="str">
        <f ca="1">+WORLDCUP!BD66</f>
        <v>Senegal</v>
      </c>
      <c r="H50" s="9" t="str">
        <f ca="1">+WORLDCUP!BD64</f>
        <v>Nueva Zelanda</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Austria</v>
      </c>
      <c r="E51" s="9" t="str">
        <f ca="1">+WORLDCUP!BD59</f>
        <v>Canadá</v>
      </c>
      <c r="F51" s="9" t="str">
        <f ca="1">+WORLDCUP!BD63</f>
        <v>Suecia</v>
      </c>
      <c r="G51" s="9" t="str">
        <f ca="1">+WORLDCUP!BD65</f>
        <v>Arabia Saudita</v>
      </c>
      <c r="H51" s="9" t="str">
        <f ca="1">+WORLDCUP!BD64</f>
        <v>Nueva Zelanda</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Canadá</v>
      </c>
      <c r="F52" s="9" t="str">
        <f ca="1">+WORLDCUP!BD63</f>
        <v>Suecia</v>
      </c>
      <c r="G52" s="9" t="str">
        <f ca="1">+WORLDCUP!BD66</f>
        <v>Senegal</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Austria</v>
      </c>
      <c r="E53" s="9" t="str">
        <f ca="1">+WORLDCUP!BD59</f>
        <v>Canadá</v>
      </c>
      <c r="F53" s="9" t="str">
        <f ca="1">+WORLDCUP!BD63</f>
        <v>Suecia</v>
      </c>
      <c r="G53" s="9" t="str">
        <f ca="1">+WORLDCUP!BD65</f>
        <v>Arabia Saudita</v>
      </c>
      <c r="H53" s="9" t="str">
        <f ca="1">+WORLDCUP!BD64</f>
        <v>Nueva Zelanda</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Austria</v>
      </c>
      <c r="E54" s="9" t="str">
        <f ca="1">+WORLDCUP!BD59</f>
        <v>Canadá</v>
      </c>
      <c r="F54" s="9" t="str">
        <f ca="1">+WORLDCUP!BD63</f>
        <v>Suecia</v>
      </c>
      <c r="G54" s="9" t="str">
        <f ca="1">+WORLDCUP!BD65</f>
        <v>Arabia Saudita</v>
      </c>
      <c r="H54" s="9" t="str">
        <f ca="1">+WORLDCUP!BD64</f>
        <v>Nueva Zelanda</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Austria</v>
      </c>
      <c r="E55" s="9" t="str">
        <f ca="1">+WORLDCUP!BD59</f>
        <v>Canadá</v>
      </c>
      <c r="F55" s="9" t="str">
        <f ca="1">+WORLDCUP!BD61</f>
        <v>Paraguay</v>
      </c>
      <c r="G55" s="9" t="str">
        <f ca="1">+WORLDCUP!BD66</f>
        <v>Senegal</v>
      </c>
      <c r="H55" s="9" t="str">
        <f ca="1">+WORLDCUP!BD64</f>
        <v>Nueva Zelanda</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Austria</v>
      </c>
      <c r="E56" s="9" t="str">
        <f ca="1">+WORLDCUP!BD59</f>
        <v>Canadá</v>
      </c>
      <c r="F56" s="9" t="str">
        <f ca="1">+WORLDCUP!BD61</f>
        <v>Paraguay</v>
      </c>
      <c r="G56" s="9" t="str">
        <f ca="1">+WORLDCUP!BD66</f>
        <v>Senegal</v>
      </c>
      <c r="H56" s="9" t="str">
        <f ca="1">+WORLDCUP!BD63</f>
        <v>Suecia</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Canadá</v>
      </c>
      <c r="F57" s="9" t="str">
        <f ca="1">+WORLDCUP!BD61</f>
        <v>Paraguay</v>
      </c>
      <c r="G57" s="9" t="str">
        <f ca="1">+WORLDCUP!BD67</f>
        <v>Austria</v>
      </c>
      <c r="H57" s="9" t="str">
        <f ca="1">+WORLDCUP!BD63</f>
        <v>Suecia</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Canadá</v>
      </c>
      <c r="F58" s="9" t="str">
        <f ca="1">+WORLDCUP!BD61</f>
        <v>Paraguay</v>
      </c>
      <c r="G58" s="9" t="str">
        <f ca="1">+WORLDCUP!BD67</f>
        <v>Austria</v>
      </c>
      <c r="H58" s="9" t="str">
        <f ca="1">+WORLDCUP!BD63</f>
        <v>Suecia</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Canadá</v>
      </c>
      <c r="F59" s="9" t="str">
        <f ca="1">+WORLDCUP!BD61</f>
        <v>Paraguay</v>
      </c>
      <c r="G59" s="9" t="str">
        <f ca="1">+WORLDCUP!BD66</f>
        <v>Senegal</v>
      </c>
      <c r="H59" s="9" t="str">
        <f ca="1">+WORLDCUP!BD63</f>
        <v>Suecia</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Canadá</v>
      </c>
      <c r="F60" s="9" t="str">
        <f ca="1">+WORLDCUP!BD61</f>
        <v>Paraguay</v>
      </c>
      <c r="G60" s="9" t="str">
        <f ca="1">+WORLDCUP!BD67</f>
        <v>Austria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Canadá</v>
      </c>
      <c r="F61" s="9" t="str">
        <f ca="1">+WORLDCUP!BD61</f>
        <v>Paraguay</v>
      </c>
      <c r="G61" s="9" t="str">
        <f ca="1">+WORLDCUP!BD67</f>
        <v>Austria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Austria</v>
      </c>
      <c r="E62" s="9" t="str">
        <f ca="1">+WORLDCUP!BD59</f>
        <v>Canadá</v>
      </c>
      <c r="F62" s="9" t="str">
        <f ca="1">+WORLDCUP!BD61</f>
        <v>Paraguay</v>
      </c>
      <c r="G62" s="9" t="str">
        <f ca="1">+WORLDCUP!BD66</f>
        <v>Senegal</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Austria</v>
      </c>
      <c r="E63" s="9" t="str">
        <f ca="1">+WORLDCUP!BD59</f>
        <v>Canadá</v>
      </c>
      <c r="F63" s="9" t="str">
        <f ca="1">+WORLDCUP!BD61</f>
        <v>Paraguay</v>
      </c>
      <c r="G63" s="9" t="str">
        <f ca="1">+WORLDCUP!BD66</f>
        <v>Senegal</v>
      </c>
      <c r="H63" s="9" t="str">
        <f ca="1">+WORLDCUP!BD64</f>
        <v>Nueva Zelanda</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Austria</v>
      </c>
      <c r="E64" s="9" t="str">
        <f ca="1">+WORLDCUP!BD59</f>
        <v>Canadá</v>
      </c>
      <c r="F64" s="9" t="str">
        <f ca="1">+WORLDCUP!BD61</f>
        <v>Paraguay</v>
      </c>
      <c r="G64" s="9" t="str">
        <f ca="1">+WORLDCUP!BD65</f>
        <v>Arabia Saudita</v>
      </c>
      <c r="H64" s="9" t="str">
        <f ca="1">+WORLDCUP!BD64</f>
        <v>Nueva Zelanda</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Canadá</v>
      </c>
      <c r="F65" s="9" t="str">
        <f ca="1">+WORLDCUP!BD61</f>
        <v>Paraguay</v>
      </c>
      <c r="G65" s="9" t="str">
        <f ca="1">+WORLDCUP!BD66</f>
        <v>Senegal</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Austria</v>
      </c>
      <c r="E66" s="9" t="str">
        <f ca="1">+WORLDCUP!BD59</f>
        <v>Canadá</v>
      </c>
      <c r="F66" s="9" t="str">
        <f ca="1">+WORLDCUP!BD61</f>
        <v>Paraguay</v>
      </c>
      <c r="G66" s="9" t="str">
        <f ca="1">+WORLDCUP!BD65</f>
        <v>Arabia Saudita</v>
      </c>
      <c r="H66" s="9" t="str">
        <f ca="1">+WORLDCUP!BD64</f>
        <v>Nueva Zelanda</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Austria</v>
      </c>
      <c r="E67" s="9" t="str">
        <f ca="1">+WORLDCUP!BD59</f>
        <v>Canadá</v>
      </c>
      <c r="F67" s="9" t="str">
        <f ca="1">+WORLDCUP!BD61</f>
        <v>Paraguay</v>
      </c>
      <c r="G67" s="9" t="str">
        <f ca="1">+WORLDCUP!BD65</f>
        <v>Arabia Saudita</v>
      </c>
      <c r="H67" s="9" t="str">
        <f ca="1">+WORLDCUP!BD64</f>
        <v>Nueva Zelanda</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Austria</v>
      </c>
      <c r="E68" s="9" t="str">
        <f ca="1">+WORLDCUP!BD59</f>
        <v>Canadá</v>
      </c>
      <c r="F68" s="9" t="str">
        <f ca="1">+WORLDCUP!BD61</f>
        <v>Paraguay</v>
      </c>
      <c r="G68" s="9" t="str">
        <f ca="1">+WORLDCUP!BD66</f>
        <v>Senegal</v>
      </c>
      <c r="H68" s="9" t="str">
        <f ca="1">+WORLDCUP!BD63</f>
        <v>Suecia</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Austria</v>
      </c>
      <c r="E69" s="9" t="str">
        <f ca="1">+WORLDCUP!BD59</f>
        <v>Canadá</v>
      </c>
      <c r="F69" s="9" t="str">
        <f ca="1">+WORLDCUP!BD61</f>
        <v>Paraguay</v>
      </c>
      <c r="G69" s="9" t="str">
        <f ca="1">+WORLDCUP!BD65</f>
        <v>Arabia Saudita</v>
      </c>
      <c r="H69" s="9" t="str">
        <f ca="1">+WORLDCUP!BD63</f>
        <v>Suecia</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Canadá</v>
      </c>
      <c r="F70" s="9" t="str">
        <f ca="1">+WORLDCUP!BD61</f>
        <v>Paraguay</v>
      </c>
      <c r="G70" s="9" t="str">
        <f ca="1">+WORLDCUP!BD65</f>
        <v>Arabia Saudita</v>
      </c>
      <c r="H70" s="9" t="str">
        <f ca="1">+WORLDCUP!BD63</f>
        <v>Suecia</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Austria</v>
      </c>
      <c r="E71" s="9" t="str">
        <f ca="1">+WORLDCUP!BD59</f>
        <v>Canadá</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Austria</v>
      </c>
      <c r="E72" s="9" t="str">
        <f ca="1">+WORLDCUP!BD59</f>
        <v>Canadá</v>
      </c>
      <c r="F72" s="9" t="str">
        <f ca="1">+WORLDCUP!BD61</f>
        <v>Paraguay</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Canadá</v>
      </c>
      <c r="F73" s="9" t="str">
        <f ca="1">+WORLDCUP!BD61</f>
        <v>Paraguay</v>
      </c>
      <c r="G73" s="9" t="str">
        <f ca="1">+WORLDCUP!BD67</f>
        <v>Austria</v>
      </c>
      <c r="H73" s="9" t="str">
        <f ca="1">+WORLDCUP!BD63</f>
        <v>Suecia</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Canadá</v>
      </c>
      <c r="F74" s="9" t="str">
        <f ca="1">+WORLDCUP!BD61</f>
        <v>Paraguay</v>
      </c>
      <c r="G74" s="9" t="str">
        <f ca="1">+WORLDCUP!BD66</f>
        <v>Senegal</v>
      </c>
      <c r="H74" s="9" t="str">
        <f ca="1">+WORLDCUP!BD63</f>
        <v>Suecia</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Canadá</v>
      </c>
      <c r="F75" s="9" t="str">
        <f ca="1">+WORLDCUP!BD61</f>
        <v>Paraguay</v>
      </c>
      <c r="G75" s="9" t="str">
        <f ca="1">+WORLDCUP!BD67</f>
        <v>Austria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Canadá</v>
      </c>
      <c r="F76" s="9" t="str">
        <f ca="1">+WORLDCUP!BD61</f>
        <v>Paraguay</v>
      </c>
      <c r="G76" s="9" t="str">
        <f ca="1">+WORLDCUP!BD67</f>
        <v>Austria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Canadá</v>
      </c>
      <c r="F77" s="9" t="str">
        <f ca="1">+WORLDCUP!BD61</f>
        <v>Paraguay</v>
      </c>
      <c r="G77" s="9" t="str">
        <f ca="1">+WORLDCUP!BD65</f>
        <v>Arabia Saudita</v>
      </c>
      <c r="H77" s="9" t="str">
        <f ca="1">+WORLDCUP!BD63</f>
        <v>Suecia</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Canadá</v>
      </c>
      <c r="F78" s="9" t="str">
        <f ca="1">+WORLDCUP!BD61</f>
        <v>Paraguay</v>
      </c>
      <c r="G78" s="9" t="str">
        <f ca="1">+WORLDCUP!BD67</f>
        <v>Austria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Canadá</v>
      </c>
      <c r="F79" s="9" t="str">
        <f ca="1">+WORLDCUP!BD61</f>
        <v>Paraguay</v>
      </c>
      <c r="G79" s="9" t="str">
        <f ca="1">+WORLDCUP!BD67</f>
        <v>Austria</v>
      </c>
      <c r="H79" s="9" t="str">
        <f ca="1">+WORLDCUP!BD63</f>
        <v>Suecia</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Canadá</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Canadá</v>
      </c>
      <c r="F81" s="9" t="str">
        <f ca="1">+WORLDCUP!BD61</f>
        <v>Paraguay</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Canadá</v>
      </c>
      <c r="F82" s="9" t="str">
        <f ca="1">+WORLDCUP!BD61</f>
        <v>Paraguay</v>
      </c>
      <c r="G82" s="9" t="str">
        <f ca="1">+WORLDCUP!BD67</f>
        <v>Austria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Austria</v>
      </c>
      <c r="E83" s="9" t="str">
        <f ca="1">+WORLDCUP!BD59</f>
        <v>Canadá</v>
      </c>
      <c r="F83" s="9" t="str">
        <f ca="1">+WORLDCUP!BD60</f>
        <v>Escocia</v>
      </c>
      <c r="G83" s="9" t="str">
        <f ca="1">+WORLDCUP!BD66</f>
        <v>Senegal</v>
      </c>
      <c r="H83" s="9" t="str">
        <f ca="1">+WORLDCUP!BD64</f>
        <v>Nueva Zelanda</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Austria</v>
      </c>
      <c r="E84" s="9" t="str">
        <f ca="1">+WORLDCUP!BD59</f>
        <v>Canadá</v>
      </c>
      <c r="F84" s="9" t="str">
        <f ca="1">+WORLDCUP!BD60</f>
        <v>Escocia</v>
      </c>
      <c r="G84" s="9" t="str">
        <f ca="1">+WORLDCUP!BD66</f>
        <v>Senegal</v>
      </c>
      <c r="H84" s="9" t="str">
        <f ca="1">+WORLDCUP!BD63</f>
        <v>Suecia</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Canadá</v>
      </c>
      <c r="F85" s="9" t="str">
        <f ca="1">+WORLDCUP!BD60</f>
        <v>Escocia</v>
      </c>
      <c r="G85" s="9" t="str">
        <f ca="1">+WORLDCUP!BD67</f>
        <v>Austria</v>
      </c>
      <c r="H85" s="9" t="str">
        <f ca="1">+WORLDCUP!BD63</f>
        <v>Suecia</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Canadá</v>
      </c>
      <c r="F86" s="9" t="str">
        <f ca="1">+WORLDCUP!BD60</f>
        <v>Escocia</v>
      </c>
      <c r="G86" s="9" t="str">
        <f ca="1">+WORLDCUP!BD67</f>
        <v>Austria</v>
      </c>
      <c r="H86" s="9" t="str">
        <f ca="1">+WORLDCUP!BD63</f>
        <v>Suecia</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Canadá</v>
      </c>
      <c r="F87" s="9" t="str">
        <f ca="1">+WORLDCUP!BD60</f>
        <v>Escocia</v>
      </c>
      <c r="G87" s="9" t="str">
        <f ca="1">+WORLDCUP!BD66</f>
        <v>Senegal</v>
      </c>
      <c r="H87" s="9" t="str">
        <f ca="1">+WORLDCUP!BD63</f>
        <v>Suecia</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Canadá</v>
      </c>
      <c r="F88" s="9" t="str">
        <f ca="1">+WORLDCUP!BD60</f>
        <v>Escocia</v>
      </c>
      <c r="G88" s="9" t="str">
        <f ca="1">+WORLDCUP!BD67</f>
        <v>Austria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Canadá</v>
      </c>
      <c r="F89" s="9" t="str">
        <f ca="1">+WORLDCUP!BD60</f>
        <v>Escocia</v>
      </c>
      <c r="G89" s="9" t="str">
        <f ca="1">+WORLDCUP!BD67</f>
        <v>Austria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Austria</v>
      </c>
      <c r="E90" s="9" t="str">
        <f ca="1">+WORLDCUP!BD59</f>
        <v>Canadá</v>
      </c>
      <c r="F90" s="9" t="str">
        <f ca="1">+WORLDCUP!BD60</f>
        <v>Escocia</v>
      </c>
      <c r="G90" s="9" t="str">
        <f ca="1">+WORLDCUP!BD66</f>
        <v>Senegal</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Austria</v>
      </c>
      <c r="E91" s="9" t="str">
        <f ca="1">+WORLDCUP!BD59</f>
        <v>Canadá</v>
      </c>
      <c r="F91" s="9" t="str">
        <f ca="1">+WORLDCUP!BD60</f>
        <v>Escocia</v>
      </c>
      <c r="G91" s="9" t="str">
        <f ca="1">+WORLDCUP!BD66</f>
        <v>Senegal</v>
      </c>
      <c r="H91" s="9" t="str">
        <f ca="1">+WORLDCUP!BD64</f>
        <v>Nueva Zelanda</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Austria</v>
      </c>
      <c r="E92" s="9" t="str">
        <f ca="1">+WORLDCUP!BD59</f>
        <v>Canadá</v>
      </c>
      <c r="F92" s="9" t="str">
        <f ca="1">+WORLDCUP!BD60</f>
        <v>Escocia</v>
      </c>
      <c r="G92" s="9" t="str">
        <f ca="1">+WORLDCUP!BD65</f>
        <v>Arabia Saudita</v>
      </c>
      <c r="H92" s="9" t="str">
        <f ca="1">+WORLDCUP!BD64</f>
        <v>Nueva Zelanda</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Canadá</v>
      </c>
      <c r="F93" s="9" t="str">
        <f ca="1">+WORLDCUP!BD60</f>
        <v>Escocia</v>
      </c>
      <c r="G93" s="9" t="str">
        <f ca="1">+WORLDCUP!BD66</f>
        <v>Senegal</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Austria</v>
      </c>
      <c r="E94" s="9" t="str">
        <f ca="1">+WORLDCUP!BD59</f>
        <v>Canadá</v>
      </c>
      <c r="F94" s="9" t="str">
        <f ca="1">+WORLDCUP!BD60</f>
        <v>Escocia</v>
      </c>
      <c r="G94" s="9" t="str">
        <f ca="1">+WORLDCUP!BD65</f>
        <v>Arabia Saudita</v>
      </c>
      <c r="H94" s="9" t="str">
        <f ca="1">+WORLDCUP!BD64</f>
        <v>Nueva Zelanda</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Austria</v>
      </c>
      <c r="E95" s="9" t="str">
        <f ca="1">+WORLDCUP!BD59</f>
        <v>Canadá</v>
      </c>
      <c r="F95" s="9" t="str">
        <f ca="1">+WORLDCUP!BD60</f>
        <v>Escocia</v>
      </c>
      <c r="G95" s="9" t="str">
        <f ca="1">+WORLDCUP!BD65</f>
        <v>Arabia Saudita</v>
      </c>
      <c r="H95" s="9" t="str">
        <f ca="1">+WORLDCUP!BD64</f>
        <v>Nueva Zelanda</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Austria</v>
      </c>
      <c r="E96" s="9" t="str">
        <f ca="1">+WORLDCUP!BD59</f>
        <v>Canadá</v>
      </c>
      <c r="F96" s="9" t="str">
        <f ca="1">+WORLDCUP!BD60</f>
        <v>Escocia</v>
      </c>
      <c r="G96" s="9" t="str">
        <f ca="1">+WORLDCUP!BD66</f>
        <v>Senegal</v>
      </c>
      <c r="H96" s="9" t="str">
        <f ca="1">+WORLDCUP!BD63</f>
        <v>Suecia</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Austria</v>
      </c>
      <c r="E97" s="9" t="str">
        <f ca="1">+WORLDCUP!BD59</f>
        <v>Canadá</v>
      </c>
      <c r="F97" s="9" t="str">
        <f ca="1">+WORLDCUP!BD60</f>
        <v>Escocia</v>
      </c>
      <c r="G97" s="9" t="str">
        <f ca="1">+WORLDCUP!BD65</f>
        <v>Arabia Saudita</v>
      </c>
      <c r="H97" s="9" t="str">
        <f ca="1">+WORLDCUP!BD63</f>
        <v>Suecia</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Canadá</v>
      </c>
      <c r="F98" s="9" t="str">
        <f ca="1">+WORLDCUP!BD60</f>
        <v>Escocia</v>
      </c>
      <c r="G98" s="9" t="str">
        <f ca="1">+WORLDCUP!BD65</f>
        <v>Arabia Saudita</v>
      </c>
      <c r="H98" s="9" t="str">
        <f ca="1">+WORLDCUP!BD63</f>
        <v>Suecia</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Austria</v>
      </c>
      <c r="E99" s="9" t="str">
        <f ca="1">+WORLDCUP!BD59</f>
        <v>Canadá</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Austria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Canadá</v>
      </c>
      <c r="F101" s="9" t="str">
        <f ca="1">+WORLDCUP!BD60</f>
        <v>Escocia</v>
      </c>
      <c r="G101" s="9" t="str">
        <f ca="1">+WORLDCUP!BD67</f>
        <v>Austria</v>
      </c>
      <c r="H101" s="9" t="str">
        <f ca="1">+WORLDCUP!BD63</f>
        <v>Suecia</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Canadá</v>
      </c>
      <c r="F102" s="9" t="str">
        <f ca="1">+WORLDCUP!BD60</f>
        <v>Escocia</v>
      </c>
      <c r="G102" s="9" t="str">
        <f ca="1">+WORLDCUP!BD66</f>
        <v>Senegal</v>
      </c>
      <c r="H102" s="9" t="str">
        <f ca="1">+WORLDCUP!BD63</f>
        <v>Suecia</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Canadá</v>
      </c>
      <c r="F103" s="9" t="str">
        <f ca="1">+WORLDCUP!BD60</f>
        <v>Escocia</v>
      </c>
      <c r="G103" s="9" t="str">
        <f ca="1">+WORLDCUP!BD67</f>
        <v>Austria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Canadá</v>
      </c>
      <c r="F104" s="9" t="str">
        <f ca="1">+WORLDCUP!BD60</f>
        <v>Escocia</v>
      </c>
      <c r="G104" s="9" t="str">
        <f ca="1">+WORLDCUP!BD67</f>
        <v>Austria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Canadá</v>
      </c>
      <c r="F105" s="9" t="str">
        <f ca="1">+WORLDCUP!BD60</f>
        <v>Escocia</v>
      </c>
      <c r="G105" s="9" t="str">
        <f ca="1">+WORLDCUP!BD65</f>
        <v>Arabia Saudita</v>
      </c>
      <c r="H105" s="9" t="str">
        <f ca="1">+WORLDCUP!BD63</f>
        <v>Suecia</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Canadá</v>
      </c>
      <c r="F106" s="9" t="str">
        <f ca="1">+WORLDCUP!BD60</f>
        <v>Escocia</v>
      </c>
      <c r="G106" s="9" t="str">
        <f ca="1">+WORLDCUP!BD67</f>
        <v>Austria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Canadá</v>
      </c>
      <c r="F107" s="9" t="str">
        <f ca="1">+WORLDCUP!BD60</f>
        <v>Escocia</v>
      </c>
      <c r="G107" s="9" t="str">
        <f ca="1">+WORLDCUP!BD67</f>
        <v>Austria</v>
      </c>
      <c r="H107" s="9" t="str">
        <f ca="1">+WORLDCUP!BD63</f>
        <v>Suecia</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Canadá</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Canadá</v>
      </c>
      <c r="F110" s="9" t="str">
        <f ca="1">+WORLDCUP!BD60</f>
        <v>Escocia</v>
      </c>
      <c r="G110" s="9" t="str">
        <f ca="1">+WORLDCUP!BD67</f>
        <v>Austria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Austria</v>
      </c>
      <c r="E111" s="9" t="str">
        <f ca="1">+WORLDCUP!BD59</f>
        <v>Canadá</v>
      </c>
      <c r="F111" s="9" t="str">
        <f ca="1">+WORLDCUP!BD60</f>
        <v>Escocia</v>
      </c>
      <c r="G111" s="9" t="str">
        <f ca="1">+WORLDCUP!BD66</f>
        <v>Senegal</v>
      </c>
      <c r="H111" s="9" t="str">
        <f ca="1">+WORLDCUP!BD61</f>
        <v>Paraguay</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Canadá</v>
      </c>
      <c r="F112" s="9" t="str">
        <f ca="1">+WORLDCUP!BD60</f>
        <v>Escocia</v>
      </c>
      <c r="G112" s="9" t="str">
        <f ca="1">+WORLDCUP!BD67</f>
        <v>Austria</v>
      </c>
      <c r="H112" s="9" t="str">
        <f ca="1">+WORLDCUP!BD61</f>
        <v>Paraguay</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Canadá</v>
      </c>
      <c r="F113" s="9" t="str">
        <f ca="1">+WORLDCUP!BD60</f>
        <v>Escocia</v>
      </c>
      <c r="G113" s="9" t="str">
        <f ca="1">+WORLDCUP!BD67</f>
        <v>Austria</v>
      </c>
      <c r="H113" s="9" t="str">
        <f ca="1">+WORLDCUP!BD61</f>
        <v>Paraguay</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Canadá</v>
      </c>
      <c r="F114" s="9" t="str">
        <f ca="1">+WORLDCUP!BD60</f>
        <v>Escocia</v>
      </c>
      <c r="G114" s="9" t="str">
        <f ca="1">+WORLDCUP!BD66</f>
        <v>Senegal</v>
      </c>
      <c r="H114" s="9" t="str">
        <f ca="1">+WORLDCUP!BD61</f>
        <v>Paraguay</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Canadá</v>
      </c>
      <c r="F115" s="9" t="str">
        <f ca="1">+WORLDCUP!BD60</f>
        <v>Escocia</v>
      </c>
      <c r="G115" s="9" t="str">
        <f ca="1">+WORLDCUP!BD67</f>
        <v>Austria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Canadá</v>
      </c>
      <c r="F116" s="9" t="str">
        <f ca="1">+WORLDCUP!BD60</f>
        <v>Escocia</v>
      </c>
      <c r="G116" s="9" t="str">
        <f ca="1">+WORLDCUP!BD67</f>
        <v>Austria</v>
      </c>
      <c r="H116" s="9" t="str">
        <f ca="1">+WORLDCUP!BD61</f>
        <v>Paraguay</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Austria</v>
      </c>
      <c r="E117" s="9" t="str">
        <f ca="1">+WORLDCUP!BD59</f>
        <v>Canadá</v>
      </c>
      <c r="F117" s="9" t="str">
        <f ca="1">+WORLDCUP!BD61</f>
        <v>Paraguay</v>
      </c>
      <c r="G117" s="9" t="str">
        <f ca="1">+WORLDCUP!BD66</f>
        <v>Senegal</v>
      </c>
      <c r="H117" s="9" t="str">
        <f ca="1">+WORLDCUP!BD63</f>
        <v>Suecia</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Austria</v>
      </c>
      <c r="E118" s="9" t="str">
        <f ca="1">+WORLDCUP!BD59</f>
        <v>Canadá</v>
      </c>
      <c r="F118" s="9" t="str">
        <f ca="1">+WORLDCUP!BD61</f>
        <v>Paraguay</v>
      </c>
      <c r="G118" s="9" t="str">
        <f ca="1">+WORLDCUP!BD65</f>
        <v>Arabia Saudita</v>
      </c>
      <c r="H118" s="9" t="str">
        <f ca="1">+WORLDCUP!BD63</f>
        <v>Suecia</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Austria</v>
      </c>
      <c r="E120" s="9" t="str">
        <f ca="1">+WORLDCUP!BD59</f>
        <v>Canadá</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Austria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Canadá</v>
      </c>
      <c r="F122" s="9" t="str">
        <f ca="1">+WORLDCUP!BD61</f>
        <v>Paraguay</v>
      </c>
      <c r="G122" s="9" t="str">
        <f ca="1">+WORLDCUP!BD67</f>
        <v>Austria</v>
      </c>
      <c r="H122" s="9" t="str">
        <f ca="1">+WORLDCUP!BD63</f>
        <v>Suecia</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Canadá</v>
      </c>
      <c r="F123" s="9" t="str">
        <f ca="1">+WORLDCUP!BD61</f>
        <v>Paraguay</v>
      </c>
      <c r="G123" s="9" t="str">
        <f ca="1">+WORLDCUP!BD66</f>
        <v>Senegal</v>
      </c>
      <c r="H123" s="9" t="str">
        <f ca="1">+WORLDCUP!BD63</f>
        <v>Suecia</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Canadá</v>
      </c>
      <c r="F124" s="9" t="str">
        <f ca="1">+WORLDCUP!BD61</f>
        <v>Paraguay</v>
      </c>
      <c r="G124" s="9" t="str">
        <f ca="1">+WORLDCUP!BD67</f>
        <v>Austria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Canadá</v>
      </c>
      <c r="F125" s="9" t="str">
        <f ca="1">+WORLDCUP!BD61</f>
        <v>Paraguay</v>
      </c>
      <c r="G125" s="9" t="str">
        <f ca="1">+WORLDCUP!BD67</f>
        <v>Austria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Canadá</v>
      </c>
      <c r="F126" s="9" t="str">
        <f ca="1">+WORLDCUP!BD61</f>
        <v>Paraguay</v>
      </c>
      <c r="G126" s="9" t="str">
        <f ca="1">+WORLDCUP!BD65</f>
        <v>Arabia Saudita</v>
      </c>
      <c r="H126" s="9" t="str">
        <f ca="1">+WORLDCUP!BD63</f>
        <v>Suecia</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Canadá</v>
      </c>
      <c r="F127" s="9" t="str">
        <f ca="1">+WORLDCUP!BD61</f>
        <v>Paraguay</v>
      </c>
      <c r="G127" s="9" t="str">
        <f ca="1">+WORLDCUP!BD65</f>
        <v>Arabia Saudita</v>
      </c>
      <c r="H127" s="9" t="str">
        <f ca="1">+WORLDCUP!BD63</f>
        <v>Suecia</v>
      </c>
      <c r="I127" s="9" t="str">
        <f ca="1">+WORLDCUP!BD69</f>
        <v>Ghana</v>
      </c>
      <c r="J127" s="9" t="str">
        <f ca="1">+WORLDCUP!BD67</f>
        <v>Austria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Canadá</v>
      </c>
      <c r="F128" s="9" t="str">
        <f ca="1">+WORLDCUP!BD60</f>
        <v>Escocia</v>
      </c>
      <c r="G128" s="9" t="str">
        <f ca="1">+WORLDCUP!BD67</f>
        <v>Austria</v>
      </c>
      <c r="H128" s="9" t="str">
        <f ca="1">+WORLDCUP!BD63</f>
        <v>Suecia</v>
      </c>
      <c r="I128" s="9" t="str">
        <f ca="1">+WORLDCUP!BD61</f>
        <v>Paraguay</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Canadá</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Canadá</v>
      </c>
      <c r="F131" s="9" t="str">
        <f ca="1">+WORLDCUP!BD60</f>
        <v>Escocia</v>
      </c>
      <c r="G131" s="9" t="str">
        <f ca="1">+WORLDCUP!BD67</f>
        <v>Austria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Austria</v>
      </c>
      <c r="E132" s="9" t="str">
        <f ca="1">+WORLDCUP!BD59</f>
        <v>Canadá</v>
      </c>
      <c r="F132" s="9" t="str">
        <f ca="1">+WORLDCUP!BD60</f>
        <v>Escocia</v>
      </c>
      <c r="G132" s="9" t="str">
        <f ca="1">+WORLDCUP!BD66</f>
        <v>Senegal</v>
      </c>
      <c r="H132" s="9" t="str">
        <f ca="1">+WORLDCUP!BD61</f>
        <v>Paraguay</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Austria</v>
      </c>
      <c r="E133" s="9" t="str">
        <f ca="1">+WORLDCUP!BD59</f>
        <v>Canadá</v>
      </c>
      <c r="F133" s="9" t="str">
        <f ca="1">+WORLDCUP!BD60</f>
        <v>Escocia</v>
      </c>
      <c r="G133" s="9" t="str">
        <f ca="1">+WORLDCUP!BD65</f>
        <v>Arabia Saudita</v>
      </c>
      <c r="H133" s="9" t="str">
        <f ca="1">+WORLDCUP!BD61</f>
        <v>Paraguay</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Austria</v>
      </c>
      <c r="E135" s="9" t="str">
        <f ca="1">+WORLDCUP!BD59</f>
        <v>Canadá</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Austria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Canadá</v>
      </c>
      <c r="F137" s="9" t="str">
        <f ca="1">+WORLDCUP!BD60</f>
        <v>Escocia</v>
      </c>
      <c r="G137" s="9" t="str">
        <f ca="1">+WORLDCUP!BD67</f>
        <v>Austria</v>
      </c>
      <c r="H137" s="9" t="str">
        <f ca="1">+WORLDCUP!BD61</f>
        <v>Paraguay</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Canadá</v>
      </c>
      <c r="F138" s="9" t="str">
        <f ca="1">+WORLDCUP!BD60</f>
        <v>Escocia</v>
      </c>
      <c r="G138" s="9" t="str">
        <f ca="1">+WORLDCUP!BD66</f>
        <v>Senegal</v>
      </c>
      <c r="H138" s="9" t="str">
        <f ca="1">+WORLDCUP!BD61</f>
        <v>Paraguay</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Canadá</v>
      </c>
      <c r="F139" s="9" t="str">
        <f ca="1">+WORLDCUP!BD60</f>
        <v>Escocia</v>
      </c>
      <c r="G139" s="9" t="str">
        <f ca="1">+WORLDCUP!BD67</f>
        <v>Austria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Canadá</v>
      </c>
      <c r="F140" s="9" t="str">
        <f ca="1">+WORLDCUP!BD60</f>
        <v>Escocia</v>
      </c>
      <c r="G140" s="9" t="str">
        <f ca="1">+WORLDCUP!BD67</f>
        <v>Austria</v>
      </c>
      <c r="H140" s="9" t="str">
        <f ca="1">+WORLDCUP!BD61</f>
        <v>Paraguay</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Canadá</v>
      </c>
      <c r="F141" s="9" t="str">
        <f ca="1">+WORLDCUP!BD60</f>
        <v>Escocia</v>
      </c>
      <c r="G141" s="9" t="str">
        <f ca="1">+WORLDCUP!BD65</f>
        <v>Arabia Saudita</v>
      </c>
      <c r="H141" s="9" t="str">
        <f ca="1">+WORLDCUP!BD61</f>
        <v>Paraguay</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Canadá</v>
      </c>
      <c r="F142" s="9" t="str">
        <f ca="1">+WORLDCUP!BD60</f>
        <v>Escocia</v>
      </c>
      <c r="G142" s="9" t="str">
        <f ca="1">+WORLDCUP!BD67</f>
        <v>Austria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Canadá</v>
      </c>
      <c r="F143" s="9" t="str">
        <f ca="1">+WORLDCUP!BD60</f>
        <v>Escocia</v>
      </c>
      <c r="G143" s="9" t="str">
        <f ca="1">+WORLDCUP!BD67</f>
        <v>Austria</v>
      </c>
      <c r="H143" s="9" t="str">
        <f ca="1">+WORLDCUP!BD61</f>
        <v>Paraguay</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Canadá</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Canadá</v>
      </c>
      <c r="F146" s="9" t="str">
        <f ca="1">+WORLDCUP!BD60</f>
        <v>Escocia</v>
      </c>
      <c r="G146" s="9" t="str">
        <f ca="1">+WORLDCUP!BD67</f>
        <v>Austria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Austria</v>
      </c>
      <c r="E147" s="9" t="str">
        <f ca="1">+WORLDCUP!BD59</f>
        <v>Canadá</v>
      </c>
      <c r="F147" s="9" t="str">
        <f ca="1">+WORLDCUP!BD61</f>
        <v>Paraguay</v>
      </c>
      <c r="G147" s="9" t="str">
        <f ca="1">+WORLDCUP!BD62</f>
        <v>Costa de Marfil</v>
      </c>
      <c r="H147" s="9" t="str">
        <f ca="1">+WORLDCUP!BD63</f>
        <v>Suecia</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Canadá</v>
      </c>
      <c r="F148" s="9" t="str">
        <f ca="1">+WORLDCUP!BD61</f>
        <v>Paraguay</v>
      </c>
      <c r="G148" s="9" t="str">
        <f ca="1">+WORLDCUP!BD66</f>
        <v>Senegal</v>
      </c>
      <c r="H148" s="9" t="str">
        <f ca="1">+WORLDCUP!BD63</f>
        <v>Suecia</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Austria</v>
      </c>
      <c r="E149" s="9" t="str">
        <f ca="1">+WORLDCUP!BD59</f>
        <v>Canadá</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Austria</v>
      </c>
      <c r="E150" s="9" t="str">
        <f ca="1">+WORLDCUP!BD59</f>
        <v>Canadá</v>
      </c>
      <c r="F150" s="9" t="str">
        <f ca="1">+WORLDCUP!BD61</f>
        <v>Paraguay</v>
      </c>
      <c r="G150" s="9" t="str">
        <f ca="1">+WORLDCUP!BD62</f>
        <v>Costa de Marfil</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Canadá</v>
      </c>
      <c r="F151" s="9" t="str">
        <f ca="1">+WORLDCUP!BD61</f>
        <v>Paraguay</v>
      </c>
      <c r="G151" s="9" t="str">
        <f ca="1">+WORLDCUP!BD65</f>
        <v>Arabia Saudita</v>
      </c>
      <c r="H151" s="9" t="str">
        <f ca="1">+WORLDCUP!BD63</f>
        <v>Suecia</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Austria</v>
      </c>
      <c r="E152" s="9" t="str">
        <f ca="1">+WORLDCUP!BD59</f>
        <v>Canadá</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Austria</v>
      </c>
      <c r="E153" s="9" t="str">
        <f ca="1">+WORLDCUP!BD59</f>
        <v>Canadá</v>
      </c>
      <c r="F153" s="9" t="str">
        <f ca="1">+WORLDCUP!BD61</f>
        <v>Paraguay</v>
      </c>
      <c r="G153" s="9" t="str">
        <f ca="1">+WORLDCUP!BD65</f>
        <v>Arabia Saudita</v>
      </c>
      <c r="H153" s="9" t="str">
        <f ca="1">+WORLDCUP!BD63</f>
        <v>Suecia</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Canadá</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Austria</v>
      </c>
      <c r="E156" s="9" t="str">
        <f ca="1">+WORLDCUP!BD59</f>
        <v>Canadá</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Canadá</v>
      </c>
      <c r="F157" s="9" t="str">
        <f ca="1">+WORLDCUP!BD61</f>
        <v>Paraguay</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Canadá</v>
      </c>
      <c r="F158" s="9" t="str">
        <f ca="1">+WORLDCUP!BD61</f>
        <v>Paraguay</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Canadá</v>
      </c>
      <c r="F159" s="9" t="str">
        <f ca="1">+WORLDCUP!BD61</f>
        <v>Paraguay</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Canadá</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Canadá</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Canadá</v>
      </c>
      <c r="F162" s="9" t="str">
        <f ca="1">+WORLDCUP!BD61</f>
        <v>Paraguay</v>
      </c>
      <c r="G162" s="9" t="str">
        <f ca="1">+WORLDCUP!BD67</f>
        <v>Austria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Canadá</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Canadá</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Canadá</v>
      </c>
      <c r="F165" s="9" t="str">
        <f ca="1">+WORLDCUP!BD60</f>
        <v>Escocia</v>
      </c>
      <c r="G165" s="9" t="str">
        <f ca="1">+WORLDCUP!BD67</f>
        <v>Austria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Canadá</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Austria</v>
      </c>
      <c r="E167" s="9" t="str">
        <f ca="1">+WORLDCUP!BD66</f>
        <v>Senegal</v>
      </c>
      <c r="F167" s="9" t="str">
        <f ca="1">+WORLDCUP!BD63</f>
        <v>Suecia</v>
      </c>
      <c r="G167" s="9" t="str">
        <f ca="1">+WORLDCUP!BD58</f>
        <v>Sudáfrica</v>
      </c>
      <c r="H167" s="9" t="str">
        <f ca="1">+WORLDCUP!BD64</f>
        <v>Nueva Zelanda</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Austria</v>
      </c>
      <c r="E168" s="9" t="str">
        <f ca="1">+WORLDCUP!BD66</f>
        <v>Senegal</v>
      </c>
      <c r="F168" s="9" t="str">
        <f ca="1">+WORLDCUP!BD58</f>
        <v>Sudáfrica</v>
      </c>
      <c r="G168" s="9" t="str">
        <f ca="1">+WORLDCUP!BD65</f>
        <v>Arabia Saudita</v>
      </c>
      <c r="H168" s="9" t="str">
        <f ca="1">+WORLDCUP!BD64</f>
        <v>Nueva Zelanda</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Sudáfrica</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Sudáfrica</v>
      </c>
      <c r="H170" s="9" t="str">
        <f ca="1">+WORLDCUP!BD64</f>
        <v>Nueva Zelanda</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Austria</v>
      </c>
      <c r="F171" s="9" t="str">
        <f ca="1">+WORLDCUP!BD63</f>
        <v>Suecia</v>
      </c>
      <c r="G171" s="9" t="str">
        <f ca="1">+WORLDCUP!BD58</f>
        <v>Sudáfrica</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Sudáfrica</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Austria</v>
      </c>
      <c r="F173" s="9" t="str">
        <f ca="1">+WORLDCUP!BD63</f>
        <v>Suecia</v>
      </c>
      <c r="G173" s="9" t="str">
        <f ca="1">+WORLDCUP!BD58</f>
        <v>Sudáfrica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Austria</v>
      </c>
      <c r="F174" s="9" t="str">
        <f ca="1">+WORLDCUP!BD63</f>
        <v>Suecia</v>
      </c>
      <c r="G174" s="9" t="str">
        <f ca="1">+WORLDCUP!BD58</f>
        <v>Sudáfrica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Sudáfrica</v>
      </c>
      <c r="H175" s="9" t="str">
        <f ca="1">+WORLDCUP!BD64</f>
        <v>Nueva Zelanda</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Sudáfrica</v>
      </c>
      <c r="H176" s="9" t="str">
        <f ca="1">+WORLDCUP!BD63</f>
        <v>Suecia</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Austria</v>
      </c>
      <c r="F177" s="9" t="str">
        <f ca="1">+WORLDCUP!BD61</f>
        <v>Paraguay</v>
      </c>
      <c r="G177" s="9" t="str">
        <f ca="1">+WORLDCUP!BD58</f>
        <v>Sudáfrica</v>
      </c>
      <c r="H177" s="9" t="str">
        <f ca="1">+WORLDCUP!BD63</f>
        <v>Suecia</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Austria</v>
      </c>
      <c r="F178" s="9" t="str">
        <f ca="1">+WORLDCUP!BD61</f>
        <v>Paraguay</v>
      </c>
      <c r="G178" s="9" t="str">
        <f ca="1">+WORLDCUP!BD58</f>
        <v>Sudáfrica</v>
      </c>
      <c r="H178" s="9" t="str">
        <f ca="1">+WORLDCUP!BD63</f>
        <v>Suecia</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Sudáfrica</v>
      </c>
      <c r="H179" s="9" t="str">
        <f ca="1">+WORLDCUP!BD63</f>
        <v>Suecia</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Austria</v>
      </c>
      <c r="F180" s="9" t="str">
        <f ca="1">+WORLDCUP!BD61</f>
        <v>Paraguay</v>
      </c>
      <c r="G180" s="9" t="str">
        <f ca="1">+WORLDCUP!BD58</f>
        <v>Sudáfrica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Austria</v>
      </c>
      <c r="F181" s="9" t="str">
        <f ca="1">+WORLDCUP!BD61</f>
        <v>Paraguay</v>
      </c>
      <c r="G181" s="9" t="str">
        <f ca="1">+WORLDCUP!BD58</f>
        <v>Sudáfrica</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Austria</v>
      </c>
      <c r="E182" s="9" t="str">
        <f ca="1">+WORLDCUP!BD66</f>
        <v>Senegal</v>
      </c>
      <c r="F182" s="9" t="str">
        <f ca="1">+WORLDCUP!BD61</f>
        <v>Paraguay</v>
      </c>
      <c r="G182" s="9" t="str">
        <f ca="1">+WORLDCUP!BD58</f>
        <v>Sudáfrica</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Austria</v>
      </c>
      <c r="E183" s="9" t="str">
        <f ca="1">+WORLDCUP!BD66</f>
        <v>Senegal</v>
      </c>
      <c r="F183" s="9" t="str">
        <f ca="1">+WORLDCUP!BD61</f>
        <v>Paraguay</v>
      </c>
      <c r="G183" s="9" t="str">
        <f ca="1">+WORLDCUP!BD58</f>
        <v>Sudáfrica</v>
      </c>
      <c r="H183" s="9" t="str">
        <f ca="1">+WORLDCUP!BD64</f>
        <v>Nueva Zelanda</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Austria</v>
      </c>
      <c r="F184" s="9" t="str">
        <f ca="1">+WORLDCUP!BD61</f>
        <v>Paraguay</v>
      </c>
      <c r="G184" s="9" t="str">
        <f ca="1">+WORLDCUP!BD58</f>
        <v>Sudáfrica</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Senegal</v>
      </c>
      <c r="F185" s="9" t="str">
        <f ca="1">+WORLDCUP!BD61</f>
        <v>Paraguay</v>
      </c>
      <c r="G185" s="9" t="str">
        <f ca="1">+WORLDCUP!BD58</f>
        <v>Sudáfrica</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Austria</v>
      </c>
      <c r="F186" s="9" t="str">
        <f ca="1">+WORLDCUP!BD61</f>
        <v>Paraguay</v>
      </c>
      <c r="G186" s="9" t="str">
        <f ca="1">+WORLDCUP!BD58</f>
        <v>Sudáfrica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Austria</v>
      </c>
      <c r="F187" s="9" t="str">
        <f ca="1">+WORLDCUP!BD61</f>
        <v>Paraguay</v>
      </c>
      <c r="G187" s="9" t="str">
        <f ca="1">+WORLDCUP!BD58</f>
        <v>Sudáfrica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Austria</v>
      </c>
      <c r="E188" s="9" t="str">
        <f ca="1">+WORLDCUP!BD66</f>
        <v>Senegal</v>
      </c>
      <c r="F188" s="9" t="str">
        <f ca="1">+WORLDCUP!BD61</f>
        <v>Paraguay</v>
      </c>
      <c r="G188" s="9" t="str">
        <f ca="1">+WORLDCUP!BD58</f>
        <v>Sudáfrica</v>
      </c>
      <c r="H188" s="9" t="str">
        <f ca="1">+WORLDCUP!BD63</f>
        <v>Suecia</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Austria</v>
      </c>
      <c r="E189" s="9" t="str">
        <f ca="1">+WORLDCUP!BD62</f>
        <v>Costa de Marfil</v>
      </c>
      <c r="F189" s="9" t="str">
        <f ca="1">+WORLDCUP!BD61</f>
        <v>Paraguay</v>
      </c>
      <c r="G189" s="9" t="str">
        <f ca="1">+WORLDCUP!BD58</f>
        <v>Sudáfrica</v>
      </c>
      <c r="H189" s="9" t="str">
        <f ca="1">+WORLDCUP!BD63</f>
        <v>Suecia</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Sudáfrica</v>
      </c>
      <c r="H190" s="9" t="str">
        <f ca="1">+WORLDCUP!BD63</f>
        <v>Suecia</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Austria</v>
      </c>
      <c r="E191" s="9" t="str">
        <f ca="1">+WORLDCUP!BD62</f>
        <v>Costa de Marfil</v>
      </c>
      <c r="F191" s="9" t="str">
        <f ca="1">+WORLDCUP!BD61</f>
        <v>Paraguay</v>
      </c>
      <c r="G191" s="9" t="str">
        <f ca="1">+WORLDCUP!BD58</f>
        <v>Sudáfrica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Austria</v>
      </c>
      <c r="E192" s="9" t="str">
        <f ca="1">+WORLDCUP!BD62</f>
        <v>Costa de Marfil</v>
      </c>
      <c r="F192" s="9" t="str">
        <f ca="1">+WORLDCUP!BD61</f>
        <v>Paraguay</v>
      </c>
      <c r="G192" s="9" t="str">
        <f ca="1">+WORLDCUP!BD58</f>
        <v>Sudáfrica</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Austria</v>
      </c>
      <c r="F193" s="9" t="str">
        <f ca="1">+WORLDCUP!BD61</f>
        <v>Paraguay</v>
      </c>
      <c r="G193" s="9" t="str">
        <f ca="1">+WORLDCUP!BD58</f>
        <v>Sudáfrica</v>
      </c>
      <c r="H193" s="9" t="str">
        <f ca="1">+WORLDCUP!BD63</f>
        <v>Suecia</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Senegal</v>
      </c>
      <c r="F194" s="9" t="str">
        <f ca="1">+WORLDCUP!BD61</f>
        <v>Paraguay</v>
      </c>
      <c r="G194" s="9" t="str">
        <f ca="1">+WORLDCUP!BD58</f>
        <v>Sudáfrica</v>
      </c>
      <c r="H194" s="9" t="str">
        <f ca="1">+WORLDCUP!BD63</f>
        <v>Suecia</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Austria</v>
      </c>
      <c r="F195" s="9" t="str">
        <f ca="1">+WORLDCUP!BD61</f>
        <v>Paraguay</v>
      </c>
      <c r="G195" s="9" t="str">
        <f ca="1">+WORLDCUP!BD58</f>
        <v>Sudáfrica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Austria</v>
      </c>
      <c r="F196" s="9" t="str">
        <f ca="1">+WORLDCUP!BD61</f>
        <v>Paraguay</v>
      </c>
      <c r="G196" s="9" t="str">
        <f ca="1">+WORLDCUP!BD58</f>
        <v>Sudáfrica</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Sudáfrica</v>
      </c>
      <c r="H197" s="9" t="str">
        <f ca="1">+WORLDCUP!BD63</f>
        <v>Suecia</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Austria</v>
      </c>
      <c r="F198" s="9" t="str">
        <f ca="1">+WORLDCUP!BD61</f>
        <v>Paraguay</v>
      </c>
      <c r="G198" s="9" t="str">
        <f ca="1">+WORLDCUP!BD58</f>
        <v>Sudáfrica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Austria</v>
      </c>
      <c r="F199" s="9" t="str">
        <f ca="1">+WORLDCUP!BD61</f>
        <v>Paraguay</v>
      </c>
      <c r="G199" s="9" t="str">
        <f ca="1">+WORLDCUP!BD58</f>
        <v>Sudáfrica</v>
      </c>
      <c r="H199" s="9" t="str">
        <f ca="1">+WORLDCUP!BD63</f>
        <v>Suecia</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Sudáfrica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Sudáfrica</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Austria</v>
      </c>
      <c r="F202" s="9" t="str">
        <f ca="1">+WORLDCUP!BD61</f>
        <v>Paraguay</v>
      </c>
      <c r="G202" s="9" t="str">
        <f ca="1">+WORLDCUP!BD58</f>
        <v>Sudáfrica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Sudáfrica</v>
      </c>
      <c r="H203" s="9" t="str">
        <f ca="1">+WORLDCUP!BD64</f>
        <v>Nueva Zelanda</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Sudáfrica</v>
      </c>
      <c r="H204" s="9" t="str">
        <f ca="1">+WORLDCUP!BD63</f>
        <v>Suecia</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Austria</v>
      </c>
      <c r="F205" s="9" t="str">
        <f ca="1">+WORLDCUP!BD60</f>
        <v>Escocia</v>
      </c>
      <c r="G205" s="9" t="str">
        <f ca="1">+WORLDCUP!BD58</f>
        <v>Sudáfrica</v>
      </c>
      <c r="H205" s="9" t="str">
        <f ca="1">+WORLDCUP!BD63</f>
        <v>Suecia</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Austria</v>
      </c>
      <c r="F206" s="9" t="str">
        <f ca="1">+WORLDCUP!BD60</f>
        <v>Escocia</v>
      </c>
      <c r="G206" s="9" t="str">
        <f ca="1">+WORLDCUP!BD58</f>
        <v>Sudáfrica</v>
      </c>
      <c r="H206" s="9" t="str">
        <f ca="1">+WORLDCUP!BD63</f>
        <v>Suecia</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Sudáfrica</v>
      </c>
      <c r="H207" s="9" t="str">
        <f ca="1">+WORLDCUP!BD63</f>
        <v>Suecia</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Austria</v>
      </c>
      <c r="F208" s="9" t="str">
        <f ca="1">+WORLDCUP!BD60</f>
        <v>Escocia</v>
      </c>
      <c r="G208" s="9" t="str">
        <f ca="1">+WORLDCUP!BD58</f>
        <v>Sudáfrica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Austria</v>
      </c>
      <c r="F209" s="9" t="str">
        <f ca="1">+WORLDCUP!BD60</f>
        <v>Escocia</v>
      </c>
      <c r="G209" s="9" t="str">
        <f ca="1">+WORLDCUP!BD58</f>
        <v>Sudáfrica</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Sudáfrica</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Sudáfrica</v>
      </c>
      <c r="H211" s="9" t="str">
        <f ca="1">+WORLDCUP!BD64</f>
        <v>Nueva Zelanda</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Austria</v>
      </c>
      <c r="F212" s="9" t="str">
        <f ca="1">+WORLDCUP!BD60</f>
        <v>Escocia</v>
      </c>
      <c r="G212" s="9" t="str">
        <f ca="1">+WORLDCUP!BD58</f>
        <v>Sudáfrica</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Sudáfrica</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Austria</v>
      </c>
      <c r="F214" s="9" t="str">
        <f ca="1">+WORLDCUP!BD60</f>
        <v>Escocia</v>
      </c>
      <c r="G214" s="9" t="str">
        <f ca="1">+WORLDCUP!BD58</f>
        <v>Sudáfrica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Austria</v>
      </c>
      <c r="F215" s="9" t="str">
        <f ca="1">+WORLDCUP!BD60</f>
        <v>Escocia</v>
      </c>
      <c r="G215" s="9" t="str">
        <f ca="1">+WORLDCUP!BD58</f>
        <v>Sudáfrica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Sudáfrica</v>
      </c>
      <c r="H216" s="9" t="str">
        <f ca="1">+WORLDCUP!BD63</f>
        <v>Suecia</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Sudáfrica</v>
      </c>
      <c r="H217" s="9" t="str">
        <f ca="1">+WORLDCUP!BD63</f>
        <v>Suecia</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Sudáfrica</v>
      </c>
      <c r="H218" s="9" t="str">
        <f ca="1">+WORLDCUP!BD63</f>
        <v>Suecia</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Sudáfrica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Sudáfrica</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Austria</v>
      </c>
      <c r="F221" s="9" t="str">
        <f ca="1">+WORLDCUP!BD60</f>
        <v>Escocia</v>
      </c>
      <c r="G221" s="9" t="str">
        <f ca="1">+WORLDCUP!BD58</f>
        <v>Sudáfrica</v>
      </c>
      <c r="H221" s="9" t="str">
        <f ca="1">+WORLDCUP!BD63</f>
        <v>Suecia</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Sudáfrica</v>
      </c>
      <c r="H222" s="9" t="str">
        <f ca="1">+WORLDCUP!BD63</f>
        <v>Suecia</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Austria</v>
      </c>
      <c r="F223" s="9" t="str">
        <f ca="1">+WORLDCUP!BD60</f>
        <v>Escocia</v>
      </c>
      <c r="G223" s="9" t="str">
        <f ca="1">+WORLDCUP!BD58</f>
        <v>Sudáfrica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Austria</v>
      </c>
      <c r="F224" s="9" t="str">
        <f ca="1">+WORLDCUP!BD60</f>
        <v>Escocia</v>
      </c>
      <c r="G224" s="9" t="str">
        <f ca="1">+WORLDCUP!BD58</f>
        <v>Sudáfrica</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Sudáfrica</v>
      </c>
      <c r="H225" s="9" t="str">
        <f ca="1">+WORLDCUP!BD63</f>
        <v>Suecia</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Austria</v>
      </c>
      <c r="F226" s="9" t="str">
        <f ca="1">+WORLDCUP!BD60</f>
        <v>Escocia</v>
      </c>
      <c r="G226" s="9" t="str">
        <f ca="1">+WORLDCUP!BD58</f>
        <v>Sudáfrica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Austria</v>
      </c>
      <c r="F227" s="9" t="str">
        <f ca="1">+WORLDCUP!BD60</f>
        <v>Escocia</v>
      </c>
      <c r="G227" s="9" t="str">
        <f ca="1">+WORLDCUP!BD58</f>
        <v>Sudáfrica</v>
      </c>
      <c r="H227" s="9" t="str">
        <f ca="1">+WORLDCUP!BD63</f>
        <v>Suecia</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Sudáfrica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Sudáfrica</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Austria</v>
      </c>
      <c r="F230" s="9" t="str">
        <f ca="1">+WORLDCUP!BD60</f>
        <v>Escocia</v>
      </c>
      <c r="G230" s="9" t="str">
        <f ca="1">+WORLDCUP!BD58</f>
        <v>Sudáfrica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Sudáfrica</v>
      </c>
      <c r="H231" s="9" t="str">
        <f ca="1">+WORLDCUP!BD61</f>
        <v>Paraguay</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Austria</v>
      </c>
      <c r="F232" s="9" t="str">
        <f ca="1">+WORLDCUP!BD60</f>
        <v>Escocia</v>
      </c>
      <c r="G232" s="9" t="str">
        <f ca="1">+WORLDCUP!BD58</f>
        <v>Sudáfrica</v>
      </c>
      <c r="H232" s="9" t="str">
        <f ca="1">+WORLDCUP!BD61</f>
        <v>Paraguay</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Austria</v>
      </c>
      <c r="F233" s="9" t="str">
        <f ca="1">+WORLDCUP!BD60</f>
        <v>Escocia</v>
      </c>
      <c r="G233" s="9" t="str">
        <f ca="1">+WORLDCUP!BD58</f>
        <v>Sudáfrica</v>
      </c>
      <c r="H233" s="9" t="str">
        <f ca="1">+WORLDCUP!BD61</f>
        <v>Paraguay</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Sudáfrica</v>
      </c>
      <c r="H234" s="9" t="str">
        <f ca="1">+WORLDCUP!BD61</f>
        <v>Paraguay</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Austria</v>
      </c>
      <c r="F235" s="9" t="str">
        <f ca="1">+WORLDCUP!BD60</f>
        <v>Escocia</v>
      </c>
      <c r="G235" s="9" t="str">
        <f ca="1">+WORLDCUP!BD58</f>
        <v>Sudáfrica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Austria</v>
      </c>
      <c r="F236" s="9" t="str">
        <f ca="1">+WORLDCUP!BD60</f>
        <v>Escocia</v>
      </c>
      <c r="G236" s="9" t="str">
        <f ca="1">+WORLDCUP!BD58</f>
        <v>Sudáfrica</v>
      </c>
      <c r="H236" s="9" t="str">
        <f ca="1">+WORLDCUP!BD61</f>
        <v>Paraguay</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Austria</v>
      </c>
      <c r="E237" s="9" t="str">
        <f ca="1">+WORLDCUP!BD66</f>
        <v>Senegal</v>
      </c>
      <c r="F237" s="9" t="str">
        <f ca="1">+WORLDCUP!BD61</f>
        <v>Paraguay</v>
      </c>
      <c r="G237" s="9" t="str">
        <f ca="1">+WORLDCUP!BD58</f>
        <v>Sudáfrica</v>
      </c>
      <c r="H237" s="9" t="str">
        <f ca="1">+WORLDCUP!BD63</f>
        <v>Suecia</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Austria</v>
      </c>
      <c r="E238" s="9" t="str">
        <f ca="1">+WORLDCUP!BD63</f>
        <v>Suecia</v>
      </c>
      <c r="F238" s="9" t="str">
        <f ca="1">+WORLDCUP!BD60</f>
        <v>Escocia</v>
      </c>
      <c r="G238" s="9" t="str">
        <f ca="1">+WORLDCUP!BD58</f>
        <v>Sudáfrica</v>
      </c>
      <c r="H238" s="9" t="str">
        <f ca="1">+WORLDCUP!BD61</f>
        <v>Paraguay</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Sudáfrica</v>
      </c>
      <c r="H239" s="9" t="str">
        <f ca="1">+WORLDCUP!BD61</f>
        <v>Paraguay</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Austria</v>
      </c>
      <c r="E240" s="9" t="str">
        <f ca="1">+WORLDCUP!BD63</f>
        <v>Suecia</v>
      </c>
      <c r="F240" s="9" t="str">
        <f ca="1">+WORLDCUP!BD60</f>
        <v>Escocia</v>
      </c>
      <c r="G240" s="9" t="str">
        <f ca="1">+WORLDCUP!BD58</f>
        <v>Sudáfrica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Austria</v>
      </c>
      <c r="E241" s="9" t="str">
        <f ca="1">+WORLDCUP!BD63</f>
        <v>Suecia</v>
      </c>
      <c r="F241" s="9" t="str">
        <f ca="1">+WORLDCUP!BD60</f>
        <v>Escocia</v>
      </c>
      <c r="G241" s="9" t="str">
        <f ca="1">+WORLDCUP!BD58</f>
        <v>Sudáfrica</v>
      </c>
      <c r="H241" s="9" t="str">
        <f ca="1">+WORLDCUP!BD61</f>
        <v>Paraguay</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Austria</v>
      </c>
      <c r="F242" s="9" t="str">
        <f ca="1">+WORLDCUP!BD61</f>
        <v>Paraguay</v>
      </c>
      <c r="G242" s="9" t="str">
        <f ca="1">+WORLDCUP!BD58</f>
        <v>Sudáfrica</v>
      </c>
      <c r="H242" s="9" t="str">
        <f ca="1">+WORLDCUP!BD63</f>
        <v>Suecia</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Sudáfrica</v>
      </c>
      <c r="H243" s="9" t="str">
        <f ca="1">+WORLDCUP!BD63</f>
        <v>Suecia</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Austria</v>
      </c>
      <c r="F244" s="9" t="str">
        <f ca="1">+WORLDCUP!BD61</f>
        <v>Paraguay</v>
      </c>
      <c r="G244" s="9" t="str">
        <f ca="1">+WORLDCUP!BD58</f>
        <v>Sudáfrica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Austria</v>
      </c>
      <c r="F245" s="9" t="str">
        <f ca="1">+WORLDCUP!BD61</f>
        <v>Paraguay</v>
      </c>
      <c r="G245" s="9" t="str">
        <f ca="1">+WORLDCUP!BD58</f>
        <v>Sudáfrica</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Sudáfrica</v>
      </c>
      <c r="H246" s="9" t="str">
        <f ca="1">+WORLDCUP!BD61</f>
        <v>Paraguay</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Austria</v>
      </c>
      <c r="F247" s="9" t="str">
        <f ca="1">+WORLDCUP!BD61</f>
        <v>Paraguay</v>
      </c>
      <c r="G247" s="9" t="str">
        <f ca="1">+WORLDCUP!BD58</f>
        <v>Sudáfrica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Austria</v>
      </c>
      <c r="F248" s="9" t="str">
        <f ca="1">+WORLDCUP!BD60</f>
        <v>Escocia</v>
      </c>
      <c r="G248" s="9" t="str">
        <f ca="1">+WORLDCUP!BD58</f>
        <v>Sudáfrica</v>
      </c>
      <c r="H248" s="9" t="str">
        <f ca="1">+WORLDCUP!BD63</f>
        <v>Suecia</v>
      </c>
      <c r="I248" s="9" t="str">
        <f ca="1">+WORLDCUP!BD61</f>
        <v>Paraguay</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Sudáfrica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Sudáfrica</v>
      </c>
      <c r="H250" s="9" t="str">
        <f ca="1">+WORLDCUP!BD61</f>
        <v>Paraguay</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Austria</v>
      </c>
      <c r="F251" s="9" t="str">
        <f ca="1">+WORLDCUP!BD60</f>
        <v>Escocia</v>
      </c>
      <c r="G251" s="9" t="str">
        <f ca="1">+WORLDCUP!BD58</f>
        <v>Sudáfrica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Sudáfrica</v>
      </c>
      <c r="H252" s="9" t="str">
        <f ca="1">+WORLDCUP!BD61</f>
        <v>Paraguay</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Sudáfrica</v>
      </c>
      <c r="H253" s="9" t="str">
        <f ca="1">+WORLDCUP!BD61</f>
        <v>Paraguay</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Sudáfrica</v>
      </c>
      <c r="H254" s="9" t="str">
        <f ca="1">+WORLDCUP!BD61</f>
        <v>Paraguay</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Sudáfrica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Sudáfrica</v>
      </c>
      <c r="H256" s="9" t="str">
        <f ca="1">+WORLDCUP!BD61</f>
        <v>Paraguay</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Austria</v>
      </c>
      <c r="F257" s="9" t="str">
        <f ca="1">+WORLDCUP!BD60</f>
        <v>Escocia</v>
      </c>
      <c r="G257" s="9" t="str">
        <f ca="1">+WORLDCUP!BD58</f>
        <v>Sudáfrica</v>
      </c>
      <c r="H257" s="9" t="str">
        <f ca="1">+WORLDCUP!BD61</f>
        <v>Paraguay</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Sudáfrica</v>
      </c>
      <c r="H258" s="9" t="str">
        <f ca="1">+WORLDCUP!BD61</f>
        <v>Paraguay</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Austria</v>
      </c>
      <c r="F259" s="9" t="str">
        <f ca="1">+WORLDCUP!BD60</f>
        <v>Escocia</v>
      </c>
      <c r="G259" s="9" t="str">
        <f ca="1">+WORLDCUP!BD58</f>
        <v>Sudáfrica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Austria</v>
      </c>
      <c r="F260" s="9" t="str">
        <f ca="1">+WORLDCUP!BD60</f>
        <v>Escocia</v>
      </c>
      <c r="G260" s="9" t="str">
        <f ca="1">+WORLDCUP!BD58</f>
        <v>Sudáfrica</v>
      </c>
      <c r="H260" s="9" t="str">
        <f ca="1">+WORLDCUP!BD61</f>
        <v>Paraguay</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Sudáfrica</v>
      </c>
      <c r="H261" s="9" t="str">
        <f ca="1">+WORLDCUP!BD61</f>
        <v>Paraguay</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Austria</v>
      </c>
      <c r="F262" s="9" t="str">
        <f ca="1">+WORLDCUP!BD60</f>
        <v>Escocia</v>
      </c>
      <c r="G262" s="9" t="str">
        <f ca="1">+WORLDCUP!BD58</f>
        <v>Sudáfrica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Austria</v>
      </c>
      <c r="F263" s="9" t="str">
        <f ca="1">+WORLDCUP!BD60</f>
        <v>Escocia</v>
      </c>
      <c r="G263" s="9" t="str">
        <f ca="1">+WORLDCUP!BD58</f>
        <v>Sudáfrica</v>
      </c>
      <c r="H263" s="9" t="str">
        <f ca="1">+WORLDCUP!BD61</f>
        <v>Paraguay</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Sudáfrica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Sudáfrica</v>
      </c>
      <c r="H265" s="9" t="str">
        <f ca="1">+WORLDCUP!BD61</f>
        <v>Paraguay</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Austria</v>
      </c>
      <c r="F266" s="9" t="str">
        <f ca="1">+WORLDCUP!BD60</f>
        <v>Escocia</v>
      </c>
      <c r="G266" s="9" t="str">
        <f ca="1">+WORLDCUP!BD58</f>
        <v>Sudáfrica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Sudáfrica</v>
      </c>
      <c r="H267" s="9" t="str">
        <f ca="1">+WORLDCUP!BD63</f>
        <v>Suecia</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Sudáfrica</v>
      </c>
      <c r="H268" s="9" t="str">
        <f ca="1">+WORLDCUP!BD63</f>
        <v>Suecia</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Sudáfrica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Sudáfrica</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Sudáfrica</v>
      </c>
      <c r="H271" s="9" t="str">
        <f ca="1">+WORLDCUP!BD61</f>
        <v>Paraguay</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Austria</v>
      </c>
      <c r="E272" s="9" t="str">
        <f ca="1">+WORLDCUP!BD63</f>
        <v>Suecia</v>
      </c>
      <c r="F272" s="9" t="str">
        <f ca="1">+WORLDCUP!BD60</f>
        <v>Escocia</v>
      </c>
      <c r="G272" s="9" t="str">
        <f ca="1">+WORLDCUP!BD58</f>
        <v>Sudáfrica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Sudáfrica</v>
      </c>
      <c r="H273" s="9" t="str">
        <f ca="1">+WORLDCUP!BD63</f>
        <v>Suecia</v>
      </c>
      <c r="I273" s="9" t="str">
        <f ca="1">+WORLDCUP!BD61</f>
        <v>Paraguay</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Sudáfrica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Sudáfrica</v>
      </c>
      <c r="H275" s="9" t="str">
        <f ca="1">+WORLDCUP!BD61</f>
        <v>Paraguay</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Sudáfrica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Sudáfrica</v>
      </c>
      <c r="H277" s="9" t="str">
        <f ca="1">+WORLDCUP!BD63</f>
        <v>Suecia</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Austria</v>
      </c>
      <c r="F278" s="9" t="str">
        <f ca="1">+WORLDCUP!BD61</f>
        <v>Paraguay</v>
      </c>
      <c r="G278" s="9" t="str">
        <f ca="1">+WORLDCUP!BD58</f>
        <v>Sudáfrica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Austria</v>
      </c>
      <c r="F279" s="9" t="str">
        <f ca="1">+WORLDCUP!BD61</f>
        <v>Paraguay</v>
      </c>
      <c r="G279" s="9" t="str">
        <f ca="1">+WORLDCUP!BD58</f>
        <v>Sudáfrica</v>
      </c>
      <c r="H279" s="9" t="str">
        <f ca="1">+WORLDCUP!BD63</f>
        <v>Suecia</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Sudáfrica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Sudáfrica</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Austria</v>
      </c>
      <c r="F282" s="9" t="str">
        <f ca="1">+WORLDCUP!BD61</f>
        <v>Paraguay</v>
      </c>
      <c r="G282" s="9" t="str">
        <f ca="1">+WORLDCUP!BD58</f>
        <v>Sudáfrica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Sudáfrica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Sudáfrica</v>
      </c>
      <c r="H284" s="9" t="str">
        <f ca="1">+WORLDCUP!BD63</f>
        <v>Suecia</v>
      </c>
      <c r="I284" s="9" t="str">
        <f ca="1">+WORLDCUP!BD61</f>
        <v>Paraguay</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Austria</v>
      </c>
      <c r="F285" s="9" t="str">
        <f ca="1">+WORLDCUP!BD60</f>
        <v>Escocia</v>
      </c>
      <c r="G285" s="9" t="str">
        <f ca="1">+WORLDCUP!BD58</f>
        <v>Sudáfrica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Sudáfrica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Austria</v>
      </c>
      <c r="E287" s="9" t="str">
        <f ca="1">+WORLDCUP!BD59</f>
        <v>Canadá</v>
      </c>
      <c r="F287" s="9" t="str">
        <f ca="1">+WORLDCUP!BD58</f>
        <v>Sudáfrica</v>
      </c>
      <c r="G287" s="9" t="str">
        <f ca="1">+WORLDCUP!BD66</f>
        <v>Senegal</v>
      </c>
      <c r="H287" s="9" t="str">
        <f ca="1">+WORLDCUP!BD64</f>
        <v>Nueva Zelanda</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Austria</v>
      </c>
      <c r="E288" s="9" t="str">
        <f ca="1">+WORLDCUP!BD59</f>
        <v>Canadá</v>
      </c>
      <c r="F288" s="9" t="str">
        <f ca="1">+WORLDCUP!BD58</f>
        <v>Sudáfrica</v>
      </c>
      <c r="G288" s="9" t="str">
        <f ca="1">+WORLDCUP!BD66</f>
        <v>Senegal</v>
      </c>
      <c r="H288" s="9" t="str">
        <f ca="1">+WORLDCUP!BD63</f>
        <v>Suecia</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Austria</v>
      </c>
      <c r="E289" s="9" t="str">
        <f ca="1">+WORLDCUP!BD59</f>
        <v>Canadá</v>
      </c>
      <c r="F289" s="9" t="str">
        <f ca="1">+WORLDCUP!BD63</f>
        <v>Suecia</v>
      </c>
      <c r="G289" s="9" t="str">
        <f ca="1">+WORLDCUP!BD58</f>
        <v>Sudáfrica</v>
      </c>
      <c r="H289" s="9" t="str">
        <f ca="1">+WORLDCUP!BD64</f>
        <v>Nueva Zelanda</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Austria</v>
      </c>
      <c r="E290" s="9" t="str">
        <f ca="1">+WORLDCUP!BD59</f>
        <v>Canadá</v>
      </c>
      <c r="F290" s="9" t="str">
        <f ca="1">+WORLDCUP!BD63</f>
        <v>Suecia</v>
      </c>
      <c r="G290" s="9" t="str">
        <f ca="1">+WORLDCUP!BD58</f>
        <v>Sudáfrica</v>
      </c>
      <c r="H290" s="9" t="str">
        <f ca="1">+WORLDCUP!BD64</f>
        <v>Nueva Zelanda</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Canadá</v>
      </c>
      <c r="F291" s="9" t="str">
        <f ca="1">+WORLDCUP!BD58</f>
        <v>Sudáfrica</v>
      </c>
      <c r="G291" s="9" t="str">
        <f ca="1">+WORLDCUP!BD66</f>
        <v>Senegal</v>
      </c>
      <c r="H291" s="9" t="str">
        <f ca="1">+WORLDCUP!BD63</f>
        <v>Suecia</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Austria</v>
      </c>
      <c r="E292" s="9" t="str">
        <f ca="1">+WORLDCUP!BD59</f>
        <v>Canadá</v>
      </c>
      <c r="F292" s="9" t="str">
        <f ca="1">+WORLDCUP!BD63</f>
        <v>Suecia</v>
      </c>
      <c r="G292" s="9" t="str">
        <f ca="1">+WORLDCUP!BD58</f>
        <v>Sudáfrica</v>
      </c>
      <c r="H292" s="9" t="str">
        <f ca="1">+WORLDCUP!BD64</f>
        <v>Nueva Zelanda</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Austria</v>
      </c>
      <c r="E293" s="9" t="str">
        <f ca="1">+WORLDCUP!BD59</f>
        <v>Canadá</v>
      </c>
      <c r="F293" s="9" t="str">
        <f ca="1">+WORLDCUP!BD63</f>
        <v>Suecia</v>
      </c>
      <c r="G293" s="9" t="str">
        <f ca="1">+WORLDCUP!BD58</f>
        <v>Sudáfrica</v>
      </c>
      <c r="H293" s="9" t="str">
        <f ca="1">+WORLDCUP!BD64</f>
        <v>Nueva Zelanda</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Austria</v>
      </c>
      <c r="E294" s="9" t="str">
        <f ca="1">+WORLDCUP!BD59</f>
        <v>Canadá</v>
      </c>
      <c r="F294" s="9" t="str">
        <f ca="1">+WORLDCUP!BD58</f>
        <v>Sudáfrica</v>
      </c>
      <c r="G294" s="9" t="str">
        <f ca="1">+WORLDCUP!BD66</f>
        <v>Senegal</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Austria</v>
      </c>
      <c r="E295" s="9" t="str">
        <f ca="1">+WORLDCUP!BD59</f>
        <v>Canadá</v>
      </c>
      <c r="F295" s="9" t="str">
        <f ca="1">+WORLDCUP!BD58</f>
        <v>Sudáfrica</v>
      </c>
      <c r="G295" s="9" t="str">
        <f ca="1">+WORLDCUP!BD66</f>
        <v>Senegal</v>
      </c>
      <c r="H295" s="9" t="str">
        <f ca="1">+WORLDCUP!BD64</f>
        <v>Nueva Zelanda</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Austria</v>
      </c>
      <c r="E296" s="9" t="str">
        <f ca="1">+WORLDCUP!BD59</f>
        <v>Canadá</v>
      </c>
      <c r="F296" s="9" t="str">
        <f ca="1">+WORLDCUP!BD58</f>
        <v>Sudáfrica</v>
      </c>
      <c r="G296" s="9" t="str">
        <f ca="1">+WORLDCUP!BD65</f>
        <v>Arabia Saudita</v>
      </c>
      <c r="H296" s="9" t="str">
        <f ca="1">+WORLDCUP!BD64</f>
        <v>Nueva Zelanda</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Canadá</v>
      </c>
      <c r="F297" s="9" t="str">
        <f ca="1">+WORLDCUP!BD58</f>
        <v>Sudáfrica</v>
      </c>
      <c r="G297" s="9" t="str">
        <f ca="1">+WORLDCUP!BD66</f>
        <v>Senegal</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Austria</v>
      </c>
      <c r="E298" s="9" t="str">
        <f ca="1">+WORLDCUP!BD59</f>
        <v>Canadá</v>
      </c>
      <c r="F298" s="9" t="str">
        <f ca="1">+WORLDCUP!BD58</f>
        <v>Sudáfrica</v>
      </c>
      <c r="G298" s="9" t="str">
        <f ca="1">+WORLDCUP!BD65</f>
        <v>Arabia Saudita</v>
      </c>
      <c r="H298" s="9" t="str">
        <f ca="1">+WORLDCUP!BD64</f>
        <v>Nueva Zelanda</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Austria</v>
      </c>
      <c r="E299" s="9" t="str">
        <f ca="1">+WORLDCUP!BD59</f>
        <v>Canadá</v>
      </c>
      <c r="F299" s="9" t="str">
        <f ca="1">+WORLDCUP!BD58</f>
        <v>Sudáfrica</v>
      </c>
      <c r="G299" s="9" t="str">
        <f ca="1">+WORLDCUP!BD65</f>
        <v>Arabia Saudita</v>
      </c>
      <c r="H299" s="9" t="str">
        <f ca="1">+WORLDCUP!BD64</f>
        <v>Nueva Zelanda</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Austria</v>
      </c>
      <c r="E300" s="9" t="str">
        <f ca="1">+WORLDCUP!BD59</f>
        <v>Canadá</v>
      </c>
      <c r="F300" s="9" t="str">
        <f ca="1">+WORLDCUP!BD58</f>
        <v>Sudáfrica</v>
      </c>
      <c r="G300" s="9" t="str">
        <f ca="1">+WORLDCUP!BD66</f>
        <v>Senegal</v>
      </c>
      <c r="H300" s="9" t="str">
        <f ca="1">+WORLDCUP!BD63</f>
        <v>Suecia</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Austria</v>
      </c>
      <c r="E301" s="9" t="str">
        <f ca="1">+WORLDCUP!BD59</f>
        <v>Canadá</v>
      </c>
      <c r="F301" s="9" t="str">
        <f ca="1">+WORLDCUP!BD63</f>
        <v>Suecia</v>
      </c>
      <c r="G301" s="9" t="str">
        <f ca="1">+WORLDCUP!BD58</f>
        <v>Sudáfrica</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Canadá</v>
      </c>
      <c r="F302" s="9" t="str">
        <f ca="1">+WORLDCUP!BD63</f>
        <v>Suecia</v>
      </c>
      <c r="G302" s="9" t="str">
        <f ca="1">+WORLDCUP!BD58</f>
        <v>Sudáfrica</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Austria</v>
      </c>
      <c r="E303" s="9" t="str">
        <f ca="1">+WORLDCUP!BD59</f>
        <v>Canadá</v>
      </c>
      <c r="F303" s="9" t="str">
        <f ca="1">+WORLDCUP!BD63</f>
        <v>Suecia</v>
      </c>
      <c r="G303" s="9" t="str">
        <f ca="1">+WORLDCUP!BD58</f>
        <v>Sudáfrica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Austria</v>
      </c>
      <c r="E304" s="9" t="str">
        <f ca="1">+WORLDCUP!BD59</f>
        <v>Canadá</v>
      </c>
      <c r="F304" s="9" t="str">
        <f ca="1">+WORLDCUP!BD63</f>
        <v>Suecia</v>
      </c>
      <c r="G304" s="9" t="str">
        <f ca="1">+WORLDCUP!BD58</f>
        <v>Sudáfrica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Austria</v>
      </c>
      <c r="E305" s="9" t="str">
        <f ca="1">+WORLDCUP!BD59</f>
        <v>Canadá</v>
      </c>
      <c r="F305" s="9" t="str">
        <f ca="1">+WORLDCUP!BD63</f>
        <v>Suecia</v>
      </c>
      <c r="G305" s="9" t="str">
        <f ca="1">+WORLDCUP!BD58</f>
        <v>Sudáfrica</v>
      </c>
      <c r="H305" s="9" t="str">
        <f ca="1">+WORLDCUP!BD64</f>
        <v>Nueva Zelanda</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Canadá</v>
      </c>
      <c r="F306" s="9" t="str">
        <f ca="1">+WORLDCUP!BD58</f>
        <v>Sudáfrica</v>
      </c>
      <c r="G306" s="9" t="str">
        <f ca="1">+WORLDCUP!BD66</f>
        <v>Senegal</v>
      </c>
      <c r="H306" s="9" t="str">
        <f ca="1">+WORLDCUP!BD63</f>
        <v>Suecia</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Austria</v>
      </c>
      <c r="E307" s="9" t="str">
        <f ca="1">+WORLDCUP!BD59</f>
        <v>Canadá</v>
      </c>
      <c r="F307" s="9" t="str">
        <f ca="1">+WORLDCUP!BD63</f>
        <v>Suecia</v>
      </c>
      <c r="G307" s="9" t="str">
        <f ca="1">+WORLDCUP!BD58</f>
        <v>Sudáfrica</v>
      </c>
      <c r="H307" s="9" t="str">
        <f ca="1">+WORLDCUP!BD64</f>
        <v>Nueva Zelanda</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Austria</v>
      </c>
      <c r="E308" s="9" t="str">
        <f ca="1">+WORLDCUP!BD59</f>
        <v>Canadá</v>
      </c>
      <c r="F308" s="9" t="str">
        <f ca="1">+WORLDCUP!BD63</f>
        <v>Suecia</v>
      </c>
      <c r="G308" s="9" t="str">
        <f ca="1">+WORLDCUP!BD58</f>
        <v>Sudáfrica</v>
      </c>
      <c r="H308" s="9" t="str">
        <f ca="1">+WORLDCUP!BD64</f>
        <v>Nueva Zelanda</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Canadá</v>
      </c>
      <c r="F309" s="9" t="str">
        <f ca="1">+WORLDCUP!BD63</f>
        <v>Suecia</v>
      </c>
      <c r="G309" s="9" t="str">
        <f ca="1">+WORLDCUP!BD58</f>
        <v>Sudáfrica</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Austria</v>
      </c>
      <c r="E310" s="9" t="str">
        <f ca="1">+WORLDCUP!BD59</f>
        <v>Canadá</v>
      </c>
      <c r="F310" s="9" t="str">
        <f ca="1">+WORLDCUP!BD63</f>
        <v>Suecia</v>
      </c>
      <c r="G310" s="9" t="str">
        <f ca="1">+WORLDCUP!BD58</f>
        <v>Sudáfrica</v>
      </c>
      <c r="H310" s="9" t="str">
        <f ca="1">+WORLDCUP!BD64</f>
        <v>Nueva Zelanda</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Austria</v>
      </c>
      <c r="E311" s="9" t="str">
        <f ca="1">+WORLDCUP!BD59</f>
        <v>Canadá</v>
      </c>
      <c r="F311" s="9" t="str">
        <f ca="1">+WORLDCUP!BD63</f>
        <v>Suecia</v>
      </c>
      <c r="G311" s="9" t="str">
        <f ca="1">+WORLDCUP!BD58</f>
        <v>Sudáfrica</v>
      </c>
      <c r="H311" s="9" t="str">
        <f ca="1">+WORLDCUP!BD64</f>
        <v>Nueva Zelanda</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Canadá</v>
      </c>
      <c r="F312" s="9" t="str">
        <f ca="1">+WORLDCUP!BD63</f>
        <v>Suecia</v>
      </c>
      <c r="G312" s="9" t="str">
        <f ca="1">+WORLDCUP!BD58</f>
        <v>Sudáfrica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Canadá</v>
      </c>
      <c r="F313" s="9" t="str">
        <f ca="1">+WORLDCUP!BD63</f>
        <v>Suecia</v>
      </c>
      <c r="G313" s="9" t="str">
        <f ca="1">+WORLDCUP!BD58</f>
        <v>Sudáfrica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Austria</v>
      </c>
      <c r="E314" s="9" t="str">
        <f ca="1">+WORLDCUP!BD59</f>
        <v>Canadá</v>
      </c>
      <c r="F314" s="9" t="str">
        <f ca="1">+WORLDCUP!BD63</f>
        <v>Suecia</v>
      </c>
      <c r="G314" s="9" t="str">
        <f ca="1">+WORLDCUP!BD58</f>
        <v>Sudáfrica</v>
      </c>
      <c r="H314" s="9" t="str">
        <f ca="1">+WORLDCUP!BD64</f>
        <v>Nueva Zelanda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Austria</v>
      </c>
      <c r="E315" s="9" t="str">
        <f ca="1">+WORLDCUP!BD59</f>
        <v>Canadá</v>
      </c>
      <c r="F315" s="9" t="str">
        <f ca="1">+WORLDCUP!BD61</f>
        <v>Paraguay</v>
      </c>
      <c r="G315" s="9" t="str">
        <f ca="1">+WORLDCUP!BD58</f>
        <v>Sudáfrica</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Austria</v>
      </c>
      <c r="E316" s="9" t="str">
        <f ca="1">+WORLDCUP!BD59</f>
        <v>Canadá</v>
      </c>
      <c r="F316" s="9" t="str">
        <f ca="1">+WORLDCUP!BD61</f>
        <v>Paraguay</v>
      </c>
      <c r="G316" s="9" t="str">
        <f ca="1">+WORLDCUP!BD58</f>
        <v>Sudáfrica</v>
      </c>
      <c r="H316" s="9" t="str">
        <f ca="1">+WORLDCUP!BD64</f>
        <v>Nueva Zelanda</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Austria</v>
      </c>
      <c r="E317" s="9" t="str">
        <f ca="1">+WORLDCUP!BD59</f>
        <v>Canadá</v>
      </c>
      <c r="F317" s="9" t="str">
        <f ca="1">+WORLDCUP!BD61</f>
        <v>Paraguay</v>
      </c>
      <c r="G317" s="9" t="str">
        <f ca="1">+WORLDCUP!BD58</f>
        <v>Sudáfrica</v>
      </c>
      <c r="H317" s="9" t="str">
        <f ca="1">+WORLDCUP!BD64</f>
        <v>Nueva Zelanda</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Canadá</v>
      </c>
      <c r="F318" s="9" t="str">
        <f ca="1">+WORLDCUP!BD61</f>
        <v>Paraguay</v>
      </c>
      <c r="G318" s="9" t="str">
        <f ca="1">+WORLDCUP!BD58</f>
        <v>Sudáfrica</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Austria</v>
      </c>
      <c r="E319" s="9" t="str">
        <f ca="1">+WORLDCUP!BD59</f>
        <v>Canadá</v>
      </c>
      <c r="F319" s="9" t="str">
        <f ca="1">+WORLDCUP!BD61</f>
        <v>Paraguay</v>
      </c>
      <c r="G319" s="9" t="str">
        <f ca="1">+WORLDCUP!BD58</f>
        <v>Sudáfrica</v>
      </c>
      <c r="H319" s="9" t="str">
        <f ca="1">+WORLDCUP!BD64</f>
        <v>Nueva Zelanda</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Austria</v>
      </c>
      <c r="E320" s="9" t="str">
        <f ca="1">+WORLDCUP!BD59</f>
        <v>Canadá</v>
      </c>
      <c r="F320" s="9" t="str">
        <f ca="1">+WORLDCUP!BD61</f>
        <v>Paraguay</v>
      </c>
      <c r="G320" s="9" t="str">
        <f ca="1">+WORLDCUP!BD58</f>
        <v>Sudáfrica</v>
      </c>
      <c r="H320" s="9" t="str">
        <f ca="1">+WORLDCUP!BD64</f>
        <v>Nueva Zelanda</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Austria</v>
      </c>
      <c r="E321" s="9" t="str">
        <f ca="1">+WORLDCUP!BD59</f>
        <v>Canadá</v>
      </c>
      <c r="F321" s="9" t="str">
        <f ca="1">+WORLDCUP!BD61</f>
        <v>Paraguay</v>
      </c>
      <c r="G321" s="9" t="str">
        <f ca="1">+WORLDCUP!BD58</f>
        <v>Sudáfrica</v>
      </c>
      <c r="H321" s="9" t="str">
        <f ca="1">+WORLDCUP!BD63</f>
        <v>Suecia</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Austria</v>
      </c>
      <c r="E322" s="9" t="str">
        <f ca="1">+WORLDCUP!BD59</f>
        <v>Canadá</v>
      </c>
      <c r="F322" s="9" t="str">
        <f ca="1">+WORLDCUP!BD61</f>
        <v>Paraguay</v>
      </c>
      <c r="G322" s="9" t="str">
        <f ca="1">+WORLDCUP!BD58</f>
        <v>Sudáfrica</v>
      </c>
      <c r="H322" s="9" t="str">
        <f ca="1">+WORLDCUP!BD63</f>
        <v>Suecia</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Sudáfrica</v>
      </c>
      <c r="H323" s="9" t="str">
        <f ca="1">+WORLDCUP!BD63</f>
        <v>Suecia</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Austria</v>
      </c>
      <c r="E324" s="9" t="str">
        <f ca="1">+WORLDCUP!BD59</f>
        <v>Canadá</v>
      </c>
      <c r="F324" s="9" t="str">
        <f ca="1">+WORLDCUP!BD61</f>
        <v>Paraguay</v>
      </c>
      <c r="G324" s="9" t="str">
        <f ca="1">+WORLDCUP!BD58</f>
        <v>Sudáfrica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Austria</v>
      </c>
      <c r="E325" s="9" t="str">
        <f ca="1">+WORLDCUP!BD59</f>
        <v>Canadá</v>
      </c>
      <c r="F325" s="9" t="str">
        <f ca="1">+WORLDCUP!BD61</f>
        <v>Paraguay</v>
      </c>
      <c r="G325" s="9" t="str">
        <f ca="1">+WORLDCUP!BD58</f>
        <v>Sudáfrica</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Austria</v>
      </c>
      <c r="E326" s="9" t="str">
        <f ca="1">+WORLDCUP!BD59</f>
        <v>Canadá</v>
      </c>
      <c r="F326" s="9" t="str">
        <f ca="1">+WORLDCUP!BD61</f>
        <v>Paraguay</v>
      </c>
      <c r="G326" s="9" t="str">
        <f ca="1">+WORLDCUP!BD58</f>
        <v>Sudáfrica</v>
      </c>
      <c r="H326" s="9" t="str">
        <f ca="1">+WORLDCUP!BD64</f>
        <v>Nueva Zelanda</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Canadá</v>
      </c>
      <c r="F327" s="9" t="str">
        <f ca="1">+WORLDCUP!BD61</f>
        <v>Paraguay</v>
      </c>
      <c r="G327" s="9" t="str">
        <f ca="1">+WORLDCUP!BD58</f>
        <v>Sudáfrica</v>
      </c>
      <c r="H327" s="9" t="str">
        <f ca="1">+WORLDCUP!BD63</f>
        <v>Suecia</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Austria</v>
      </c>
      <c r="E328" s="9" t="str">
        <f ca="1">+WORLDCUP!BD59</f>
        <v>Canadá</v>
      </c>
      <c r="F328" s="9" t="str">
        <f ca="1">+WORLDCUP!BD61</f>
        <v>Paraguay</v>
      </c>
      <c r="G328" s="9" t="str">
        <f ca="1">+WORLDCUP!BD58</f>
        <v>Sudáfrica</v>
      </c>
      <c r="H328" s="9" t="str">
        <f ca="1">+WORLDCUP!BD64</f>
        <v>Nueva Zelanda</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Austria</v>
      </c>
      <c r="E329" s="9" t="str">
        <f ca="1">+WORLDCUP!BD59</f>
        <v>Canadá</v>
      </c>
      <c r="F329" s="9" t="str">
        <f ca="1">+WORLDCUP!BD61</f>
        <v>Paraguay</v>
      </c>
      <c r="G329" s="9" t="str">
        <f ca="1">+WORLDCUP!BD58</f>
        <v>Sudáfrica</v>
      </c>
      <c r="H329" s="9" t="str">
        <f ca="1">+WORLDCUP!BD64</f>
        <v>Nueva Zelanda</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Canadá</v>
      </c>
      <c r="F330" s="9" t="str">
        <f ca="1">+WORLDCUP!BD61</f>
        <v>Paraguay</v>
      </c>
      <c r="G330" s="9" t="str">
        <f ca="1">+WORLDCUP!BD58</f>
        <v>Sudáfrica</v>
      </c>
      <c r="H330" s="9" t="str">
        <f ca="1">+WORLDCUP!BD63</f>
        <v>Suecia</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Canadá</v>
      </c>
      <c r="F331" s="9" t="str">
        <f ca="1">+WORLDCUP!BD61</f>
        <v>Paraguay</v>
      </c>
      <c r="G331" s="9" t="str">
        <f ca="1">+WORLDCUP!BD58</f>
        <v>Sudáfrica</v>
      </c>
      <c r="H331" s="9" t="str">
        <f ca="1">+WORLDCUP!BD63</f>
        <v>Suecia</v>
      </c>
      <c r="I331" s="9" t="str">
        <f ca="1">+WORLDCUP!BD69</f>
        <v>Ghana</v>
      </c>
      <c r="J331" s="9" t="str">
        <f ca="1">+WORLDCUP!BD67</f>
        <v>Austria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Canadá</v>
      </c>
      <c r="F332" s="9" t="str">
        <f ca="1">+WORLDCUP!BD61</f>
        <v>Paraguay</v>
      </c>
      <c r="G332" s="9" t="str">
        <f ca="1">+WORLDCUP!BD58</f>
        <v>Sudáfrica</v>
      </c>
      <c r="H332" s="9" t="str">
        <f ca="1">+WORLDCUP!BD63</f>
        <v>Suecia</v>
      </c>
      <c r="I332" s="9" t="str">
        <f ca="1">+WORLDCUP!BD67</f>
        <v>Austria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Canadá</v>
      </c>
      <c r="F333" s="9" t="str">
        <f ca="1">+WORLDCUP!BD61</f>
        <v>Paraguay</v>
      </c>
      <c r="G333" s="9" t="str">
        <f ca="1">+WORLDCUP!BD58</f>
        <v>Sudáfrica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Canadá</v>
      </c>
      <c r="F334" s="9" t="str">
        <f ca="1">+WORLDCUP!BD61</f>
        <v>Paraguay</v>
      </c>
      <c r="G334" s="9" t="str">
        <f ca="1">+WORLDCUP!BD58</f>
        <v>Sudáfrica</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Canadá</v>
      </c>
      <c r="F335" s="9" t="str">
        <f ca="1">+WORLDCUP!BD61</f>
        <v>Paraguay</v>
      </c>
      <c r="G335" s="9" t="str">
        <f ca="1">+WORLDCUP!BD58</f>
        <v>Sudáfrica</v>
      </c>
      <c r="H335" s="9" t="str">
        <f ca="1">+WORLDCUP!BD63</f>
        <v>Suecia</v>
      </c>
      <c r="I335" s="9" t="str">
        <f ca="1">+WORLDCUP!BD66</f>
        <v>Senegal</v>
      </c>
      <c r="J335" s="9" t="str">
        <f ca="1">+WORLDCUP!BD67</f>
        <v>Austria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Austria</v>
      </c>
      <c r="E336" s="9" t="str">
        <f ca="1">+WORLDCUP!BD59</f>
        <v>Canadá</v>
      </c>
      <c r="F336" s="9" t="str">
        <f ca="1">+WORLDCUP!BD58</f>
        <v>Sudáfrica</v>
      </c>
      <c r="G336" s="9" t="str">
        <f ca="1">+WORLDCUP!BD66</f>
        <v>Senegal</v>
      </c>
      <c r="H336" s="9" t="str">
        <f ca="1">+WORLDCUP!BD61</f>
        <v>Paraguay</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Austria</v>
      </c>
      <c r="E337" s="9" t="str">
        <f ca="1">+WORLDCUP!BD59</f>
        <v>Canadá</v>
      </c>
      <c r="F337" s="9" t="str">
        <f ca="1">+WORLDCUP!BD61</f>
        <v>Paraguay</v>
      </c>
      <c r="G337" s="9" t="str">
        <f ca="1">+WORLDCUP!BD58</f>
        <v>Sudáfrica</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Canadá</v>
      </c>
      <c r="F338" s="9" t="str">
        <f ca="1">+WORLDCUP!BD61</f>
        <v>Paraguay</v>
      </c>
      <c r="G338" s="9" t="str">
        <f ca="1">+WORLDCUP!BD58</f>
        <v>Sudáfrica</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Austria</v>
      </c>
      <c r="E339" s="9" t="str">
        <f ca="1">+WORLDCUP!BD59</f>
        <v>Canadá</v>
      </c>
      <c r="F339" s="9" t="str">
        <f ca="1">+WORLDCUP!BD61</f>
        <v>Paraguay</v>
      </c>
      <c r="G339" s="9" t="str">
        <f ca="1">+WORLDCUP!BD58</f>
        <v>Sudáfrica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Austria</v>
      </c>
      <c r="E340" s="9" t="str">
        <f ca="1">+WORLDCUP!BD59</f>
        <v>Canadá</v>
      </c>
      <c r="F340" s="9" t="str">
        <f ca="1">+WORLDCUP!BD61</f>
        <v>Paraguay</v>
      </c>
      <c r="G340" s="9" t="str">
        <f ca="1">+WORLDCUP!BD58</f>
        <v>Sudáfrica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Austria</v>
      </c>
      <c r="E341" s="9" t="str">
        <f ca="1">+WORLDCUP!BD59</f>
        <v>Canadá</v>
      </c>
      <c r="F341" s="9" t="str">
        <f ca="1">+WORLDCUP!BD61</f>
        <v>Paraguay</v>
      </c>
      <c r="G341" s="9" t="str">
        <f ca="1">+WORLDCUP!BD58</f>
        <v>Sudáfrica</v>
      </c>
      <c r="H341" s="9" t="str">
        <f ca="1">+WORLDCUP!BD64</f>
        <v>Nueva Zelanda</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Canadá</v>
      </c>
      <c r="F342" s="9" t="str">
        <f ca="1">+WORLDCUP!BD58</f>
        <v>Sudáfrica</v>
      </c>
      <c r="G342" s="9" t="str">
        <f ca="1">+WORLDCUP!BD66</f>
        <v>Senegal</v>
      </c>
      <c r="H342" s="9" t="str">
        <f ca="1">+WORLDCUP!BD61</f>
        <v>Paraguay</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Austria</v>
      </c>
      <c r="E343" s="9" t="str">
        <f ca="1">+WORLDCUP!BD59</f>
        <v>Canadá</v>
      </c>
      <c r="F343" s="9" t="str">
        <f ca="1">+WORLDCUP!BD61</f>
        <v>Paraguay</v>
      </c>
      <c r="G343" s="9" t="str">
        <f ca="1">+WORLDCUP!BD58</f>
        <v>Sudáfrica</v>
      </c>
      <c r="H343" s="9" t="str">
        <f ca="1">+WORLDCUP!BD64</f>
        <v>Nueva Zelanda</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Austria</v>
      </c>
      <c r="E344" s="9" t="str">
        <f ca="1">+WORLDCUP!BD59</f>
        <v>Canadá</v>
      </c>
      <c r="F344" s="9" t="str">
        <f ca="1">+WORLDCUP!BD61</f>
        <v>Paraguay</v>
      </c>
      <c r="G344" s="9" t="str">
        <f ca="1">+WORLDCUP!BD58</f>
        <v>Sudáfrica</v>
      </c>
      <c r="H344" s="9" t="str">
        <f ca="1">+WORLDCUP!BD64</f>
        <v>Nueva Zelanda</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Canadá</v>
      </c>
      <c r="F345" s="9" t="str">
        <f ca="1">+WORLDCUP!BD61</f>
        <v>Paraguay</v>
      </c>
      <c r="G345" s="9" t="str">
        <f ca="1">+WORLDCUP!BD58</f>
        <v>Sudáfrica</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Austria</v>
      </c>
      <c r="E346" s="9" t="str">
        <f ca="1">+WORLDCUP!BD59</f>
        <v>Canadá</v>
      </c>
      <c r="F346" s="9" t="str">
        <f ca="1">+WORLDCUP!BD61</f>
        <v>Paraguay</v>
      </c>
      <c r="G346" s="9" t="str">
        <f ca="1">+WORLDCUP!BD58</f>
        <v>Sudáfrica</v>
      </c>
      <c r="H346" s="9" t="str">
        <f ca="1">+WORLDCUP!BD64</f>
        <v>Nueva Zelanda</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Austria</v>
      </c>
      <c r="E347" s="9" t="str">
        <f ca="1">+WORLDCUP!BD59</f>
        <v>Canadá</v>
      </c>
      <c r="F347" s="9" t="str">
        <f ca="1">+WORLDCUP!BD61</f>
        <v>Paraguay</v>
      </c>
      <c r="G347" s="9" t="str">
        <f ca="1">+WORLDCUP!BD58</f>
        <v>Sudáfrica</v>
      </c>
      <c r="H347" s="9" t="str">
        <f ca="1">+WORLDCUP!BD64</f>
        <v>Nueva Zelanda</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Canadá</v>
      </c>
      <c r="F348" s="9" t="str">
        <f ca="1">+WORLDCUP!BD61</f>
        <v>Paraguay</v>
      </c>
      <c r="G348" s="9" t="str">
        <f ca="1">+WORLDCUP!BD58</f>
        <v>Sudáfrica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Canadá</v>
      </c>
      <c r="F349" s="9" t="str">
        <f ca="1">+WORLDCUP!BD61</f>
        <v>Paraguay</v>
      </c>
      <c r="G349" s="9" t="str">
        <f ca="1">+WORLDCUP!BD58</f>
        <v>Sudáfrica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Austria</v>
      </c>
      <c r="E350" s="9" t="str">
        <f ca="1">+WORLDCUP!BD59</f>
        <v>Canadá</v>
      </c>
      <c r="F350" s="9" t="str">
        <f ca="1">+WORLDCUP!BD61</f>
        <v>Paraguay</v>
      </c>
      <c r="G350" s="9" t="str">
        <f ca="1">+WORLDCUP!BD58</f>
        <v>Sudáfrica</v>
      </c>
      <c r="H350" s="9" t="str">
        <f ca="1">+WORLDCUP!BD64</f>
        <v>Nueva Zelanda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Austria</v>
      </c>
      <c r="E351" s="9" t="str">
        <f ca="1">+WORLDCUP!BD59</f>
        <v>Canadá</v>
      </c>
      <c r="F351" s="9" t="str">
        <f ca="1">+WORLDCUP!BD61</f>
        <v>Paraguay</v>
      </c>
      <c r="G351" s="9" t="str">
        <f ca="1">+WORLDCUP!BD58</f>
        <v>Sudáfrica</v>
      </c>
      <c r="H351" s="9" t="str">
        <f ca="1">+WORLDCUP!BD63</f>
        <v>Suecia</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Canadá</v>
      </c>
      <c r="F352" s="9" t="str">
        <f ca="1">+WORLDCUP!BD61</f>
        <v>Paraguay</v>
      </c>
      <c r="G352" s="9" t="str">
        <f ca="1">+WORLDCUP!BD58</f>
        <v>Sudáfrica</v>
      </c>
      <c r="H352" s="9" t="str">
        <f ca="1">+WORLDCUP!BD63</f>
        <v>Suecia</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Austria</v>
      </c>
      <c r="E353" s="9" t="str">
        <f ca="1">+WORLDCUP!BD59</f>
        <v>Canadá</v>
      </c>
      <c r="F353" s="9" t="str">
        <f ca="1">+WORLDCUP!BD61</f>
        <v>Paraguay</v>
      </c>
      <c r="G353" s="9" t="str">
        <f ca="1">+WORLDCUP!BD58</f>
        <v>Sudáfrica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Austria</v>
      </c>
      <c r="E354" s="9" t="str">
        <f ca="1">+WORLDCUP!BD59</f>
        <v>Canadá</v>
      </c>
      <c r="F354" s="9" t="str">
        <f ca="1">+WORLDCUP!BD61</f>
        <v>Paraguay</v>
      </c>
      <c r="G354" s="9" t="str">
        <f ca="1">+WORLDCUP!BD58</f>
        <v>Sudáfrica</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Canadá</v>
      </c>
      <c r="F355" s="9" t="str">
        <f ca="1">+WORLDCUP!BD61</f>
        <v>Paraguay</v>
      </c>
      <c r="G355" s="9" t="str">
        <f ca="1">+WORLDCUP!BD58</f>
        <v>Sudáfrica</v>
      </c>
      <c r="H355" s="9" t="str">
        <f ca="1">+WORLDCUP!BD63</f>
        <v>Suecia</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Austria</v>
      </c>
      <c r="E356" s="9" t="str">
        <f ca="1">+WORLDCUP!BD59</f>
        <v>Canadá</v>
      </c>
      <c r="F356" s="9" t="str">
        <f ca="1">+WORLDCUP!BD61</f>
        <v>Paraguay</v>
      </c>
      <c r="G356" s="9" t="str">
        <f ca="1">+WORLDCUP!BD58</f>
        <v>Sudáfrica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Austria</v>
      </c>
      <c r="E357" s="9" t="str">
        <f ca="1">+WORLDCUP!BD59</f>
        <v>Canadá</v>
      </c>
      <c r="F357" s="9" t="str">
        <f ca="1">+WORLDCUP!BD61</f>
        <v>Paraguay</v>
      </c>
      <c r="G357" s="9" t="str">
        <f ca="1">+WORLDCUP!BD58</f>
        <v>Sudáfrica</v>
      </c>
      <c r="H357" s="9" t="str">
        <f ca="1">+WORLDCUP!BD63</f>
        <v>Suecia</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Canadá</v>
      </c>
      <c r="F358" s="9" t="str">
        <f ca="1">+WORLDCUP!BD61</f>
        <v>Paraguay</v>
      </c>
      <c r="G358" s="9" t="str">
        <f ca="1">+WORLDCUP!BD58</f>
        <v>Sudáfrica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Canadá</v>
      </c>
      <c r="F359" s="9" t="str">
        <f ca="1">+WORLDCUP!BD61</f>
        <v>Paraguay</v>
      </c>
      <c r="G359" s="9" t="str">
        <f ca="1">+WORLDCUP!BD58</f>
        <v>Sudáfrica</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Austria</v>
      </c>
      <c r="E360" s="9" t="str">
        <f ca="1">+WORLDCUP!BD59</f>
        <v>Canadá</v>
      </c>
      <c r="F360" s="9" t="str">
        <f ca="1">+WORLDCUP!BD61</f>
        <v>Paraguay</v>
      </c>
      <c r="G360" s="9" t="str">
        <f ca="1">+WORLDCUP!BD58</f>
        <v>Sudáfrica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Canadá</v>
      </c>
      <c r="F361" s="9" t="str">
        <f ca="1">+WORLDCUP!BD61</f>
        <v>Paraguay</v>
      </c>
      <c r="G361" s="9" t="str">
        <f ca="1">+WORLDCUP!BD58</f>
        <v>Sudáfrica</v>
      </c>
      <c r="H361" s="9" t="str">
        <f ca="1">+WORLDCUP!BD63</f>
        <v>Suecia</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Canadá</v>
      </c>
      <c r="F362" s="9" t="str">
        <f ca="1">+WORLDCUP!BD61</f>
        <v>Paraguay</v>
      </c>
      <c r="G362" s="9" t="str">
        <f ca="1">+WORLDCUP!BD58</f>
        <v>Sudáfrica</v>
      </c>
      <c r="H362" s="9" t="str">
        <f ca="1">+WORLDCUP!BD63</f>
        <v>Suecia</v>
      </c>
      <c r="I362" s="9" t="str">
        <f ca="1">+WORLDCUP!BD69</f>
        <v>Ghana</v>
      </c>
      <c r="J362" s="9" t="str">
        <f ca="1">+WORLDCUP!BD67</f>
        <v>Austria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Canadá</v>
      </c>
      <c r="F363" s="9" t="str">
        <f ca="1">+WORLDCUP!BD61</f>
        <v>Paraguay</v>
      </c>
      <c r="G363" s="9" t="str">
        <f ca="1">+WORLDCUP!BD58</f>
        <v>Sudáfrica</v>
      </c>
      <c r="H363" s="9" t="str">
        <f ca="1">+WORLDCUP!BD63</f>
        <v>Suecia</v>
      </c>
      <c r="I363" s="9" t="str">
        <f ca="1">+WORLDCUP!BD67</f>
        <v>Austria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Canadá</v>
      </c>
      <c r="F364" s="9" t="str">
        <f ca="1">+WORLDCUP!BD61</f>
        <v>Paraguay</v>
      </c>
      <c r="G364" s="9" t="str">
        <f ca="1">+WORLDCUP!BD58</f>
        <v>Sudáfrica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Canadá</v>
      </c>
      <c r="F365" s="9" t="str">
        <f ca="1">+WORLDCUP!BD61</f>
        <v>Paraguay</v>
      </c>
      <c r="G365" s="9" t="str">
        <f ca="1">+WORLDCUP!BD58</f>
        <v>Sudáfrica</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Canadá</v>
      </c>
      <c r="F366" s="9" t="str">
        <f ca="1">+WORLDCUP!BD61</f>
        <v>Paraguay</v>
      </c>
      <c r="G366" s="9" t="str">
        <f ca="1">+WORLDCUP!BD58</f>
        <v>Sudáfrica</v>
      </c>
      <c r="H366" s="9" t="str">
        <f ca="1">+WORLDCUP!BD63</f>
        <v>Suecia</v>
      </c>
      <c r="I366" s="9" t="str">
        <f ca="1">+WORLDCUP!BD66</f>
        <v>Senegal</v>
      </c>
      <c r="J366" s="9" t="str">
        <f ca="1">+WORLDCUP!BD67</f>
        <v>Austria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Canadá</v>
      </c>
      <c r="F367" s="9" t="str">
        <f ca="1">+WORLDCUP!BD61</f>
        <v>Paraguay</v>
      </c>
      <c r="G367" s="9" t="str">
        <f ca="1">+WORLDCUP!BD58</f>
        <v>Sudáfrica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Canadá</v>
      </c>
      <c r="F368" s="9" t="str">
        <f ca="1">+WORLDCUP!BD61</f>
        <v>Paraguay</v>
      </c>
      <c r="G368" s="9" t="str">
        <f ca="1">+WORLDCUP!BD58</f>
        <v>Sudáfrica</v>
      </c>
      <c r="H368" s="9" t="str">
        <f ca="1">+WORLDCUP!BD63</f>
        <v>Suecia</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Canadá</v>
      </c>
      <c r="F369" s="9" t="str">
        <f ca="1">+WORLDCUP!BD61</f>
        <v>Paraguay</v>
      </c>
      <c r="G369" s="9" t="str">
        <f ca="1">+WORLDCUP!BD58</f>
        <v>Sudáfrica</v>
      </c>
      <c r="H369" s="9" t="str">
        <f ca="1">+WORLDCUP!BD63</f>
        <v>Suecia</v>
      </c>
      <c r="I369" s="9" t="str">
        <f ca="1">+WORLDCUP!BD62</f>
        <v>Costa de Marfil</v>
      </c>
      <c r="J369" s="9" t="str">
        <f ca="1">+WORLDCUP!BD67</f>
        <v>Austria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Canadá</v>
      </c>
      <c r="F370" s="9" t="str">
        <f ca="1">+WORLDCUP!BD61</f>
        <v>Paraguay</v>
      </c>
      <c r="G370" s="9" t="str">
        <f ca="1">+WORLDCUP!BD58</f>
        <v>Sudáfrica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Austria</v>
      </c>
      <c r="E371" s="9" t="str">
        <f ca="1">+WORLDCUP!BD59</f>
        <v>Canadá</v>
      </c>
      <c r="F371" s="9" t="str">
        <f ca="1">+WORLDCUP!BD60</f>
        <v>Escocia</v>
      </c>
      <c r="G371" s="9" t="str">
        <f ca="1">+WORLDCUP!BD58</f>
        <v>Sudáfrica</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Austria</v>
      </c>
      <c r="E372" s="9" t="str">
        <f ca="1">+WORLDCUP!BD59</f>
        <v>Canadá</v>
      </c>
      <c r="F372" s="9" t="str">
        <f ca="1">+WORLDCUP!BD60</f>
        <v>Escocia</v>
      </c>
      <c r="G372" s="9" t="str">
        <f ca="1">+WORLDCUP!BD58</f>
        <v>Sudáfrica</v>
      </c>
      <c r="H372" s="9" t="str">
        <f ca="1">+WORLDCUP!BD64</f>
        <v>Nueva Zelanda</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Austria</v>
      </c>
      <c r="E373" s="9" t="str">
        <f ca="1">+WORLDCUP!BD59</f>
        <v>Canadá</v>
      </c>
      <c r="F373" s="9" t="str">
        <f ca="1">+WORLDCUP!BD60</f>
        <v>Escocia</v>
      </c>
      <c r="G373" s="9" t="str">
        <f ca="1">+WORLDCUP!BD58</f>
        <v>Sudáfrica</v>
      </c>
      <c r="H373" s="9" t="str">
        <f ca="1">+WORLDCUP!BD64</f>
        <v>Nueva Zelanda</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Canadá</v>
      </c>
      <c r="F374" s="9" t="str">
        <f ca="1">+WORLDCUP!BD60</f>
        <v>Escocia</v>
      </c>
      <c r="G374" s="9" t="str">
        <f ca="1">+WORLDCUP!BD58</f>
        <v>Sudáfrica</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Austria</v>
      </c>
      <c r="E375" s="9" t="str">
        <f ca="1">+WORLDCUP!BD59</f>
        <v>Canadá</v>
      </c>
      <c r="F375" s="9" t="str">
        <f ca="1">+WORLDCUP!BD60</f>
        <v>Escocia</v>
      </c>
      <c r="G375" s="9" t="str">
        <f ca="1">+WORLDCUP!BD58</f>
        <v>Sudáfrica</v>
      </c>
      <c r="H375" s="9" t="str">
        <f ca="1">+WORLDCUP!BD64</f>
        <v>Nueva Zelanda</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Austria</v>
      </c>
      <c r="E376" s="9" t="str">
        <f ca="1">+WORLDCUP!BD59</f>
        <v>Canadá</v>
      </c>
      <c r="F376" s="9" t="str">
        <f ca="1">+WORLDCUP!BD60</f>
        <v>Escocia</v>
      </c>
      <c r="G376" s="9" t="str">
        <f ca="1">+WORLDCUP!BD58</f>
        <v>Sudáfrica</v>
      </c>
      <c r="H376" s="9" t="str">
        <f ca="1">+WORLDCUP!BD64</f>
        <v>Nueva Zelanda</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Austria</v>
      </c>
      <c r="E377" s="9" t="str">
        <f ca="1">+WORLDCUP!BD59</f>
        <v>Canadá</v>
      </c>
      <c r="F377" s="9" t="str">
        <f ca="1">+WORLDCUP!BD60</f>
        <v>Escocia</v>
      </c>
      <c r="G377" s="9" t="str">
        <f ca="1">+WORLDCUP!BD58</f>
        <v>Sudáfrica</v>
      </c>
      <c r="H377" s="9" t="str">
        <f ca="1">+WORLDCUP!BD63</f>
        <v>Suecia</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Austria</v>
      </c>
      <c r="E378" s="9" t="str">
        <f ca="1">+WORLDCUP!BD59</f>
        <v>Canadá</v>
      </c>
      <c r="F378" s="9" t="str">
        <f ca="1">+WORLDCUP!BD60</f>
        <v>Escocia</v>
      </c>
      <c r="G378" s="9" t="str">
        <f ca="1">+WORLDCUP!BD58</f>
        <v>Sudáfrica</v>
      </c>
      <c r="H378" s="9" t="str">
        <f ca="1">+WORLDCUP!BD63</f>
        <v>Suecia</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Sudáfrica</v>
      </c>
      <c r="H379" s="9" t="str">
        <f ca="1">+WORLDCUP!BD63</f>
        <v>Suecia</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Austria</v>
      </c>
      <c r="E380" s="9" t="str">
        <f ca="1">+WORLDCUP!BD59</f>
        <v>Canadá</v>
      </c>
      <c r="F380" s="9" t="str">
        <f ca="1">+WORLDCUP!BD60</f>
        <v>Escocia</v>
      </c>
      <c r="G380" s="9" t="str">
        <f ca="1">+WORLDCUP!BD58</f>
        <v>Sudáfrica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Austria</v>
      </c>
      <c r="E381" s="9" t="str">
        <f ca="1">+WORLDCUP!BD59</f>
        <v>Canadá</v>
      </c>
      <c r="F381" s="9" t="str">
        <f ca="1">+WORLDCUP!BD60</f>
        <v>Escocia</v>
      </c>
      <c r="G381" s="9" t="str">
        <f ca="1">+WORLDCUP!BD58</f>
        <v>Sudáfrica</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Austria</v>
      </c>
      <c r="E382" s="9" t="str">
        <f ca="1">+WORLDCUP!BD59</f>
        <v>Canadá</v>
      </c>
      <c r="F382" s="9" t="str">
        <f ca="1">+WORLDCUP!BD63</f>
        <v>Suecia</v>
      </c>
      <c r="G382" s="9" t="str">
        <f ca="1">+WORLDCUP!BD58</f>
        <v>Sudáfrica</v>
      </c>
      <c r="H382" s="9" t="str">
        <f ca="1">+WORLDCUP!BD64</f>
        <v>Nueva Zelanda</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Canadá</v>
      </c>
      <c r="F383" s="9" t="str">
        <f ca="1">+WORLDCUP!BD60</f>
        <v>Escocia</v>
      </c>
      <c r="G383" s="9" t="str">
        <f ca="1">+WORLDCUP!BD58</f>
        <v>Sudáfrica</v>
      </c>
      <c r="H383" s="9" t="str">
        <f ca="1">+WORLDCUP!BD63</f>
        <v>Suecia</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Austria</v>
      </c>
      <c r="E384" s="9" t="str">
        <f ca="1">+WORLDCUP!BD59</f>
        <v>Canadá</v>
      </c>
      <c r="F384" s="9" t="str">
        <f ca="1">+WORLDCUP!BD63</f>
        <v>Suecia</v>
      </c>
      <c r="G384" s="9" t="str">
        <f ca="1">+WORLDCUP!BD58</f>
        <v>Sudáfrica</v>
      </c>
      <c r="H384" s="9" t="str">
        <f ca="1">+WORLDCUP!BD64</f>
        <v>Nueva Zelanda</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Austria</v>
      </c>
      <c r="E385" s="9" t="str">
        <f ca="1">+WORLDCUP!BD59</f>
        <v>Canadá</v>
      </c>
      <c r="F385" s="9" t="str">
        <f ca="1">+WORLDCUP!BD63</f>
        <v>Suecia</v>
      </c>
      <c r="G385" s="9" t="str">
        <f ca="1">+WORLDCUP!BD58</f>
        <v>Sudáfrica</v>
      </c>
      <c r="H385" s="9" t="str">
        <f ca="1">+WORLDCUP!BD64</f>
        <v>Nueva Zelanda</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Canadá</v>
      </c>
      <c r="F386" s="9" t="str">
        <f ca="1">+WORLDCUP!BD60</f>
        <v>Escocia</v>
      </c>
      <c r="G386" s="9" t="str">
        <f ca="1">+WORLDCUP!BD58</f>
        <v>Sudáfrica</v>
      </c>
      <c r="H386" s="9" t="str">
        <f ca="1">+WORLDCUP!BD63</f>
        <v>Suecia</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Canadá</v>
      </c>
      <c r="F387" s="9" t="str">
        <f ca="1">+WORLDCUP!BD60</f>
        <v>Escocia</v>
      </c>
      <c r="G387" s="9" t="str">
        <f ca="1">+WORLDCUP!BD58</f>
        <v>Sudáfrica</v>
      </c>
      <c r="H387" s="9" t="str">
        <f ca="1">+WORLDCUP!BD63</f>
        <v>Suecia</v>
      </c>
      <c r="I387" s="9" t="str">
        <f ca="1">+WORLDCUP!BD69</f>
        <v>Ghana</v>
      </c>
      <c r="J387" s="9" t="str">
        <f ca="1">+WORLDCUP!BD67</f>
        <v>Austria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Canadá</v>
      </c>
      <c r="F388" s="9" t="str">
        <f ca="1">+WORLDCUP!BD60</f>
        <v>Escocia</v>
      </c>
      <c r="G388" s="9" t="str">
        <f ca="1">+WORLDCUP!BD58</f>
        <v>Sudáfrica</v>
      </c>
      <c r="H388" s="9" t="str">
        <f ca="1">+WORLDCUP!BD63</f>
        <v>Suecia</v>
      </c>
      <c r="I388" s="9" t="str">
        <f ca="1">+WORLDCUP!BD67</f>
        <v>Austria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Canadá</v>
      </c>
      <c r="F389" s="9" t="str">
        <f ca="1">+WORLDCUP!BD60</f>
        <v>Escocia</v>
      </c>
      <c r="G389" s="9" t="str">
        <f ca="1">+WORLDCUP!BD58</f>
        <v>Sudáfrica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Canadá</v>
      </c>
      <c r="F390" s="9" t="str">
        <f ca="1">+WORLDCUP!BD60</f>
        <v>Escocia</v>
      </c>
      <c r="G390" s="9" t="str">
        <f ca="1">+WORLDCUP!BD58</f>
        <v>Sudáfrica</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Canadá</v>
      </c>
      <c r="F391" s="9" t="str">
        <f ca="1">+WORLDCUP!BD60</f>
        <v>Escocia</v>
      </c>
      <c r="G391" s="9" t="str">
        <f ca="1">+WORLDCUP!BD58</f>
        <v>Sudáfrica</v>
      </c>
      <c r="H391" s="9" t="str">
        <f ca="1">+WORLDCUP!BD63</f>
        <v>Suecia</v>
      </c>
      <c r="I391" s="9" t="str">
        <f ca="1">+WORLDCUP!BD66</f>
        <v>Senegal</v>
      </c>
      <c r="J391" s="9" t="str">
        <f ca="1">+WORLDCUP!BD67</f>
        <v>Austria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Austria</v>
      </c>
      <c r="E392" s="9" t="str">
        <f ca="1">+WORLDCUP!BD59</f>
        <v>Canadá</v>
      </c>
      <c r="F392" s="9" t="str">
        <f ca="1">+WORLDCUP!BD58</f>
        <v>Sudáfrica</v>
      </c>
      <c r="G392" s="9" t="str">
        <f ca="1">+WORLDCUP!BD66</f>
        <v>Senegal</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Austria</v>
      </c>
      <c r="E393" s="9" t="str">
        <f ca="1">+WORLDCUP!BD59</f>
        <v>Canadá</v>
      </c>
      <c r="F393" s="9" t="str">
        <f ca="1">+WORLDCUP!BD60</f>
        <v>Escocia</v>
      </c>
      <c r="G393" s="9" t="str">
        <f ca="1">+WORLDCUP!BD58</f>
        <v>Sudáfrica</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Canadá</v>
      </c>
      <c r="F394" s="9" t="str">
        <f ca="1">+WORLDCUP!BD60</f>
        <v>Escocia</v>
      </c>
      <c r="G394" s="9" t="str">
        <f ca="1">+WORLDCUP!BD58</f>
        <v>Sudáfrica</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Austria</v>
      </c>
      <c r="E395" s="9" t="str">
        <f ca="1">+WORLDCUP!BD59</f>
        <v>Canadá</v>
      </c>
      <c r="F395" s="9" t="str">
        <f ca="1">+WORLDCUP!BD60</f>
        <v>Escocia</v>
      </c>
      <c r="G395" s="9" t="str">
        <f ca="1">+WORLDCUP!BD58</f>
        <v>Sudáfrica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Austria</v>
      </c>
      <c r="E396" s="9" t="str">
        <f ca="1">+WORLDCUP!BD59</f>
        <v>Canadá</v>
      </c>
      <c r="F396" s="9" t="str">
        <f ca="1">+WORLDCUP!BD60</f>
        <v>Escocia</v>
      </c>
      <c r="G396" s="9" t="str">
        <f ca="1">+WORLDCUP!BD58</f>
        <v>Sudáfrica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Austria</v>
      </c>
      <c r="E397" s="9" t="str">
        <f ca="1">+WORLDCUP!BD59</f>
        <v>Canadá</v>
      </c>
      <c r="F397" s="9" t="str">
        <f ca="1">+WORLDCUP!BD60</f>
        <v>Escocia</v>
      </c>
      <c r="G397" s="9" t="str">
        <f ca="1">+WORLDCUP!BD58</f>
        <v>Sudáfrica</v>
      </c>
      <c r="H397" s="9" t="str">
        <f ca="1">+WORLDCUP!BD64</f>
        <v>Nueva Zelanda</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Canadá</v>
      </c>
      <c r="F398" s="9" t="str">
        <f ca="1">+WORLDCUP!BD58</f>
        <v>Sudáfrica</v>
      </c>
      <c r="G398" s="9" t="str">
        <f ca="1">+WORLDCUP!BD66</f>
        <v>Senegal</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Austria</v>
      </c>
      <c r="E399" s="9" t="str">
        <f ca="1">+WORLDCUP!BD59</f>
        <v>Canadá</v>
      </c>
      <c r="F399" s="9" t="str">
        <f ca="1">+WORLDCUP!BD60</f>
        <v>Escocia</v>
      </c>
      <c r="G399" s="9" t="str">
        <f ca="1">+WORLDCUP!BD58</f>
        <v>Sudáfrica</v>
      </c>
      <c r="H399" s="9" t="str">
        <f ca="1">+WORLDCUP!BD64</f>
        <v>Nueva Zelanda</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Austria</v>
      </c>
      <c r="E400" s="9" t="str">
        <f ca="1">+WORLDCUP!BD59</f>
        <v>Canadá</v>
      </c>
      <c r="F400" s="9" t="str">
        <f ca="1">+WORLDCUP!BD60</f>
        <v>Escocia</v>
      </c>
      <c r="G400" s="9" t="str">
        <f ca="1">+WORLDCUP!BD58</f>
        <v>Sudáfrica</v>
      </c>
      <c r="H400" s="9" t="str">
        <f ca="1">+WORLDCUP!BD64</f>
        <v>Nueva Zelanda</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Canadá</v>
      </c>
      <c r="F401" s="9" t="str">
        <f ca="1">+WORLDCUP!BD60</f>
        <v>Escocia</v>
      </c>
      <c r="G401" s="9" t="str">
        <f ca="1">+WORLDCUP!BD58</f>
        <v>Sudáfrica</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Austria</v>
      </c>
      <c r="E402" s="9" t="str">
        <f ca="1">+WORLDCUP!BD59</f>
        <v>Canadá</v>
      </c>
      <c r="F402" s="9" t="str">
        <f ca="1">+WORLDCUP!BD60</f>
        <v>Escocia</v>
      </c>
      <c r="G402" s="9" t="str">
        <f ca="1">+WORLDCUP!BD58</f>
        <v>Sudáfrica</v>
      </c>
      <c r="H402" s="9" t="str">
        <f ca="1">+WORLDCUP!BD64</f>
        <v>Nueva Zelanda</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Austria</v>
      </c>
      <c r="E403" s="9" t="str">
        <f ca="1">+WORLDCUP!BD59</f>
        <v>Canadá</v>
      </c>
      <c r="F403" s="9" t="str">
        <f ca="1">+WORLDCUP!BD60</f>
        <v>Escocia</v>
      </c>
      <c r="G403" s="9" t="str">
        <f ca="1">+WORLDCUP!BD58</f>
        <v>Sudáfrica</v>
      </c>
      <c r="H403" s="9" t="str">
        <f ca="1">+WORLDCUP!BD64</f>
        <v>Nueva Zelanda</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Canadá</v>
      </c>
      <c r="F404" s="9" t="str">
        <f ca="1">+WORLDCUP!BD60</f>
        <v>Escocia</v>
      </c>
      <c r="G404" s="9" t="str">
        <f ca="1">+WORLDCUP!BD58</f>
        <v>Sudáfrica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Canadá</v>
      </c>
      <c r="F405" s="9" t="str">
        <f ca="1">+WORLDCUP!BD60</f>
        <v>Escocia</v>
      </c>
      <c r="G405" s="9" t="str">
        <f ca="1">+WORLDCUP!BD58</f>
        <v>Sudáfrica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Austria</v>
      </c>
      <c r="E406" s="9" t="str">
        <f ca="1">+WORLDCUP!BD59</f>
        <v>Canadá</v>
      </c>
      <c r="F406" s="9" t="str">
        <f ca="1">+WORLDCUP!BD60</f>
        <v>Escocia</v>
      </c>
      <c r="G406" s="9" t="str">
        <f ca="1">+WORLDCUP!BD58</f>
        <v>Sudáfrica</v>
      </c>
      <c r="H406" s="9" t="str">
        <f ca="1">+WORLDCUP!BD64</f>
        <v>Nueva Zelanda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Austria</v>
      </c>
      <c r="E407" s="9" t="str">
        <f ca="1">+WORLDCUP!BD59</f>
        <v>Canadá</v>
      </c>
      <c r="F407" s="9" t="str">
        <f ca="1">+WORLDCUP!BD60</f>
        <v>Escocia</v>
      </c>
      <c r="G407" s="9" t="str">
        <f ca="1">+WORLDCUP!BD58</f>
        <v>Sudáfrica</v>
      </c>
      <c r="H407" s="9" t="str">
        <f ca="1">+WORLDCUP!BD63</f>
        <v>Suecia</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Canadá</v>
      </c>
      <c r="F408" s="9" t="str">
        <f ca="1">+WORLDCUP!BD60</f>
        <v>Escocia</v>
      </c>
      <c r="G408" s="9" t="str">
        <f ca="1">+WORLDCUP!BD58</f>
        <v>Sudáfrica</v>
      </c>
      <c r="H408" s="9" t="str">
        <f ca="1">+WORLDCUP!BD63</f>
        <v>Suecia</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Austria</v>
      </c>
      <c r="E409" s="9" t="str">
        <f ca="1">+WORLDCUP!BD59</f>
        <v>Canadá</v>
      </c>
      <c r="F409" s="9" t="str">
        <f ca="1">+WORLDCUP!BD60</f>
        <v>Escocia</v>
      </c>
      <c r="G409" s="9" t="str">
        <f ca="1">+WORLDCUP!BD58</f>
        <v>Sudáfrica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Austria</v>
      </c>
      <c r="E410" s="9" t="str">
        <f ca="1">+WORLDCUP!BD59</f>
        <v>Canadá</v>
      </c>
      <c r="F410" s="9" t="str">
        <f ca="1">+WORLDCUP!BD60</f>
        <v>Escocia</v>
      </c>
      <c r="G410" s="9" t="str">
        <f ca="1">+WORLDCUP!BD58</f>
        <v>Sudáfrica</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Sudáfrica</v>
      </c>
      <c r="H411" s="9" t="str">
        <f ca="1">+WORLDCUP!BD63</f>
        <v>Suecia</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Austria</v>
      </c>
      <c r="E412" s="9" t="str">
        <f ca="1">+WORLDCUP!BD59</f>
        <v>Canadá</v>
      </c>
      <c r="F412" s="9" t="str">
        <f ca="1">+WORLDCUP!BD60</f>
        <v>Escocia</v>
      </c>
      <c r="G412" s="9" t="str">
        <f ca="1">+WORLDCUP!BD58</f>
        <v>Sudáfrica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Austria</v>
      </c>
      <c r="E413" s="9" t="str">
        <f ca="1">+WORLDCUP!BD59</f>
        <v>Canadá</v>
      </c>
      <c r="F413" s="9" t="str">
        <f ca="1">+WORLDCUP!BD60</f>
        <v>Escocia</v>
      </c>
      <c r="G413" s="9" t="str">
        <f ca="1">+WORLDCUP!BD58</f>
        <v>Sudáfrica</v>
      </c>
      <c r="H413" s="9" t="str">
        <f ca="1">+WORLDCUP!BD63</f>
        <v>Suecia</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Sudáfrica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Sudáfrica</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Austria</v>
      </c>
      <c r="E416" s="9" t="str">
        <f ca="1">+WORLDCUP!BD59</f>
        <v>Canadá</v>
      </c>
      <c r="F416" s="9" t="str">
        <f ca="1">+WORLDCUP!BD60</f>
        <v>Escocia</v>
      </c>
      <c r="G416" s="9" t="str">
        <f ca="1">+WORLDCUP!BD58</f>
        <v>Sudáfrica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Canadá</v>
      </c>
      <c r="F417" s="9" t="str">
        <f ca="1">+WORLDCUP!BD60</f>
        <v>Escocia</v>
      </c>
      <c r="G417" s="9" t="str">
        <f ca="1">+WORLDCUP!BD58</f>
        <v>Sudáfrica</v>
      </c>
      <c r="H417" s="9" t="str">
        <f ca="1">+WORLDCUP!BD63</f>
        <v>Suecia</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Canadá</v>
      </c>
      <c r="F418" s="9" t="str">
        <f ca="1">+WORLDCUP!BD60</f>
        <v>Escocia</v>
      </c>
      <c r="G418" s="9" t="str">
        <f ca="1">+WORLDCUP!BD58</f>
        <v>Sudáfrica</v>
      </c>
      <c r="H418" s="9" t="str">
        <f ca="1">+WORLDCUP!BD63</f>
        <v>Suecia</v>
      </c>
      <c r="I418" s="9" t="str">
        <f ca="1">+WORLDCUP!BD69</f>
        <v>Ghana</v>
      </c>
      <c r="J418" s="9" t="str">
        <f ca="1">+WORLDCUP!BD67</f>
        <v>Austria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Canadá</v>
      </c>
      <c r="F419" s="9" t="str">
        <f ca="1">+WORLDCUP!BD60</f>
        <v>Escocia</v>
      </c>
      <c r="G419" s="9" t="str">
        <f ca="1">+WORLDCUP!BD58</f>
        <v>Sudáfrica</v>
      </c>
      <c r="H419" s="9" t="str">
        <f ca="1">+WORLDCUP!BD63</f>
        <v>Suecia</v>
      </c>
      <c r="I419" s="9" t="str">
        <f ca="1">+WORLDCUP!BD67</f>
        <v>Austria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Canadá</v>
      </c>
      <c r="F420" s="9" t="str">
        <f ca="1">+WORLDCUP!BD60</f>
        <v>Escocia</v>
      </c>
      <c r="G420" s="9" t="str">
        <f ca="1">+WORLDCUP!BD58</f>
        <v>Sudáfrica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Canadá</v>
      </c>
      <c r="F421" s="9" t="str">
        <f ca="1">+WORLDCUP!BD60</f>
        <v>Escocia</v>
      </c>
      <c r="G421" s="9" t="str">
        <f ca="1">+WORLDCUP!BD58</f>
        <v>Sudáfrica</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Canadá</v>
      </c>
      <c r="F422" s="9" t="str">
        <f ca="1">+WORLDCUP!BD60</f>
        <v>Escocia</v>
      </c>
      <c r="G422" s="9" t="str">
        <f ca="1">+WORLDCUP!BD58</f>
        <v>Sudáfrica</v>
      </c>
      <c r="H422" s="9" t="str">
        <f ca="1">+WORLDCUP!BD63</f>
        <v>Suecia</v>
      </c>
      <c r="I422" s="9" t="str">
        <f ca="1">+WORLDCUP!BD66</f>
        <v>Senegal</v>
      </c>
      <c r="J422" s="9" t="str">
        <f ca="1">+WORLDCUP!BD67</f>
        <v>Austria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Canadá</v>
      </c>
      <c r="F423" s="9" t="str">
        <f ca="1">+WORLDCUP!BD60</f>
        <v>Escocia</v>
      </c>
      <c r="G423" s="9" t="str">
        <f ca="1">+WORLDCUP!BD58</f>
        <v>Sudáfrica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Canadá</v>
      </c>
      <c r="F424" s="9" t="str">
        <f ca="1">+WORLDCUP!BD60</f>
        <v>Escocia</v>
      </c>
      <c r="G424" s="9" t="str">
        <f ca="1">+WORLDCUP!BD58</f>
        <v>Sudáfrica</v>
      </c>
      <c r="H424" s="9" t="str">
        <f ca="1">+WORLDCUP!BD63</f>
        <v>Suecia</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Canadá</v>
      </c>
      <c r="F425" s="9" t="str">
        <f ca="1">+WORLDCUP!BD60</f>
        <v>Escocia</v>
      </c>
      <c r="G425" s="9" t="str">
        <f ca="1">+WORLDCUP!BD58</f>
        <v>Sudáfrica</v>
      </c>
      <c r="H425" s="9" t="str">
        <f ca="1">+WORLDCUP!BD63</f>
        <v>Suecia</v>
      </c>
      <c r="I425" s="9" t="str">
        <f ca="1">+WORLDCUP!BD62</f>
        <v>Costa de Marfil</v>
      </c>
      <c r="J425" s="9" t="str">
        <f ca="1">+WORLDCUP!BD67</f>
        <v>Austria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Canadá</v>
      </c>
      <c r="F426" s="9" t="str">
        <f ca="1">+WORLDCUP!BD60</f>
        <v>Escocia</v>
      </c>
      <c r="G426" s="9" t="str">
        <f ca="1">+WORLDCUP!BD58</f>
        <v>Sudáfrica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Austria</v>
      </c>
      <c r="E427" s="9" t="str">
        <f ca="1">+WORLDCUP!BD59</f>
        <v>Canadá</v>
      </c>
      <c r="F427" s="9" t="str">
        <f ca="1">+WORLDCUP!BD60</f>
        <v>Escocia</v>
      </c>
      <c r="G427" s="9" t="str">
        <f ca="1">+WORLDCUP!BD58</f>
        <v>Sudáfrica</v>
      </c>
      <c r="H427" s="9" t="str">
        <f ca="1">+WORLDCUP!BD61</f>
        <v>Paraguay</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Austria</v>
      </c>
      <c r="E428" s="9" t="str">
        <f ca="1">+WORLDCUP!BD59</f>
        <v>Canadá</v>
      </c>
      <c r="F428" s="9" t="str">
        <f ca="1">+WORLDCUP!BD60</f>
        <v>Escocia</v>
      </c>
      <c r="G428" s="9" t="str">
        <f ca="1">+WORLDCUP!BD58</f>
        <v>Sudáfrica</v>
      </c>
      <c r="H428" s="9" t="str">
        <f ca="1">+WORLDCUP!BD61</f>
        <v>Paraguay</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Sudáfrica</v>
      </c>
      <c r="H429" s="9" t="str">
        <f ca="1">+WORLDCUP!BD61</f>
        <v>Paraguay</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Austria</v>
      </c>
      <c r="E430" s="9" t="str">
        <f ca="1">+WORLDCUP!BD59</f>
        <v>Canadá</v>
      </c>
      <c r="F430" s="9" t="str">
        <f ca="1">+WORLDCUP!BD60</f>
        <v>Escocia</v>
      </c>
      <c r="G430" s="9" t="str">
        <f ca="1">+WORLDCUP!BD58</f>
        <v>Sudáfrica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Austria</v>
      </c>
      <c r="E431" s="9" t="str">
        <f ca="1">+WORLDCUP!BD59</f>
        <v>Canadá</v>
      </c>
      <c r="F431" s="9" t="str">
        <f ca="1">+WORLDCUP!BD60</f>
        <v>Escocia</v>
      </c>
      <c r="G431" s="9" t="str">
        <f ca="1">+WORLDCUP!BD58</f>
        <v>Sudáfrica</v>
      </c>
      <c r="H431" s="9" t="str">
        <f ca="1">+WORLDCUP!BD61</f>
        <v>Paraguay</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Austria</v>
      </c>
      <c r="E432" s="9" t="str">
        <f ca="1">+WORLDCUP!BD59</f>
        <v>Canadá</v>
      </c>
      <c r="F432" s="9" t="str">
        <f ca="1">+WORLDCUP!BD61</f>
        <v>Paraguay</v>
      </c>
      <c r="G432" s="9" t="str">
        <f ca="1">+WORLDCUP!BD58</f>
        <v>Sudáfrica</v>
      </c>
      <c r="H432" s="9" t="str">
        <f ca="1">+WORLDCUP!BD64</f>
        <v>Nueva Zelanda</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Canadá</v>
      </c>
      <c r="F433" s="9" t="str">
        <f ca="1">+WORLDCUP!BD60</f>
        <v>Escocia</v>
      </c>
      <c r="G433" s="9" t="str">
        <f ca="1">+WORLDCUP!BD58</f>
        <v>Sudáfrica</v>
      </c>
      <c r="H433" s="9" t="str">
        <f ca="1">+WORLDCUP!BD61</f>
        <v>Paraguay</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Austria</v>
      </c>
      <c r="E434" s="9" t="str">
        <f ca="1">+WORLDCUP!BD59</f>
        <v>Canadá</v>
      </c>
      <c r="F434" s="9" t="str">
        <f ca="1">+WORLDCUP!BD61</f>
        <v>Paraguay</v>
      </c>
      <c r="G434" s="9" t="str">
        <f ca="1">+WORLDCUP!BD58</f>
        <v>Sudáfrica</v>
      </c>
      <c r="H434" s="9" t="str">
        <f ca="1">+WORLDCUP!BD64</f>
        <v>Nueva Zelanda</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Austria</v>
      </c>
      <c r="E435" s="9" t="str">
        <f ca="1">+WORLDCUP!BD59</f>
        <v>Canadá</v>
      </c>
      <c r="F435" s="9" t="str">
        <f ca="1">+WORLDCUP!BD61</f>
        <v>Paraguay</v>
      </c>
      <c r="G435" s="9" t="str">
        <f ca="1">+WORLDCUP!BD58</f>
        <v>Sudáfrica</v>
      </c>
      <c r="H435" s="9" t="str">
        <f ca="1">+WORLDCUP!BD64</f>
        <v>Nueva Zelanda</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Canadá</v>
      </c>
      <c r="F436" s="9" t="str">
        <f ca="1">+WORLDCUP!BD60</f>
        <v>Escocia</v>
      </c>
      <c r="G436" s="9" t="str">
        <f ca="1">+WORLDCUP!BD58</f>
        <v>Sudáfrica</v>
      </c>
      <c r="H436" s="9" t="str">
        <f ca="1">+WORLDCUP!BD61</f>
        <v>Paraguay</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Canadá</v>
      </c>
      <c r="F437" s="9" t="str">
        <f ca="1">+WORLDCUP!BD60</f>
        <v>Escocia</v>
      </c>
      <c r="G437" s="9" t="str">
        <f ca="1">+WORLDCUP!BD58</f>
        <v>Sudáfrica</v>
      </c>
      <c r="H437" s="9" t="str">
        <f ca="1">+WORLDCUP!BD61</f>
        <v>Paraguay</v>
      </c>
      <c r="I437" s="9" t="str">
        <f ca="1">+WORLDCUP!BD69</f>
        <v>Ghana</v>
      </c>
      <c r="J437" s="9" t="str">
        <f ca="1">+WORLDCUP!BD67</f>
        <v>Austria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Canadá</v>
      </c>
      <c r="F438" s="9" t="str">
        <f ca="1">+WORLDCUP!BD60</f>
        <v>Escocia</v>
      </c>
      <c r="G438" s="9" t="str">
        <f ca="1">+WORLDCUP!BD58</f>
        <v>Sudáfrica</v>
      </c>
      <c r="H438" s="9" t="str">
        <f ca="1">+WORLDCUP!BD61</f>
        <v>Paraguay</v>
      </c>
      <c r="I438" s="9" t="str">
        <f ca="1">+WORLDCUP!BD67</f>
        <v>Austria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Canadá</v>
      </c>
      <c r="F439" s="9" t="str">
        <f ca="1">+WORLDCUP!BD60</f>
        <v>Escocia</v>
      </c>
      <c r="G439" s="9" t="str">
        <f ca="1">+WORLDCUP!BD58</f>
        <v>Sudáfrica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Canadá</v>
      </c>
      <c r="F440" s="9" t="str">
        <f ca="1">+WORLDCUP!BD60</f>
        <v>Escocia</v>
      </c>
      <c r="G440" s="9" t="str">
        <f ca="1">+WORLDCUP!BD58</f>
        <v>Sudáfrica</v>
      </c>
      <c r="H440" s="9" t="str">
        <f ca="1">+WORLDCUP!BD61</f>
        <v>Paraguay</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Canadá</v>
      </c>
      <c r="F441" s="9" t="str">
        <f ca="1">+WORLDCUP!BD60</f>
        <v>Escocia</v>
      </c>
      <c r="G441" s="9" t="str">
        <f ca="1">+WORLDCUP!BD58</f>
        <v>Sudáfrica</v>
      </c>
      <c r="H441" s="9" t="str">
        <f ca="1">+WORLDCUP!BD61</f>
        <v>Paraguay</v>
      </c>
      <c r="I441" s="9" t="str">
        <f ca="1">+WORLDCUP!BD66</f>
        <v>Senegal</v>
      </c>
      <c r="J441" s="9" t="str">
        <f ca="1">+WORLDCUP!BD67</f>
        <v>Austria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Austria</v>
      </c>
      <c r="E442" s="9" t="str">
        <f ca="1">+WORLDCUP!BD59</f>
        <v>Canadá</v>
      </c>
      <c r="F442" s="9" t="str">
        <f ca="1">+WORLDCUP!BD61</f>
        <v>Paraguay</v>
      </c>
      <c r="G442" s="9" t="str">
        <f ca="1">+WORLDCUP!BD58</f>
        <v>Sudáfrica</v>
      </c>
      <c r="H442" s="9" t="str">
        <f ca="1">+WORLDCUP!BD63</f>
        <v>Suecia</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Canadá</v>
      </c>
      <c r="F443" s="9" t="str">
        <f ca="1">+WORLDCUP!BD61</f>
        <v>Paraguay</v>
      </c>
      <c r="G443" s="9" t="str">
        <f ca="1">+WORLDCUP!BD58</f>
        <v>Sudáfrica</v>
      </c>
      <c r="H443" s="9" t="str">
        <f ca="1">+WORLDCUP!BD63</f>
        <v>Suecia</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Austria</v>
      </c>
      <c r="E444" s="9" t="str">
        <f ca="1">+WORLDCUP!BD59</f>
        <v>Canadá</v>
      </c>
      <c r="F444" s="9" t="str">
        <f ca="1">+WORLDCUP!BD61</f>
        <v>Paraguay</v>
      </c>
      <c r="G444" s="9" t="str">
        <f ca="1">+WORLDCUP!BD58</f>
        <v>Sudáfrica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Austria</v>
      </c>
      <c r="E445" s="9" t="str">
        <f ca="1">+WORLDCUP!BD59</f>
        <v>Canadá</v>
      </c>
      <c r="F445" s="9" t="str">
        <f ca="1">+WORLDCUP!BD61</f>
        <v>Paraguay</v>
      </c>
      <c r="G445" s="9" t="str">
        <f ca="1">+WORLDCUP!BD58</f>
        <v>Sudáfrica</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Canadá</v>
      </c>
      <c r="F446" s="9" t="str">
        <f ca="1">+WORLDCUP!BD60</f>
        <v>Escocia</v>
      </c>
      <c r="G446" s="9" t="str">
        <f ca="1">+WORLDCUP!BD58</f>
        <v>Sudáfrica</v>
      </c>
      <c r="H446" s="9" t="str">
        <f ca="1">+WORLDCUP!BD61</f>
        <v>Paraguay</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Austria</v>
      </c>
      <c r="E447" s="9" t="str">
        <f ca="1">+WORLDCUP!BD59</f>
        <v>Canadá</v>
      </c>
      <c r="F447" s="9" t="str">
        <f ca="1">+WORLDCUP!BD61</f>
        <v>Paraguay</v>
      </c>
      <c r="G447" s="9" t="str">
        <f ca="1">+WORLDCUP!BD58</f>
        <v>Sudáfrica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Austria</v>
      </c>
      <c r="E448" s="9" t="str">
        <f ca="1">+WORLDCUP!BD59</f>
        <v>Canadá</v>
      </c>
      <c r="F448" s="9" t="str">
        <f ca="1">+WORLDCUP!BD60</f>
        <v>Escocia</v>
      </c>
      <c r="G448" s="9" t="str">
        <f ca="1">+WORLDCUP!BD58</f>
        <v>Sudáfrica</v>
      </c>
      <c r="H448" s="9" t="str">
        <f ca="1">+WORLDCUP!BD63</f>
        <v>Suecia</v>
      </c>
      <c r="I448" s="9" t="str">
        <f ca="1">+WORLDCUP!BD61</f>
        <v>Paraguay</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Canadá</v>
      </c>
      <c r="F449" s="9" t="str">
        <f ca="1">+WORLDCUP!BD60</f>
        <v>Escocia</v>
      </c>
      <c r="G449" s="9" t="str">
        <f ca="1">+WORLDCUP!BD58</f>
        <v>Sudáfrica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Canadá</v>
      </c>
      <c r="F450" s="9" t="str">
        <f ca="1">+WORLDCUP!BD60</f>
        <v>Escocia</v>
      </c>
      <c r="G450" s="9" t="str">
        <f ca="1">+WORLDCUP!BD58</f>
        <v>Sudáfrica</v>
      </c>
      <c r="H450" s="9" t="str">
        <f ca="1">+WORLDCUP!BD61</f>
        <v>Paraguay</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Austria</v>
      </c>
      <c r="E451" s="9" t="str">
        <f ca="1">+WORLDCUP!BD59</f>
        <v>Canadá</v>
      </c>
      <c r="F451" s="9" t="str">
        <f ca="1">+WORLDCUP!BD60</f>
        <v>Escocia</v>
      </c>
      <c r="G451" s="9" t="str">
        <f ca="1">+WORLDCUP!BD58</f>
        <v>Sudáfrica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Canadá</v>
      </c>
      <c r="F452" s="9" t="str">
        <f ca="1">+WORLDCUP!BD61</f>
        <v>Paraguay</v>
      </c>
      <c r="G452" s="9" t="str">
        <f ca="1">+WORLDCUP!BD58</f>
        <v>Sudáfrica</v>
      </c>
      <c r="H452" s="9" t="str">
        <f ca="1">+WORLDCUP!BD63</f>
        <v>Suecia</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Canadá</v>
      </c>
      <c r="F453" s="9" t="str">
        <f ca="1">+WORLDCUP!BD61</f>
        <v>Paraguay</v>
      </c>
      <c r="G453" s="9" t="str">
        <f ca="1">+WORLDCUP!BD58</f>
        <v>Sudáfrica</v>
      </c>
      <c r="H453" s="9" t="str">
        <f ca="1">+WORLDCUP!BD63</f>
        <v>Suecia</v>
      </c>
      <c r="I453" s="9" t="str">
        <f ca="1">+WORLDCUP!BD69</f>
        <v>Ghana</v>
      </c>
      <c r="J453" s="9" t="str">
        <f ca="1">+WORLDCUP!BD67</f>
        <v>Austria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Canadá</v>
      </c>
      <c r="F454" s="9" t="str">
        <f ca="1">+WORLDCUP!BD61</f>
        <v>Paraguay</v>
      </c>
      <c r="G454" s="9" t="str">
        <f ca="1">+WORLDCUP!BD58</f>
        <v>Sudáfrica</v>
      </c>
      <c r="H454" s="9" t="str">
        <f ca="1">+WORLDCUP!BD63</f>
        <v>Suecia</v>
      </c>
      <c r="I454" s="9" t="str">
        <f ca="1">+WORLDCUP!BD67</f>
        <v>Austria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Canadá</v>
      </c>
      <c r="F455" s="9" t="str">
        <f ca="1">+WORLDCUP!BD61</f>
        <v>Paraguay</v>
      </c>
      <c r="G455" s="9" t="str">
        <f ca="1">+WORLDCUP!BD58</f>
        <v>Sudáfrica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Canadá</v>
      </c>
      <c r="F456" s="9" t="str">
        <f ca="1">+WORLDCUP!BD61</f>
        <v>Paraguay</v>
      </c>
      <c r="G456" s="9" t="str">
        <f ca="1">+WORLDCUP!BD58</f>
        <v>Sudáfrica</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Canadá</v>
      </c>
      <c r="F457" s="9" t="str">
        <f ca="1">+WORLDCUP!BD61</f>
        <v>Paraguay</v>
      </c>
      <c r="G457" s="9" t="str">
        <f ca="1">+WORLDCUP!BD58</f>
        <v>Sudáfrica</v>
      </c>
      <c r="H457" s="9" t="str">
        <f ca="1">+WORLDCUP!BD63</f>
        <v>Suecia</v>
      </c>
      <c r="I457" s="9" t="str">
        <f ca="1">+WORLDCUP!BD66</f>
        <v>Senegal</v>
      </c>
      <c r="J457" s="9" t="str">
        <f ca="1">+WORLDCUP!BD67</f>
        <v>Austria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Canadá</v>
      </c>
      <c r="F458" s="9" t="str">
        <f ca="1">+WORLDCUP!BD61</f>
        <v>Paraguay</v>
      </c>
      <c r="G458" s="9" t="str">
        <f ca="1">+WORLDCUP!BD58</f>
        <v>Sudáfrica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Canadá</v>
      </c>
      <c r="F459" s="9" t="str">
        <f ca="1">+WORLDCUP!BD60</f>
        <v>Escocia</v>
      </c>
      <c r="G459" s="9" t="str">
        <f ca="1">+WORLDCUP!BD58</f>
        <v>Sudáfrica</v>
      </c>
      <c r="H459" s="9" t="str">
        <f ca="1">+WORLDCUP!BD63</f>
        <v>Suecia</v>
      </c>
      <c r="I459" s="9" t="str">
        <f ca="1">+WORLDCUP!BD61</f>
        <v>Paraguay</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Canadá</v>
      </c>
      <c r="F460" s="9" t="str">
        <f ca="1">+WORLDCUP!BD60</f>
        <v>Escocia</v>
      </c>
      <c r="G460" s="9" t="str">
        <f ca="1">+WORLDCUP!BD58</f>
        <v>Sudáfrica</v>
      </c>
      <c r="H460" s="9" t="str">
        <f ca="1">+WORLDCUP!BD63</f>
        <v>Suecia</v>
      </c>
      <c r="I460" s="9" t="str">
        <f ca="1">+WORLDCUP!BD61</f>
        <v>Paraguay</v>
      </c>
      <c r="J460" s="9" t="str">
        <f ca="1">+WORLDCUP!BD67</f>
        <v>Austria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Canadá</v>
      </c>
      <c r="F461" s="9" t="str">
        <f ca="1">+WORLDCUP!BD60</f>
        <v>Escocia</v>
      </c>
      <c r="G461" s="9" t="str">
        <f ca="1">+WORLDCUP!BD58</f>
        <v>Sudáfrica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Austria</v>
      </c>
      <c r="E462" s="9" t="str">
        <f ca="1">+WORLDCUP!BD59</f>
        <v>Canadá</v>
      </c>
      <c r="F462" s="9" t="str">
        <f ca="1">+WORLDCUP!BD60</f>
        <v>Escocia</v>
      </c>
      <c r="G462" s="9" t="str">
        <f ca="1">+WORLDCUP!BD58</f>
        <v>Sudáfrica</v>
      </c>
      <c r="H462" s="9" t="str">
        <f ca="1">+WORLDCUP!BD61</f>
        <v>Paraguay</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Canadá</v>
      </c>
      <c r="F463" s="9" t="str">
        <f ca="1">+WORLDCUP!BD60</f>
        <v>Escocia</v>
      </c>
      <c r="G463" s="9" t="str">
        <f ca="1">+WORLDCUP!BD58</f>
        <v>Sudáfrica</v>
      </c>
      <c r="H463" s="9" t="str">
        <f ca="1">+WORLDCUP!BD61</f>
        <v>Paraguay</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Austria</v>
      </c>
      <c r="E464" s="9" t="str">
        <f ca="1">+WORLDCUP!BD59</f>
        <v>Canadá</v>
      </c>
      <c r="F464" s="9" t="str">
        <f ca="1">+WORLDCUP!BD60</f>
        <v>Escocia</v>
      </c>
      <c r="G464" s="9" t="str">
        <f ca="1">+WORLDCUP!BD58</f>
        <v>Sudáfrica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Austria</v>
      </c>
      <c r="E465" s="9" t="str">
        <f ca="1">+WORLDCUP!BD59</f>
        <v>Canadá</v>
      </c>
      <c r="F465" s="9" t="str">
        <f ca="1">+WORLDCUP!BD60</f>
        <v>Escocia</v>
      </c>
      <c r="G465" s="9" t="str">
        <f ca="1">+WORLDCUP!BD58</f>
        <v>Sudáfrica</v>
      </c>
      <c r="H465" s="9" t="str">
        <f ca="1">+WORLDCUP!BD61</f>
        <v>Paraguay</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Sudáfrica</v>
      </c>
      <c r="H466" s="9" t="str">
        <f ca="1">+WORLDCUP!BD61</f>
        <v>Paraguay</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Austria</v>
      </c>
      <c r="E467" s="9" t="str">
        <f ca="1">+WORLDCUP!BD59</f>
        <v>Canadá</v>
      </c>
      <c r="F467" s="9" t="str">
        <f ca="1">+WORLDCUP!BD60</f>
        <v>Escocia</v>
      </c>
      <c r="G467" s="9" t="str">
        <f ca="1">+WORLDCUP!BD58</f>
        <v>Sudáfrica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Austria</v>
      </c>
      <c r="E468" s="9" t="str">
        <f ca="1">+WORLDCUP!BD59</f>
        <v>Canadá</v>
      </c>
      <c r="F468" s="9" t="str">
        <f ca="1">+WORLDCUP!BD60</f>
        <v>Escocia</v>
      </c>
      <c r="G468" s="9" t="str">
        <f ca="1">+WORLDCUP!BD58</f>
        <v>Sudáfrica</v>
      </c>
      <c r="H468" s="9" t="str">
        <f ca="1">+WORLDCUP!BD61</f>
        <v>Paraguay</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Sudáfrica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Sudáfrica</v>
      </c>
      <c r="H470" s="9" t="str">
        <f ca="1">+WORLDCUP!BD61</f>
        <v>Paraguay</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Austria</v>
      </c>
      <c r="E471" s="9" t="str">
        <f ca="1">+WORLDCUP!BD59</f>
        <v>Canadá</v>
      </c>
      <c r="F471" s="9" t="str">
        <f ca="1">+WORLDCUP!BD60</f>
        <v>Escocia</v>
      </c>
      <c r="G471" s="9" t="str">
        <f ca="1">+WORLDCUP!BD58</f>
        <v>Sudáfrica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Canadá</v>
      </c>
      <c r="F472" s="9" t="str">
        <f ca="1">+WORLDCUP!BD60</f>
        <v>Escocia</v>
      </c>
      <c r="G472" s="9" t="str">
        <f ca="1">+WORLDCUP!BD58</f>
        <v>Sudáfrica</v>
      </c>
      <c r="H472" s="9" t="str">
        <f ca="1">+WORLDCUP!BD61</f>
        <v>Paraguay</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1</v>
      </c>
      <c r="C473" s="9" t="str">
        <f ca="1">+WORLDCUP!BD62</f>
        <v>Costa de Marfil</v>
      </c>
      <c r="D473" s="9" t="str">
        <f ca="1">+WORLDCUP!BD64</f>
        <v>Nueva Zelanda</v>
      </c>
      <c r="E473" s="9" t="str">
        <f ca="1">+WORLDCUP!BD59</f>
        <v>Canadá</v>
      </c>
      <c r="F473" s="9" t="str">
        <f ca="1">+WORLDCUP!BD60</f>
        <v>Escocia</v>
      </c>
      <c r="G473" s="9" t="str">
        <f ca="1">+WORLDCUP!BD58</f>
        <v>Sudáfrica</v>
      </c>
      <c r="H473" s="9" t="str">
        <f ca="1">+WORLDCUP!BD61</f>
        <v>Paraguay</v>
      </c>
      <c r="I473" s="9" t="str">
        <f ca="1">+WORLDCUP!BD69</f>
        <v>Ghana</v>
      </c>
      <c r="J473" s="9" t="str">
        <f ca="1">+WORLDCUP!BD67</f>
        <v>Austria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Canadá</v>
      </c>
      <c r="F474" s="9" t="str">
        <f ca="1">+WORLDCUP!BD60</f>
        <v>Escocia</v>
      </c>
      <c r="G474" s="9" t="str">
        <f ca="1">+WORLDCUP!BD58</f>
        <v>Sudáfrica</v>
      </c>
      <c r="H474" s="9" t="str">
        <f ca="1">+WORLDCUP!BD61</f>
        <v>Paraguay</v>
      </c>
      <c r="I474" s="9" t="str">
        <f ca="1">+WORLDCUP!BD67</f>
        <v>Austria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Canadá</v>
      </c>
      <c r="F475" s="9" t="str">
        <f ca="1">+WORLDCUP!BD60</f>
        <v>Escocia</v>
      </c>
      <c r="G475" s="9" t="str">
        <f ca="1">+WORLDCUP!BD58</f>
        <v>Sudáfrica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Canadá</v>
      </c>
      <c r="F476" s="9" t="str">
        <f ca="1">+WORLDCUP!BD60</f>
        <v>Escocia</v>
      </c>
      <c r="G476" s="9" t="str">
        <f ca="1">+WORLDCUP!BD58</f>
        <v>Sudáfrica</v>
      </c>
      <c r="H476" s="9" t="str">
        <f ca="1">+WORLDCUP!BD61</f>
        <v>Paraguay</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Canadá</v>
      </c>
      <c r="F477" s="9" t="str">
        <f ca="1">+WORLDCUP!BD60</f>
        <v>Escocia</v>
      </c>
      <c r="G477" s="9" t="str">
        <f ca="1">+WORLDCUP!BD58</f>
        <v>Sudáfrica</v>
      </c>
      <c r="H477" s="9" t="str">
        <f ca="1">+WORLDCUP!BD61</f>
        <v>Paraguay</v>
      </c>
      <c r="I477" s="9" t="str">
        <f ca="1">+WORLDCUP!BD66</f>
        <v>Senegal</v>
      </c>
      <c r="J477" s="9" t="str">
        <f ca="1">+WORLDCUP!BD67</f>
        <v>Austria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Canadá</v>
      </c>
      <c r="F478" s="9" t="str">
        <f ca="1">+WORLDCUP!BD60</f>
        <v>Escocia</v>
      </c>
      <c r="G478" s="9" t="str">
        <f ca="1">+WORLDCUP!BD58</f>
        <v>Sudáfrica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Canadá</v>
      </c>
      <c r="F479" s="9" t="str">
        <f ca="1">+WORLDCUP!BD60</f>
        <v>Escocia</v>
      </c>
      <c r="G479" s="9" t="str">
        <f ca="1">+WORLDCUP!BD58</f>
        <v>Sudáfrica</v>
      </c>
      <c r="H479" s="9" t="str">
        <f ca="1">+WORLDCUP!BD61</f>
        <v>Paraguay</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Canadá</v>
      </c>
      <c r="F480" s="9" t="str">
        <f ca="1">+WORLDCUP!BD60</f>
        <v>Escocia</v>
      </c>
      <c r="G480" s="9" t="str">
        <f ca="1">+WORLDCUP!BD58</f>
        <v>Sudáfrica</v>
      </c>
      <c r="H480" s="9" t="str">
        <f ca="1">+WORLDCUP!BD61</f>
        <v>Paraguay</v>
      </c>
      <c r="I480" s="9" t="str">
        <f ca="1">+WORLDCUP!BD62</f>
        <v>Costa de Marfil</v>
      </c>
      <c r="J480" s="9" t="str">
        <f ca="1">+WORLDCUP!BD67</f>
        <v>Austria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Canadá</v>
      </c>
      <c r="F481" s="9" t="str">
        <f ca="1">+WORLDCUP!BD60</f>
        <v>Escocia</v>
      </c>
      <c r="G481" s="9" t="str">
        <f ca="1">+WORLDCUP!BD58</f>
        <v>Sudáfrica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Canadá</v>
      </c>
      <c r="F482" s="9" t="str">
        <f ca="1">+WORLDCUP!BD61</f>
        <v>Paraguay</v>
      </c>
      <c r="G482" s="9" t="str">
        <f ca="1">+WORLDCUP!BD58</f>
        <v>Sudáfrica</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Canadá</v>
      </c>
      <c r="F483" s="9" t="str">
        <f ca="1">+WORLDCUP!BD61</f>
        <v>Paraguay</v>
      </c>
      <c r="G483" s="9" t="str">
        <f ca="1">+WORLDCUP!BD58</f>
        <v>Sudáfrica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Canadá</v>
      </c>
      <c r="F484" s="9" t="str">
        <f ca="1">+WORLDCUP!BD61</f>
        <v>Paraguay</v>
      </c>
      <c r="G484" s="9" t="str">
        <f ca="1">+WORLDCUP!BD58</f>
        <v>Sudáfrica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Canadá</v>
      </c>
      <c r="F485" s="9" t="str">
        <f ca="1">+WORLDCUP!BD61</f>
        <v>Paraguay</v>
      </c>
      <c r="G485" s="9" t="str">
        <f ca="1">+WORLDCUP!BD58</f>
        <v>Sudáfrica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Canadá</v>
      </c>
      <c r="F486" s="9" t="str">
        <f ca="1">+WORLDCUP!BD61</f>
        <v>Paraguay</v>
      </c>
      <c r="G486" s="9" t="str">
        <f ca="1">+WORLDCUP!BD58</f>
        <v>Sudáfrica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Canadá</v>
      </c>
      <c r="F487" s="9" t="str">
        <f ca="1">+WORLDCUP!BD61</f>
        <v>Paraguay</v>
      </c>
      <c r="G487" s="9" t="str">
        <f ca="1">+WORLDCUP!BD58</f>
        <v>Sudáfrica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Sudáfrica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Sudáfrica</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Canadá</v>
      </c>
      <c r="F490" s="9" t="str">
        <f ca="1">+WORLDCUP!BD60</f>
        <v>Escocia</v>
      </c>
      <c r="G490" s="9" t="str">
        <f ca="1">+WORLDCUP!BD58</f>
        <v>Sudáfrica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Sudáfrica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Canadá</v>
      </c>
      <c r="F492" s="9" t="str">
        <f ca="1">+WORLDCUP!BD61</f>
        <v>Paraguay</v>
      </c>
      <c r="G492" s="9" t="str">
        <f ca="1">+WORLDCUP!BD58</f>
        <v>Sudáfrica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Canadá</v>
      </c>
      <c r="F493" s="9" t="str">
        <f ca="1">+WORLDCUP!BD61</f>
        <v>Paraguay</v>
      </c>
      <c r="G493" s="9" t="str">
        <f ca="1">+WORLDCUP!BD58</f>
        <v>Sudáfrica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Canadá</v>
      </c>
      <c r="F494" s="9" t="str">
        <f ca="1">+WORLDCUP!BD61</f>
        <v>Paraguay</v>
      </c>
      <c r="G494" s="9" t="str">
        <f ca="1">+WORLDCUP!BD58</f>
        <v>Sudáfrica</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Canadá</v>
      </c>
      <c r="F495" s="9" t="str">
        <f ca="1">+WORLDCUP!BD61</f>
        <v>Paraguay</v>
      </c>
      <c r="G495" s="9" t="str">
        <f ca="1">+WORLDCUP!BD58</f>
        <v>Sudáfrica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Canadá</v>
      </c>
      <c r="F496" s="9" t="str">
        <f ca="1">+WORLDCUP!BD60</f>
        <v>Escocia</v>
      </c>
      <c r="G496" s="9" t="str">
        <f ca="1">+WORLDCUP!BD58</f>
        <v>Sudáfrica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6">
      <c r="L89" s="3"/>
      <c r="M89" s="3"/>
      <c r="N89" s="3"/>
      <c r="O89" s="6"/>
      <c r="P89" s="6"/>
      <c r="Q89" s="6"/>
      <c r="R89" s="6"/>
      <c r="T89" s="16" t="s">
        <v>1479</v>
      </c>
      <c r="U89" s="9" t="s">
        <v>1466</v>
      </c>
      <c r="V89" s="9" t="s">
        <v>1466</v>
      </c>
      <c r="W89" s="585" t="s">
        <v>1468</v>
      </c>
      <c r="X89" s="584" t="e" vm="52">
        <v>#VALUE!</v>
      </c>
      <c r="Y89" s="9">
        <v>-4</v>
      </c>
      <c r="Z89" s="6"/>
      <c r="AA89" s="6"/>
      <c r="AB89" s="6"/>
    </row>
    <row r="90" spans="12:28" ht="15.6">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Pol Campañá</cp:lastModifiedBy>
  <cp:lastPrinted>2018-12-06T18:06:35Z</cp:lastPrinted>
  <dcterms:created xsi:type="dcterms:W3CDTF">2015-10-31T09:41:54Z</dcterms:created>
  <dcterms:modified xsi:type="dcterms:W3CDTF">2026-06-10T20:58:56Z</dcterms:modified>
</cp:coreProperties>
</file>