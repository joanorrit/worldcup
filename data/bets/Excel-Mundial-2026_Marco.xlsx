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autoCompressPictures="0" defaultThemeVersion="124226"/>
  <mc:AlternateContent xmlns:mc="http://schemas.openxmlformats.org/markup-compatibility/2006">
    <mc:Choice Requires="x15">
      <x15ac:absPath xmlns:x15ac="http://schemas.microsoft.com/office/spreadsheetml/2010/11/ac" url="/Users/marcorampone/Desktop/"/>
    </mc:Choice>
  </mc:AlternateContent>
  <xr:revisionPtr revIDLastSave="0" documentId="8_{E5203ADE-4DD0-8F4D-B8A8-50EFEC13238C}"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660" windowWidth="24680" windowHeight="15940"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43" i="32" l="1"/>
  <c r="X143" i="3" s="1"/>
  <c r="C41" i="32"/>
  <c r="X41" i="3" s="1"/>
  <c r="C134" i="32"/>
  <c r="Y134" i="3" s="1"/>
  <c r="C120" i="32"/>
  <c r="X120" i="3" s="1"/>
  <c r="C60" i="32"/>
  <c r="Y60" i="3" s="1"/>
  <c r="C88" i="32"/>
  <c r="X88" i="3" s="1"/>
  <c r="C84" i="32"/>
  <c r="X84" i="3" s="1"/>
  <c r="C101" i="32"/>
  <c r="Y101" i="3" s="1"/>
  <c r="C5" i="32"/>
  <c r="Y5" i="3" s="1"/>
  <c r="C54" i="32"/>
  <c r="Y54" i="3" s="1"/>
  <c r="C69" i="32"/>
  <c r="Y69" i="3" s="1"/>
  <c r="C93" i="32"/>
  <c r="Y93" i="3" s="1"/>
  <c r="C106" i="32"/>
  <c r="Y106" i="3" s="1"/>
  <c r="C85" i="32"/>
  <c r="X85" i="3" s="1"/>
  <c r="C33" i="32"/>
  <c r="X33" i="3" s="1"/>
  <c r="C55" i="32"/>
  <c r="Y55" i="3" s="1"/>
  <c r="C62" i="32"/>
  <c r="Y62" i="3" s="1"/>
  <c r="C13" i="32"/>
  <c r="Y13" i="3" s="1"/>
  <c r="C64" i="32"/>
  <c r="Y64" i="3" s="1"/>
  <c r="C23" i="32"/>
  <c r="X23" i="3" s="1"/>
  <c r="C16" i="32"/>
  <c r="X16" i="3" s="1"/>
  <c r="C21" i="32"/>
  <c r="X21" i="3" s="1"/>
  <c r="C78" i="32"/>
  <c r="Y78" i="3" s="1"/>
  <c r="C92" i="32"/>
  <c r="X92" i="3" s="1"/>
  <c r="C139" i="32"/>
  <c r="X139" i="3" s="1"/>
  <c r="C86" i="32"/>
  <c r="X86" i="3" s="1"/>
  <c r="C45" i="32"/>
  <c r="X45" i="3" s="1"/>
  <c r="C20" i="32"/>
  <c r="Y20" i="3" s="1"/>
  <c r="C38" i="32"/>
  <c r="Y38" i="3" s="1"/>
  <c r="C28" i="32"/>
  <c r="X28" i="3" s="1"/>
  <c r="C113" i="32"/>
  <c r="X113" i="3" s="1"/>
  <c r="C14" i="32"/>
  <c r="X14" i="3" s="1"/>
  <c r="C103" i="32"/>
  <c r="X103" i="3" s="1"/>
  <c r="C31" i="32"/>
  <c r="Y31" i="3" s="1"/>
  <c r="C79" i="32"/>
  <c r="Y79" i="3" s="1"/>
  <c r="C110" i="32"/>
  <c r="X110" i="3" s="1"/>
  <c r="C29" i="32"/>
  <c r="Y29" i="3" s="1"/>
  <c r="C65" i="32"/>
  <c r="Y65" i="3" s="1"/>
  <c r="C95" i="32"/>
  <c r="X95" i="3" s="1"/>
  <c r="C105" i="32"/>
  <c r="X105" i="3" s="1"/>
  <c r="C61" i="32"/>
  <c r="X61" i="3" s="1"/>
  <c r="C6" i="32"/>
  <c r="X6" i="3" s="1"/>
  <c r="C138" i="32"/>
  <c r="Y138" i="3" s="1"/>
  <c r="C25" i="32"/>
  <c r="X25" i="3" s="1"/>
  <c r="C115" i="32"/>
  <c r="Y115" i="3" s="1"/>
  <c r="C49" i="32"/>
  <c r="X49" i="3" s="1"/>
  <c r="C108" i="32"/>
  <c r="Y108" i="3" s="1"/>
  <c r="C9" i="32"/>
  <c r="X9" i="3" s="1"/>
  <c r="C12" i="32"/>
  <c r="X12" i="3" s="1"/>
  <c r="C94" i="32"/>
  <c r="X94" i="3" s="1"/>
  <c r="C17" i="32"/>
  <c r="X17" i="3" s="1"/>
  <c r="C116" i="32"/>
  <c r="X116" i="3" s="1"/>
  <c r="C81" i="32"/>
  <c r="X81" i="3" s="1"/>
  <c r="C7" i="32"/>
  <c r="X7" i="3" s="1"/>
  <c r="C56" i="32"/>
  <c r="X56" i="3" s="1"/>
  <c r="C125" i="32"/>
  <c r="Y12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2" i="3"/>
  <c r="Y104" i="3"/>
  <c r="X24" i="3"/>
  <c r="X125" i="3"/>
  <c r="Y121" i="3"/>
  <c r="Y61" i="3"/>
  <c r="X38" i="3"/>
  <c r="X89" i="3"/>
  <c r="X65" i="3"/>
  <c r="Y25" i="3"/>
  <c r="Y17" i="3"/>
  <c r="X48" i="3"/>
  <c r="X123" i="3"/>
  <c r="Y143" i="3"/>
  <c r="Y7" i="3"/>
  <c r="Y133" i="3"/>
  <c r="X122" i="3"/>
  <c r="Y113" i="3"/>
  <c r="Y56" i="3"/>
  <c r="Y9" i="3"/>
  <c r="X124" i="3"/>
  <c r="X138" i="3"/>
  <c r="X47" i="3"/>
  <c r="X62" i="3"/>
  <c r="X106" i="3"/>
  <c r="Y21" i="3"/>
  <c r="X78" i="3"/>
  <c r="Y103" i="3"/>
  <c r="X101" i="3"/>
  <c r="Y28" i="3"/>
  <c r="Y110" i="3"/>
  <c r="Y94" i="3"/>
  <c r="Y16" i="3"/>
  <c r="X79" i="3"/>
  <c r="X44" i="3"/>
  <c r="X55" i="3"/>
  <c r="Y86" i="3"/>
  <c r="Y4" i="3"/>
  <c r="Y45" i="3"/>
  <c r="Y92" i="3"/>
  <c r="Y85" i="3"/>
  <c r="X13" i="3"/>
  <c r="Y6" i="3"/>
  <c r="X68" i="3"/>
  <c r="X63" i="3"/>
  <c r="X64" i="3"/>
  <c r="Y120" i="3"/>
  <c r="X5" i="3"/>
  <c r="X20" i="3"/>
  <c r="Y23" i="3"/>
  <c r="Y139" i="3"/>
  <c r="Y127" i="3"/>
  <c r="Y114" i="3"/>
  <c r="Y41" i="3"/>
  <c r="X57" i="3"/>
  <c r="X134" i="3"/>
  <c r="X54" i="3"/>
  <c r="Y12" i="3"/>
  <c r="Y88" i="3"/>
  <c r="X93" i="3"/>
  <c r="Y84" i="3"/>
  <c r="X60" i="3"/>
  <c r="Y33" i="3"/>
  <c r="X69" i="3"/>
  <c r="X111" i="3" l="1"/>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E45" i="3"/>
  <c r="BW29" i="3" s="1"/>
  <c r="F92" i="3"/>
  <c r="F95" i="3"/>
  <c r="BW53" i="3" s="1"/>
  <c r="E97" i="3"/>
  <c r="BV52" i="3" s="1"/>
  <c r="F81" i="3"/>
  <c r="E76" i="3"/>
  <c r="E78" i="3"/>
  <c r="E48" i="3"/>
  <c r="F44" i="3"/>
  <c r="F47" i="3"/>
  <c r="E38" i="3"/>
  <c r="BW22" i="3"/>
  <c r="F41" i="3"/>
  <c r="BU25" i="3" s="1"/>
  <c r="E36" i="3"/>
  <c r="BW23" i="3" s="1"/>
  <c r="E39" i="3"/>
  <c r="F37" i="3"/>
  <c r="BU24" i="3" s="1"/>
  <c r="E41" i="3"/>
  <c r="BW34" i="3"/>
  <c r="E62" i="3"/>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E81" i="3"/>
  <c r="E79" i="3"/>
  <c r="F77" i="3"/>
  <c r="F61" i="3"/>
  <c r="E65" i="3"/>
  <c r="E63" i="3"/>
  <c r="E9" i="3"/>
  <c r="F4" i="3"/>
  <c r="F6" i="3"/>
  <c r="F79" i="3"/>
  <c r="BW43" i="3"/>
  <c r="E80" i="3"/>
  <c r="BU43" i="3"/>
  <c r="F76" i="3"/>
  <c r="BW42" i="3" s="1"/>
  <c r="F80" i="3"/>
  <c r="E77" i="3"/>
  <c r="BU45" i="3" s="1"/>
  <c r="F78" i="3"/>
  <c r="BU42" i="3" s="1"/>
  <c r="BU44" i="3"/>
  <c r="E61" i="3"/>
  <c r="BW37" i="3" s="1"/>
  <c r="F62" i="3"/>
  <c r="BU36" i="3"/>
  <c r="F64" i="3"/>
  <c r="BU35" i="3" s="1"/>
  <c r="F72" i="3"/>
  <c r="BU41" i="3" s="1"/>
  <c r="E68" i="3"/>
  <c r="BW39" i="3" s="1"/>
  <c r="BW38" i="3"/>
  <c r="BU38" i="3"/>
  <c r="E70" i="3"/>
  <c r="BW40" i="3" s="1"/>
  <c r="BW44" i="3" l="1"/>
  <c r="BW36" i="3"/>
  <c r="BW35" i="3"/>
  <c r="BU34" i="3"/>
  <c r="BU37" i="3"/>
  <c r="BW24" i="3"/>
  <c r="BU21"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7"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2"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0" i="3"/>
  <c r="I5" i="3"/>
  <c r="I24" i="3"/>
  <c r="H23" i="3"/>
  <c r="H20" i="3"/>
  <c r="H78" i="3" l="1"/>
  <c r="H8" i="3"/>
  <c r="I23" i="3"/>
  <c r="CB14" i="3" s="1"/>
  <c r="H21"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B17" i="3"/>
  <c r="CA26" i="3"/>
  <c r="CA14" i="3" l="1"/>
  <c r="CC14" i="3" s="1"/>
  <c r="CA13"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3"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K12" i="3"/>
  <c r="L13" i="3"/>
  <c r="K14" i="3" l="1"/>
  <c r="L84" i="3"/>
  <c r="L97" i="3"/>
  <c r="K24" i="3"/>
  <c r="L87"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5"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N56" i="3"/>
  <c r="O97" i="3"/>
  <c r="O47" i="3" l="1"/>
  <c r="N95" i="3"/>
  <c r="O93" i="3"/>
  <c r="N96" i="3"/>
  <c r="N79" i="3"/>
  <c r="CI36" i="3"/>
  <c r="O64" i="3"/>
  <c r="N61" i="3"/>
  <c r="O44" i="3"/>
  <c r="O95" i="3"/>
  <c r="CI30" i="3"/>
  <c r="CI27" i="3"/>
  <c r="CI51" i="3"/>
  <c r="N29" i="3"/>
  <c r="CJ50" i="3"/>
  <c r="O55" i="3"/>
  <c r="O33" i="3"/>
  <c r="CJ19" i="3" s="1"/>
  <c r="N9" i="3"/>
  <c r="N36" i="3"/>
  <c r="O41" i="3"/>
  <c r="O4" i="3"/>
  <c r="O69" i="3"/>
  <c r="CI35" i="3"/>
  <c r="N72" i="3"/>
  <c r="CK21" i="3"/>
  <c r="O30" i="3"/>
  <c r="N32" i="3"/>
  <c r="CJ18" i="3" s="1"/>
  <c r="N7" i="3"/>
  <c r="O29" i="3"/>
  <c r="CI20" i="3" s="1"/>
  <c r="N49" i="3"/>
  <c r="N52" i="3"/>
  <c r="N54" i="3"/>
  <c r="CI44" i="3"/>
  <c r="N37" i="3"/>
  <c r="N8" i="3"/>
  <c r="CI6" i="3" s="1"/>
  <c r="CK22" i="3"/>
  <c r="CK41" i="3"/>
  <c r="O52" i="3"/>
  <c r="N97" i="3"/>
  <c r="O77" i="3"/>
  <c r="N80" i="3"/>
  <c r="N55" i="3"/>
  <c r="N81" i="3"/>
  <c r="N84" i="3"/>
  <c r="O5" i="3"/>
  <c r="CK8" i="3" s="1"/>
  <c r="N47" i="3"/>
  <c r="CK46" i="3"/>
  <c r="CI33" i="3"/>
  <c r="O53" i="3"/>
  <c r="O79" i="3"/>
  <c r="N6" i="3"/>
  <c r="N86" i="3"/>
  <c r="O32" i="3"/>
  <c r="CI21" i="3" s="1"/>
  <c r="CI12" i="3"/>
  <c r="CI43" i="3"/>
  <c r="N88" i="3"/>
  <c r="N30" i="3"/>
  <c r="CI25" i="3"/>
  <c r="CK6" i="3"/>
  <c r="CK18" i="3"/>
  <c r="CI18" i="3"/>
  <c r="CK25" i="3"/>
  <c r="N73" i="3"/>
  <c r="CI49" i="3"/>
  <c r="N15" i="3"/>
  <c r="O96" i="3"/>
  <c r="CJ53" i="3" s="1"/>
  <c r="CL53" i="3" s="1"/>
  <c r="CK34" i="3"/>
  <c r="CI39" i="3"/>
  <c r="CK30" i="3"/>
  <c r="N68" i="3"/>
  <c r="CK39" i="3" s="1"/>
  <c r="CK50" i="3"/>
  <c r="O40" i="3"/>
  <c r="O15" i="3"/>
  <c r="N65" i="3"/>
  <c r="O9" i="3"/>
  <c r="CI7" i="3" s="1"/>
  <c r="CI23" i="3"/>
  <c r="O36" i="3"/>
  <c r="CJ22" i="3" s="1"/>
  <c r="CK23" i="3"/>
  <c r="O61" i="3"/>
  <c r="CI8" i="3"/>
  <c r="CI47" i="3"/>
  <c r="CK37" i="3"/>
  <c r="N13" i="3"/>
  <c r="CK13" i="3" s="1"/>
  <c r="O68" i="3"/>
  <c r="O57" i="3"/>
  <c r="O65" i="3"/>
  <c r="N40" i="3"/>
  <c r="O31" i="3"/>
  <c r="CJ21" i="3" s="1"/>
  <c r="N92" i="3"/>
  <c r="CK51" i="3" s="1"/>
  <c r="CK12" i="3"/>
  <c r="N77" i="3"/>
  <c r="CI45" i="3" s="1"/>
  <c r="CI19" i="3"/>
  <c r="CI50" i="3"/>
  <c r="O25" i="3"/>
  <c r="O37" i="3"/>
  <c r="CI24" i="3" s="1"/>
  <c r="N5" i="3"/>
  <c r="CJ9" i="3" s="1"/>
  <c r="O72" i="3"/>
  <c r="CI41" i="3" s="1"/>
  <c r="CI38"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48" i="3"/>
  <c r="N85" i="3"/>
  <c r="N44" i="3"/>
  <c r="CK27" i="3" s="1"/>
  <c r="N12" i="3"/>
  <c r="CI11" i="3" s="1"/>
  <c r="O54" i="3"/>
  <c r="O89" i="3"/>
  <c r="CK47" i="3" s="1"/>
  <c r="O56" i="3"/>
  <c r="CI31" i="3" s="1"/>
  <c r="N24" i="3"/>
  <c r="O46" i="3"/>
  <c r="CI28" i="3"/>
  <c r="O21" i="3"/>
  <c r="CI16" i="3" s="1"/>
  <c r="N45" i="3"/>
  <c r="CK29" i="3" s="1"/>
  <c r="CK32" i="3"/>
  <c r="N16" i="3"/>
  <c r="CI10" i="3" s="1"/>
  <c r="CI48" i="3"/>
  <c r="CK26" i="3"/>
  <c r="CJ48" i="3"/>
  <c r="O20" i="3"/>
  <c r="N33" i="3"/>
  <c r="CK10" i="3"/>
  <c r="N69" i="3"/>
  <c r="O73" i="3"/>
  <c r="O60" i="3"/>
  <c r="CI34" i="3" s="1"/>
  <c r="O63" i="3"/>
  <c r="CI37" i="3" s="1"/>
  <c r="CI40" i="3"/>
  <c r="CK11" i="3"/>
  <c r="O70" i="3"/>
  <c r="N22" i="3"/>
  <c r="CK42" i="3"/>
  <c r="N78" i="3"/>
  <c r="CK44" i="3" s="1"/>
  <c r="O81" i="3"/>
  <c r="CI13" i="3"/>
  <c r="N14" i="3"/>
  <c r="N23" i="3"/>
  <c r="N20" i="3"/>
  <c r="O24" i="3"/>
  <c r="N17" i="3"/>
  <c r="O14" i="3"/>
  <c r="CK33" i="3"/>
  <c r="CK53" i="3"/>
  <c r="CK14" i="3"/>
  <c r="CK49" i="3"/>
  <c r="CK31" i="3"/>
  <c r="CK43" i="3" l="1"/>
  <c r="CJ36" i="3"/>
  <c r="CL36" i="3" s="1"/>
  <c r="CK36" i="3"/>
  <c r="CK28" i="3"/>
  <c r="CK24" i="3"/>
  <c r="CI22" i="3"/>
  <c r="CI15" i="3"/>
  <c r="CK20" i="3"/>
  <c r="CI14" i="3"/>
  <c r="CK17" i="3"/>
  <c r="CK16" i="3"/>
  <c r="CI9" i="3"/>
  <c r="CL9" i="3" s="1"/>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15" i="3"/>
  <c r="CM45" i="3"/>
  <c r="CM50" i="3"/>
  <c r="CM46" i="3"/>
  <c r="CM53" i="3"/>
  <c r="CM48" i="3"/>
  <c r="CM16" i="3"/>
  <c r="CM40" i="3"/>
  <c r="CM30" i="3"/>
  <c r="CM17" i="3"/>
  <c r="CM15" i="3"/>
  <c r="CM34" i="3"/>
  <c r="CM31" i="3"/>
  <c r="CM33" i="3"/>
  <c r="CM47" i="3"/>
  <c r="CM22" i="3"/>
  <c r="CM43" i="3"/>
  <c r="CM21" i="3"/>
  <c r="CM35" i="3"/>
  <c r="CM18" i="3"/>
  <c r="CM49" i="3"/>
  <c r="CM20" i="3"/>
  <c r="CM4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14" i="3" l="1"/>
  <c r="CN11" i="3" s="1"/>
  <c r="CN6" i="3" l="1"/>
  <c r="Q7" i="3" s="1"/>
  <c r="CN8" i="3"/>
  <c r="Q5" i="3" s="1"/>
  <c r="CN44" i="3"/>
  <c r="Q77" i="3" s="1"/>
  <c r="CN27" i="3"/>
  <c r="R47" i="3" s="1"/>
  <c r="CN41" i="3"/>
  <c r="Q71" i="3" s="1"/>
  <c r="CN14" i="3"/>
  <c r="Q20" i="3" s="1"/>
  <c r="CN53" i="3"/>
  <c r="Q95" i="3" s="1"/>
  <c r="CN18" i="3"/>
  <c r="Q28" i="3" s="1"/>
  <c r="CN34" i="3"/>
  <c r="R65" i="3" s="1"/>
  <c r="CN19" i="3"/>
  <c r="Q33" i="3" s="1"/>
  <c r="CN22" i="3"/>
  <c r="Q36" i="3" s="1"/>
  <c r="CN35" i="3"/>
  <c r="R63" i="3" s="1"/>
  <c r="CN42" i="3"/>
  <c r="Q76" i="3" s="1"/>
  <c r="CN30" i="3"/>
  <c r="R57" i="3" s="1"/>
  <c r="CN24" i="3"/>
  <c r="Q37" i="3" s="1"/>
  <c r="CN32" i="3"/>
  <c r="Q53" i="3" s="1"/>
  <c r="CN37" i="3"/>
  <c r="R61" i="3" s="1"/>
  <c r="CN29" i="3"/>
  <c r="Q47" i="3" s="1"/>
  <c r="CN26" i="3"/>
  <c r="Q44" i="3" s="1"/>
  <c r="CN40" i="3"/>
  <c r="R73" i="3" s="1"/>
  <c r="CN52" i="3"/>
  <c r="R97" i="3" s="1"/>
  <c r="CN33" i="3"/>
  <c r="Q57" i="3" s="1"/>
  <c r="R12" i="3"/>
  <c r="Q17" i="3"/>
  <c r="R14" i="3"/>
  <c r="CN47" i="3"/>
  <c r="Q89" i="3" s="1"/>
  <c r="CN15" i="3"/>
  <c r="Q25" i="3" s="1"/>
  <c r="CN20" i="3"/>
  <c r="R33" i="3" s="1"/>
  <c r="CN16" i="3"/>
  <c r="R25" i="3" s="1"/>
  <c r="CN10" i="3"/>
  <c r="Q15" i="3" s="1"/>
  <c r="CN13" i="3"/>
  <c r="R13" i="3" s="1"/>
  <c r="CN43" i="3"/>
  <c r="R76" i="3" s="1"/>
  <c r="CN7" i="3"/>
  <c r="R4" i="3" s="1"/>
  <c r="CN48" i="3"/>
  <c r="Q85" i="3" s="1"/>
  <c r="CN23" i="3"/>
  <c r="R36" i="3" s="1"/>
  <c r="CN51" i="3"/>
  <c r="R92" i="3" s="1"/>
  <c r="CN36" i="3"/>
  <c r="R64" i="3" s="1"/>
  <c r="CN17" i="3"/>
  <c r="Q24" i="3" s="1"/>
  <c r="CN45" i="3"/>
  <c r="Q79" i="3" s="1"/>
  <c r="CN9" i="3"/>
  <c r="Q6" i="3" s="1"/>
  <c r="CN46" i="3"/>
  <c r="Q84" i="3" s="1"/>
  <c r="CN49" i="3"/>
  <c r="Q87" i="3" s="1"/>
  <c r="CN21" i="3"/>
  <c r="CN25" i="3"/>
  <c r="CN39" i="3"/>
  <c r="R71" i="3" s="1"/>
  <c r="CN31" i="3"/>
  <c r="R52" i="3" s="1"/>
  <c r="CN12" i="3"/>
  <c r="R15" i="3" s="1"/>
  <c r="CN28" i="3"/>
  <c r="R46" i="3" s="1"/>
  <c r="CN50" i="3"/>
  <c r="Q94" i="3" s="1"/>
  <c r="CN38" i="3"/>
  <c r="Q70" i="3" s="1"/>
  <c r="R89" i="3"/>
  <c r="R78" i="3"/>
  <c r="R6" i="3"/>
  <c r="R80" i="3"/>
  <c r="R40" i="3"/>
  <c r="Q60" i="3"/>
  <c r="Q62" i="3"/>
  <c r="R53" i="3"/>
  <c r="R28" i="3"/>
  <c r="R81" i="3"/>
  <c r="Q69" i="3"/>
  <c r="Q55" i="3"/>
  <c r="R70" i="3"/>
  <c r="Q72" i="3"/>
  <c r="R44" i="3"/>
  <c r="R32" i="3"/>
  <c r="R69" i="3"/>
  <c r="R24" i="3"/>
  <c r="Q78" i="3"/>
  <c r="R31" i="3"/>
  <c r="Q23" i="3"/>
  <c r="Q93" i="3"/>
  <c r="Q63" i="3"/>
  <c r="R93" i="3"/>
  <c r="R7" i="3"/>
  <c r="R88" i="3"/>
  <c r="Q97" i="3"/>
  <c r="R9" i="3"/>
  <c r="R94" i="3"/>
  <c r="CP50" i="3" s="1"/>
  <c r="Q52" i="3"/>
  <c r="Q54" i="3"/>
  <c r="R45" i="3"/>
  <c r="Q49" i="3"/>
  <c r="Q48" i="3"/>
  <c r="Q64" i="3"/>
  <c r="R8" i="3"/>
  <c r="R60" i="3"/>
  <c r="Q4" i="3"/>
  <c r="CP30" i="3"/>
  <c r="CP53" i="3"/>
  <c r="CO22" i="3"/>
  <c r="CO30" i="3"/>
  <c r="R30" i="3" l="1"/>
  <c r="CO18" i="3" s="1"/>
  <c r="Q29" i="3"/>
  <c r="Q96" i="3"/>
  <c r="R55" i="3"/>
  <c r="CP33" i="3" s="1"/>
  <c r="R17" i="3"/>
  <c r="R21" i="3"/>
  <c r="R16" i="3"/>
  <c r="Q22" i="3"/>
  <c r="R95" i="3"/>
  <c r="Q12" i="3"/>
  <c r="CO43" i="3"/>
  <c r="R54" i="3"/>
  <c r="Q45" i="3"/>
  <c r="Q16" i="3"/>
  <c r="CO10" i="3" s="1"/>
  <c r="R48" i="3"/>
  <c r="CO27" i="3" s="1"/>
  <c r="Q14" i="3"/>
  <c r="Q80" i="3"/>
  <c r="CP12" i="3"/>
  <c r="CO53" i="3"/>
  <c r="R56" i="3"/>
  <c r="CP45" i="3"/>
  <c r="R77" i="3"/>
  <c r="CP44" i="3" s="1"/>
  <c r="R5" i="3"/>
  <c r="CO8" i="3" s="1"/>
  <c r="R38" i="3"/>
  <c r="Q81" i="3"/>
  <c r="CP42" i="3" s="1"/>
  <c r="R79" i="3"/>
  <c r="CO45" i="3" s="1"/>
  <c r="Q30" i="3"/>
  <c r="CO12" i="3"/>
  <c r="CO9" i="3"/>
  <c r="Q8" i="3"/>
  <c r="CP43" i="3"/>
  <c r="Q88" i="3"/>
  <c r="Q65" i="3"/>
  <c r="Q56" i="3"/>
  <c r="R41" i="3"/>
  <c r="R49" i="3"/>
  <c r="CO26" i="3"/>
  <c r="R84" i="3"/>
  <c r="R22" i="3"/>
  <c r="CO47" i="3"/>
  <c r="R20" i="3"/>
  <c r="R96" i="3"/>
  <c r="Q9" i="3"/>
  <c r="Q92" i="3"/>
  <c r="CP51" i="3" s="1"/>
  <c r="CP47" i="3"/>
  <c r="R39" i="3"/>
  <c r="R72" i="3"/>
  <c r="Q13" i="3"/>
  <c r="Q86" i="3"/>
  <c r="R85" i="3"/>
  <c r="Q38" i="3"/>
  <c r="Q46" i="3"/>
  <c r="R87" i="3"/>
  <c r="CP22" i="3"/>
  <c r="R86" i="3"/>
  <c r="Q73" i="3"/>
  <c r="R68" i="3"/>
  <c r="CO23" i="3"/>
  <c r="Q21" i="3"/>
  <c r="R62" i="3"/>
  <c r="CO15" i="3"/>
  <c r="Q32" i="3"/>
  <c r="R29" i="3"/>
  <c r="CP23" i="3"/>
  <c r="Q68" i="3"/>
  <c r="CP39" i="3" s="1"/>
  <c r="Q39" i="3"/>
  <c r="Q41" i="3"/>
  <c r="R37" i="3"/>
  <c r="Q40" i="3"/>
  <c r="Q31" i="3"/>
  <c r="CO19" i="3" s="1"/>
  <c r="R23" i="3"/>
  <c r="CP20" i="3"/>
  <c r="Q61" i="3"/>
  <c r="CP37" i="3" s="1"/>
  <c r="CP36" i="3"/>
  <c r="CO35" i="3"/>
  <c r="CP49" i="3"/>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45" i="3"/>
  <c r="CQ53" i="3"/>
  <c r="CQ47" i="3"/>
  <c r="CQ15" i="3" l="1"/>
  <c r="CQ35" i="3"/>
  <c r="CQ36"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U57" i="3" l="1"/>
  <c r="T41" i="3"/>
  <c r="T54" i="3"/>
  <c r="U37" i="3"/>
  <c r="CT24" i="3" s="1"/>
  <c r="U33" i="3"/>
  <c r="U25" i="3"/>
  <c r="CT15" i="3" s="1"/>
  <c r="T21" i="3"/>
  <c r="CT17" i="3" s="1"/>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T44" i="3"/>
  <c r="T5" i="3"/>
  <c r="U39" i="3"/>
  <c r="CT25" i="3" s="1"/>
  <c r="T72" i="3"/>
  <c r="T57" i="3"/>
  <c r="U94" i="3"/>
  <c r="CT50" i="3" s="1"/>
  <c r="U36" i="3"/>
  <c r="CT22" i="3" s="1"/>
  <c r="T65" i="3"/>
  <c r="U61" i="3"/>
  <c r="U17" i="3"/>
  <c r="CT11" i="3" s="1"/>
  <c r="T23" i="3"/>
  <c r="U69" i="3"/>
  <c r="T55" i="3"/>
  <c r="U97" i="3"/>
  <c r="CT51" i="3" s="1"/>
  <c r="U6" i="3"/>
  <c r="T25" i="3"/>
  <c r="CT34" i="3"/>
  <c r="U79" i="3"/>
  <c r="T60" i="3"/>
  <c r="T4" i="3"/>
  <c r="CT7" i="3" s="1"/>
  <c r="T62" i="3"/>
  <c r="T7" i="3"/>
  <c r="U20" i="3"/>
  <c r="T48" i="3"/>
  <c r="CT28" i="3" s="1"/>
  <c r="U44" i="3"/>
  <c r="U76" i="3"/>
  <c r="CT43" i="3"/>
  <c r="U46" i="3"/>
  <c r="T45" i="3"/>
  <c r="T47" i="3"/>
  <c r="T9" i="3"/>
  <c r="T49" i="3"/>
  <c r="CT40" i="3"/>
  <c r="CT31" i="3"/>
  <c r="CT49" i="3"/>
  <c r="CT35" i="3" l="1"/>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AG112" i="3"/>
  <c r="M124" i="3"/>
  <c r="AA124" i="3" s="1"/>
  <c r="D124" i="3" s="1"/>
  <c r="AG111" i="3"/>
  <c r="N124" i="3"/>
  <c r="AF124" i="3" s="1"/>
  <c r="N120" i="3"/>
  <c r="AF121" i="3" s="1"/>
  <c r="AG106" i="3"/>
  <c r="N123" i="3"/>
  <c r="AF123" i="3" s="1"/>
  <c r="AG108" i="3"/>
  <c r="N122" i="3"/>
  <c r="AF122" i="3" s="1"/>
  <c r="AG105" i="3"/>
  <c r="AG103" i="3"/>
  <c r="M120" i="3"/>
  <c r="AA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N134" i="3" s="1"/>
  <c r="AF134" i="3" s="1"/>
  <c r="D121" i="3"/>
  <c r="AG121"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AG122" i="3"/>
  <c r="M133" i="3"/>
  <c r="AA133" i="3" s="1"/>
  <c r="M132" i="3"/>
  <c r="AA132" i="3" s="1"/>
  <c r="D132" i="3" s="1"/>
  <c r="AG124"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AE35" i="45"/>
  <c r="C193" i="31"/>
  <c r="C182" i="31"/>
  <c r="AE10" i="45"/>
  <c r="M131" i="3" l="1"/>
  <c r="AA131" i="3" s="1"/>
  <c r="D131" i="3" s="1"/>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AM38" i="45" a="1"/>
  <c r="AM38" i="45" s="1"/>
  <c r="C229" i="31"/>
  <c r="C228" i="31"/>
  <c r="AM14" i="45"/>
  <c r="AM13" i="45"/>
  <c r="B232" i="31"/>
  <c r="C226" i="31"/>
  <c r="C232" i="31"/>
  <c r="BV61" i="3" l="1"/>
  <c r="BV60" i="3"/>
  <c r="BV66" i="3"/>
  <c r="BV69" i="3"/>
  <c r="BV65" i="3"/>
  <c r="BV68" i="3"/>
  <c r="BV62" i="3"/>
  <c r="BV59" i="3"/>
  <c r="BV64" i="3"/>
  <c r="BV58" i="3"/>
  <c r="BV67" i="3"/>
  <c r="BV63" i="3"/>
  <c r="AA152" i="3"/>
  <c r="D143" i="3"/>
  <c r="AG143" i="3" s="1"/>
  <c r="C237" i="31"/>
  <c r="AQ32" i="45"/>
  <c r="C240"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BY59" i="3" l="1"/>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0" i="3"/>
  <c r="M125" i="3"/>
  <c r="AA125" i="3" s="1"/>
  <c r="AG107" i="3"/>
  <c r="M123" i="3"/>
  <c r="AA123" i="3" s="1"/>
  <c r="C195" i="31" l="1"/>
  <c r="AE23" i="45"/>
  <c r="D125" i="3"/>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7" i="3" l="1"/>
  <c r="D139" i="3"/>
  <c r="C233" i="31"/>
  <c r="B233" i="31"/>
  <c r="C227" i="31"/>
  <c r="AM37" i="45"/>
  <c r="D147" i="3" l="1"/>
  <c r="AG147" i="3" s="1"/>
  <c r="AA150" i="3"/>
  <c r="H147" i="3"/>
  <c r="AA151" i="3"/>
  <c r="N147" i="3"/>
  <c r="AG139" i="3"/>
  <c r="N143" i="3"/>
  <c r="AU26" i="45"/>
  <c r="C241" i="31"/>
  <c r="C247" i="31"/>
  <c r="B247" i="31"/>
  <c r="BA21" i="45" l="1"/>
  <c r="AG150" i="3"/>
  <c r="C250" i="31"/>
  <c r="AG151" i="3"/>
  <c r="C251" i="31"/>
  <c r="BB23" i="45"/>
  <c r="AJ155" i="3"/>
  <c r="AJ151" i="3"/>
  <c r="BO11" i="45" l="1"/>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14" i="45"/>
  <c r="BO42" i="45"/>
  <c r="BO47" i="45"/>
  <c r="BO49" i="45"/>
  <c r="BO26" i="45"/>
  <c r="BO18" i="45"/>
  <c r="BO8" i="45"/>
  <c r="BO24" i="45"/>
  <c r="BO4" i="45"/>
  <c r="BO36" i="45"/>
  <c r="BO17" i="45"/>
  <c r="BO51" i="45"/>
  <c r="BO35" i="45"/>
  <c r="BO29" i="45"/>
  <c r="BO31" i="45"/>
  <c r="BO22" i="45"/>
  <c r="BO6" i="45"/>
  <c r="BO48" i="45"/>
  <c r="BN42" i="45"/>
  <c r="BN37" i="45"/>
  <c r="BN17" i="45"/>
  <c r="BN10" i="45"/>
  <c r="BN43" i="45"/>
  <c r="BL43" i="45" s="1"/>
  <c r="BK43" i="45" s="1"/>
  <c r="BJ43" i="45" s="1"/>
  <c r="BI43" i="45" s="1"/>
  <c r="BH43" i="45" s="1"/>
  <c r="BN34" i="45"/>
  <c r="BN25" i="45"/>
  <c r="BL25" i="45" s="1"/>
  <c r="BK25" i="45" s="1"/>
  <c r="BJ25" i="45" s="1"/>
  <c r="BI25" i="45" s="1"/>
  <c r="BH25" i="45" s="1"/>
  <c r="BN16" i="45"/>
  <c r="BN50" i="45"/>
  <c r="BN40" i="45"/>
  <c r="BN11" i="45"/>
  <c r="BN21" i="45"/>
  <c r="BN19" i="45"/>
  <c r="BN44" i="45"/>
  <c r="BL44" i="45" s="1"/>
  <c r="BK44" i="45" s="1"/>
  <c r="BJ44" i="45" s="1"/>
  <c r="BI44" i="45" s="1"/>
  <c r="BH44" i="45" s="1"/>
  <c r="BN7" i="45"/>
  <c r="BL7" i="45" s="1"/>
  <c r="BK7" i="45" s="1"/>
  <c r="BJ7" i="45" s="1"/>
  <c r="BI7" i="45" s="1"/>
  <c r="BH7" i="45" s="1"/>
  <c r="BN4" i="45"/>
  <c r="BN13" i="45"/>
  <c r="BL13" i="45" s="1"/>
  <c r="BK13" i="45" s="1"/>
  <c r="BJ13" i="45" s="1"/>
  <c r="BI13" i="45" s="1"/>
  <c r="BH13" i="45" s="1"/>
  <c r="BN24" i="45"/>
  <c r="BN39" i="45"/>
  <c r="BN31" i="45"/>
  <c r="BN22" i="45"/>
  <c r="BN27" i="45"/>
  <c r="BN48" i="45"/>
  <c r="BN23" i="45"/>
  <c r="BN36" i="45"/>
  <c r="BN18" i="45"/>
  <c r="BN6" i="45"/>
  <c r="BN20" i="45"/>
  <c r="BN46" i="45"/>
  <c r="BN30" i="45"/>
  <c r="BL30" i="45" s="1"/>
  <c r="BK30" i="45" s="1"/>
  <c r="BJ30" i="45" s="1"/>
  <c r="BI30" i="45" s="1"/>
  <c r="BH30" i="45" s="1"/>
  <c r="BN33" i="45"/>
  <c r="BN29" i="45"/>
  <c r="BN51" i="45"/>
  <c r="BN14" i="45"/>
  <c r="BN38" i="45"/>
  <c r="BN45" i="45"/>
  <c r="BL45" i="45" s="1"/>
  <c r="BK45" i="45" s="1"/>
  <c r="BJ45" i="45" s="1"/>
  <c r="BI45" i="45" s="1"/>
  <c r="BH45" i="45" s="1"/>
  <c r="BN8" i="45"/>
  <c r="BL8" i="45" s="1"/>
  <c r="BK8" i="45" s="1"/>
  <c r="BJ8" i="45" s="1"/>
  <c r="BI8" i="45" s="1"/>
  <c r="BH8" i="45" s="1"/>
  <c r="BN41" i="45"/>
  <c r="BL41" i="45" s="1"/>
  <c r="BK41" i="45" s="1"/>
  <c r="BJ41" i="45" s="1"/>
  <c r="BI41" i="45" s="1"/>
  <c r="BH41" i="45" s="1"/>
  <c r="BN32" i="45"/>
  <c r="BN47" i="45"/>
  <c r="BN5" i="45"/>
  <c r="BL5" i="45" s="1"/>
  <c r="BK5" i="45" s="1"/>
  <c r="BJ5" i="45" s="1"/>
  <c r="BI5" i="45" s="1"/>
  <c r="BH5" i="45" s="1"/>
  <c r="BN26" i="45"/>
  <c r="BL26" i="45" s="1"/>
  <c r="BK26" i="45" s="1"/>
  <c r="BJ26" i="45" s="1"/>
  <c r="BI26" i="45" s="1"/>
  <c r="BH26" i="45" s="1"/>
  <c r="BN35" i="45"/>
  <c r="BL35" i="45" s="1"/>
  <c r="BK35" i="45" s="1"/>
  <c r="BJ35" i="45" s="1"/>
  <c r="BI35" i="45" s="1"/>
  <c r="BH35" i="45" s="1"/>
  <c r="BN49" i="45"/>
  <c r="BN28" i="45"/>
  <c r="BL28" i="45" s="1"/>
  <c r="BK28" i="45" s="1"/>
  <c r="BJ28" i="45" s="1"/>
  <c r="BI28" i="45" s="1"/>
  <c r="BH28" i="45" s="1"/>
  <c r="BN9" i="45"/>
  <c r="BL9" i="45" s="1"/>
  <c r="BK9" i="45" s="1"/>
  <c r="BJ9" i="45" s="1"/>
  <c r="BI9" i="45" s="1"/>
  <c r="BH9" i="45" s="1"/>
  <c r="BN12" i="45"/>
  <c r="BL12" i="45" s="1"/>
  <c r="BK12" i="45" s="1"/>
  <c r="BJ12" i="45" s="1"/>
  <c r="BI12" i="45" s="1"/>
  <c r="BH12" i="45" s="1"/>
  <c r="BN15" i="45"/>
  <c r="BL15" i="45" s="1"/>
  <c r="BK15" i="45" s="1"/>
  <c r="BJ15" i="45" s="1"/>
  <c r="BI15" i="45" s="1"/>
  <c r="BH15" i="45" s="1"/>
  <c r="BL22" i="45" l="1"/>
  <c r="BK22" i="45" s="1"/>
  <c r="BJ22" i="45" s="1"/>
  <c r="BI22" i="45" s="1"/>
  <c r="BH22" i="45" s="1"/>
  <c r="BL20" i="45"/>
  <c r="BK20" i="45" s="1"/>
  <c r="BJ20" i="45" s="1"/>
  <c r="BI20" i="45" s="1"/>
  <c r="BH20" i="45" s="1"/>
  <c r="BL19" i="45"/>
  <c r="BK19" i="45" s="1"/>
  <c r="BJ19" i="45" s="1"/>
  <c r="BI19" i="45" s="1"/>
  <c r="BH19" i="45" s="1"/>
  <c r="BL29" i="45"/>
  <c r="BK29" i="45" s="1"/>
  <c r="BJ29" i="45" s="1"/>
  <c r="BI29" i="45" s="1"/>
  <c r="BH29" i="45" s="1"/>
  <c r="BL23" i="45"/>
  <c r="BK23" i="45" s="1"/>
  <c r="BJ23" i="45" s="1"/>
  <c r="BI23" i="45" s="1"/>
  <c r="BH23" i="45" s="1"/>
  <c r="BL4" i="45"/>
  <c r="BK4" i="45" s="1"/>
  <c r="BJ4" i="45" s="1"/>
  <c r="BI4" i="45" s="1"/>
  <c r="BH4" i="45" s="1"/>
  <c r="BL38" i="45"/>
  <c r="BK38" i="45" s="1"/>
  <c r="BJ38" i="45" s="1"/>
  <c r="BI38" i="45" s="1"/>
  <c r="BH38" i="45" s="1"/>
  <c r="BL6" i="45"/>
  <c r="BK6" i="45" s="1"/>
  <c r="BJ6" i="45" s="1"/>
  <c r="BI6" i="45" s="1"/>
  <c r="BH6" i="45" s="1"/>
  <c r="BL39" i="45"/>
  <c r="BK39" i="45" s="1"/>
  <c r="BJ39" i="45" s="1"/>
  <c r="BI39" i="45" s="1"/>
  <c r="BH39" i="45" s="1"/>
  <c r="BL14" i="45"/>
  <c r="BK14" i="45" s="1"/>
  <c r="BJ14" i="45" s="1"/>
  <c r="BI14" i="45" s="1"/>
  <c r="BH14" i="45" s="1"/>
  <c r="BL18" i="45"/>
  <c r="BK18" i="45" s="1"/>
  <c r="BJ18" i="45" s="1"/>
  <c r="BI18" i="45" s="1"/>
  <c r="BH18" i="45" s="1"/>
  <c r="BL24" i="45"/>
  <c r="BK24" i="45" s="1"/>
  <c r="BJ24" i="45" s="1"/>
  <c r="BI24" i="45" s="1"/>
  <c r="BH24" i="45" s="1"/>
  <c r="BL27" i="45"/>
  <c r="BK27" i="45" s="1"/>
  <c r="BJ27" i="45" s="1"/>
  <c r="BI27" i="45" s="1"/>
  <c r="BH27" i="45" s="1"/>
  <c r="BL34" i="45"/>
  <c r="BK34" i="45" s="1"/>
  <c r="BJ34" i="45" s="1"/>
  <c r="BI34" i="45" s="1"/>
  <c r="BH34" i="45" s="1"/>
  <c r="BL31" i="45"/>
  <c r="BK31" i="45" s="1"/>
  <c r="BJ31" i="45" s="1"/>
  <c r="BI31" i="45" s="1"/>
  <c r="BH31" i="45" s="1"/>
  <c r="BL40" i="45"/>
  <c r="BK40" i="45" s="1"/>
  <c r="BJ40" i="45" s="1"/>
  <c r="BI40" i="45" s="1"/>
  <c r="BH40" i="45" s="1"/>
  <c r="BL36" i="45"/>
  <c r="BK36" i="45" s="1"/>
  <c r="BJ36" i="45" s="1"/>
  <c r="BI36" i="45" s="1"/>
  <c r="BH36" i="45" s="1"/>
  <c r="BL50" i="45"/>
  <c r="BK50" i="45" s="1"/>
  <c r="BJ50" i="45" s="1"/>
  <c r="BI50" i="45" s="1"/>
  <c r="BH50" i="45" s="1"/>
  <c r="BL42" i="45"/>
  <c r="BK42" i="45" s="1"/>
  <c r="BJ42" i="45" s="1"/>
  <c r="BI42" i="45" s="1"/>
  <c r="BH42" i="45" s="1"/>
  <c r="BL16" i="45"/>
  <c r="BK16" i="45" s="1"/>
  <c r="BJ16" i="45" s="1"/>
  <c r="BI16" i="45" s="1"/>
  <c r="BH16" i="45" s="1"/>
  <c r="BL32" i="45"/>
  <c r="BK32" i="45" s="1"/>
  <c r="BJ32" i="45" s="1"/>
  <c r="BI32" i="45" s="1"/>
  <c r="BH32" i="45" s="1"/>
  <c r="BL33" i="45"/>
  <c r="BK33" i="45" s="1"/>
  <c r="BJ33" i="45" s="1"/>
  <c r="BI33" i="45" s="1"/>
  <c r="BH33" i="45" s="1"/>
  <c r="BL48" i="45"/>
  <c r="BK48" i="45" s="1"/>
  <c r="BJ48" i="45" s="1"/>
  <c r="BI48" i="45" s="1"/>
  <c r="BH48" i="45" s="1"/>
  <c r="BL37" i="45"/>
  <c r="BK37" i="45" s="1"/>
  <c r="BJ37" i="45" s="1"/>
  <c r="BI37" i="45" s="1"/>
  <c r="BH37" i="45" s="1"/>
  <c r="BL51" i="45"/>
  <c r="BK51" i="45" s="1"/>
  <c r="BJ51" i="45" s="1"/>
  <c r="BI51" i="45" s="1"/>
  <c r="BH51" i="45" s="1"/>
  <c r="BL47" i="45"/>
  <c r="BK47" i="45" s="1"/>
  <c r="BJ47" i="45" s="1"/>
  <c r="BI47" i="45" s="1"/>
  <c r="BH47" i="45" s="1"/>
  <c r="BL46" i="45"/>
  <c r="BK46" i="45" s="1"/>
  <c r="BJ46" i="45" s="1"/>
  <c r="BI46" i="45" s="1"/>
  <c r="BH46" i="45" s="1"/>
  <c r="BL21" i="45"/>
  <c r="BK21" i="45" s="1"/>
  <c r="BJ21" i="45" s="1"/>
  <c r="BI21" i="45" s="1"/>
  <c r="BH21" i="45" s="1"/>
  <c r="BL10" i="45"/>
  <c r="BK10" i="45" s="1"/>
  <c r="BJ10" i="45" s="1"/>
  <c r="BI10" i="45" s="1"/>
  <c r="BH10" i="45" s="1"/>
  <c r="BL49" i="45"/>
  <c r="BK49" i="45" s="1"/>
  <c r="BJ49" i="45" s="1"/>
  <c r="BI49" i="45" s="1"/>
  <c r="BH49" i="45" s="1"/>
  <c r="BL11" i="45"/>
  <c r="BK11" i="45" s="1"/>
  <c r="BJ11" i="45" s="1"/>
  <c r="BI11" i="45" s="1"/>
  <c r="BH11" i="45" s="1"/>
  <c r="BL17" i="45"/>
  <c r="BK17" i="45" s="1"/>
  <c r="BJ17" i="45" s="1"/>
  <c r="BI17" i="45" s="1"/>
  <c r="BH1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<sst xmlns="http://schemas.openxmlformats.org/spreadsheetml/2006/main" count="6764" uniqueCount="1522">
  <si>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</si>
  <si>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</si>
  <si>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</si>
  <si>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</si>
  <si>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</si>
  <si>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</si>
  <si>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</si>
  <si>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</si>
  <si>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</si>
  <si>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</si>
  <si>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</si>
  <si>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</si>
  <si>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</si>
  <si>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</si>
  <si>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</si>
  <si>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</si>
  <si>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</si>
  <si>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</si>
  <si>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</si>
  <si>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</si>
  <si>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</si>
  <si>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</si>
  <si>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</si>
  <si>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</si>
  <si>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</si>
  <si>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</si>
  <si>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</si>
  <si>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</si>
  <si>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</si>
  <si>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</si>
  <si>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</si>
  <si>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</si>
  <si>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</si>
  <si>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</si>
  <si>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</si>
  <si>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</si>
  <si>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</si>
  <si>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</si>
  <si>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</si>
  <si>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</si>
  <si>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</si>
  <si>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</si>
  <si>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</si>
  <si>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</si>
  <si>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</si>
  <si>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</si>
  <si>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</si>
  <si>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</si>
  <si>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</si>
  <si>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</si>
  <si>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</si>
  <si>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</si>
  <si>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</si>
  <si>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</si>
  <si>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</si>
  <si>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</si>
  <si>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</si>
  <si>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</si>
  <si>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</si>
  <si>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</si>
  <si>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</si>
  <si>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</si>
  <si>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</si>
  <si>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</si>
  <si>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</si>
  <si>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</si>
  <si>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</si>
  <si>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</si>
  <si>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</si>
  <si>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</si>
  <si>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</si>
  <si>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</si>
  <si>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</si>
  <si>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</si>
  <si>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</si>
  <si>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</si>
  <si>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</si>
  <si>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</si>
  <si>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</si>
  <si>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</si>
  <si>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</si>
  <si>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</si>
  <si>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</si>
  <si>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</si>
  <si>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</si>
  <si>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</si>
  <si>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</si>
  <si>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</si>
  <si>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</si>
  <si>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</si>
  <si>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</si>
  <si>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</si>
  <si>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</si>
  <si>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</si>
  <si>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</si>
  <si>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</si>
  <si>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</si>
  <si>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</si>
  <si>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</si>
  <si>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</si>
  <si>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</si>
  <si>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</si>
  <si>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</si>
  <si>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</si>
  <si>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</si>
  <si>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</si>
  <si>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</si>
  <si>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</si>
  <si>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</si>
  <si>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</si>
  <si>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</si>
  <si>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</si>
  <si>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</si>
  <si>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</si>
  <si>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</si>
  <si>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</si>
  <si>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</si>
  <si>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</si>
  <si>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</si>
  <si>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</si>
  <si>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</si>
  <si>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</si>
  <si>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</si>
  <si>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</si>
  <si>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</si>
  <si>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</si>
  <si>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</si>
  <si>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</si>
  <si>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</si>
  <si>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</si>
  <si>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</si>
  <si>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</si>
  <si>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</si>
  <si>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</si>
  <si>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</si>
  <si>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</si>
  <si>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</si>
  <si>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</si>
  <si>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</si>
  <si>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</si>
  <si>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</si>
  <si>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</si>
  <si>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</si>
  <si>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</si>
  <si>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</si>
  <si>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</si>
  <si>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</si>
  <si>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</si>
  <si>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</si>
  <si>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</si>
  <si>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</si>
  <si>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</si>
  <si>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</si>
  <si>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</si>
  <si>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</si>
  <si>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</si>
  <si>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</si>
  <si>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</si>
  <si>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</si>
  <si>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</si>
  <si>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</si>
  <si>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</si>
  <si>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</si>
  <si>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</si>
  <si>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</si>
  <si>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</si>
  <si>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</si>
  <si>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</si>
  <si>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</si>
  <si>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</si>
  <si>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</si>
  <si>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</si>
  <si>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</si>
  <si>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</si>
  <si>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</si>
  <si>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</si>
  <si>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</si>
  <si>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</si>
  <si>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</si>
  <si>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</si>
  <si>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</si>
  <si>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</si>
  <si>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</si>
  <si>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</si>
  <si>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</si>
  <si>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</si>
  <si>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</si>
  <si>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</si>
  <si>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</si>
  <si>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</si>
  <si>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</si>
  <si>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</si>
  <si>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</si>
  <si>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</si>
  <si>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</si>
  <si>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</si>
  <si>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</si>
  <si>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</si>
  <si>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</si>
  <si>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</si>
  <si>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</si>
  <si>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</si>
  <si>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</si>
  <si>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</si>
  <si>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</si>
  <si>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</si>
  <si>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</si>
  <si>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</si>
  <si>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</si>
  <si>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</si>
  <si>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</si>
  <si>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</si>
  <si>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</si>
  <si>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</si>
  <si>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</si>
  <si>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</si>
  <si>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</si>
  <si>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</si>
  <si>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</si>
  <si>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</si>
  <si>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</si>
  <si>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</si>
  <si>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</si>
  <si>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</si>
  <si>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</si>
  <si>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</si>
  <si>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</si>
  <si>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</si>
  <si>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</si>
  <si>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</si>
  <si>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</si>
  <si>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</si>
  <si>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</si>
  <si>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</si>
  <si>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</si>
  <si>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</si>
  <si>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</si>
  <si>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</si>
  <si>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</si>
  <si>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</si>
  <si>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</si>
  <si>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</si>
  <si>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</si>
  <si>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</si>
  <si>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</si>
  <si>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</si>
  <si>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</si>
  <si>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</si>
  <si>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</si>
  <si>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</si>
  <si>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</si>
  <si>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</si>
  <si>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</si>
  <si>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</si>
  <si>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</si>
  <si>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</si>
  <si>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</si>
  <si>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</si>
  <si>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</si>
  <si>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</si>
  <si>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</si>
  <si>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</si>
  <si>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</si>
  <si>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</si>
  <si>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</si>
  <si>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</si>
  <si>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</si>
  <si>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</si>
  <si>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</si>
  <si>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</si>
  <si>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</si>
  <si>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</si>
  <si>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</si>
  <si>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</si>
  <si>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</si>
  <si>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</si>
  <si>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</si>
  <si>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</si>
  <si>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</si>
  <si>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</si>
  <si>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</si>
  <si>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</si>
  <si>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</si>
  <si>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</si>
  <si>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</si>
  <si>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</si>
  <si>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</si>
  <si>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</si>
  <si>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</si>
  <si>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</si>
  <si>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</si>
  <si>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</si>
  <si>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</si>
  <si>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</si>
  <si>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</si>
  <si>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</si>
  <si>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</si>
  <si>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</si>
  <si>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</si>
  <si>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</si>
  <si>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</si>
  <si>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</si>
  <si>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</si>
  <si>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</si>
  <si>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</si>
  <si>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</si>
  <si>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</si>
  <si>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</si>
  <si>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</si>
  <si>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</si>
  <si>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</si>
  <si>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</si>
  <si>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</si>
  <si>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</si>
  <si>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</si>
  <si>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</si>
  <si>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</si>
  <si>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</si>
  <si>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</si>
  <si>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</si>
  <si>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</si>
  <si>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</si>
  <si>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</si>
  <si>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</si>
  <si>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</si>
  <si>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</si>
  <si>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</si>
  <si>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</si>
  <si>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</si>
  <si>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</si>
  <si>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</si>
  <si>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</si>
  <si>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</si>
  <si>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</si>
  <si>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</si>
  <si>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</si>
  <si>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</si>
  <si>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</si>
  <si>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</si>
  <si>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</si>
  <si>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</si>
  <si>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</si>
  <si>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</si>
  <si>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</si>
  <si>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</si>
  <si>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</si>
  <si>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</si>
  <si>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</si>
  <si>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</si>
  <si>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</si>
  <si>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</si>
  <si>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</si>
  <si>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</si>
  <si>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</si>
  <si>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</si>
  <si>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</si>
  <si>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</si>
  <si>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</si>
  <si>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</si>
  <si>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</si>
  <si>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</si>
  <si>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</si>
  <si>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</si>
  <si>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</si>
  <si>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</si>
  <si>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</si>
  <si>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</si>
  <si>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</si>
  <si>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</si>
  <si>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</si>
  <si>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</si>
  <si>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</si>
  <si>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</si>
  <si>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</si>
  <si>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</si>
  <si>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</si>
  <si>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</si>
  <si>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</si>
  <si>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</si>
  <si>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</si>
  <si>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</si>
  <si>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</si>
  <si>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</si>
  <si>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</si>
  <si>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</si>
  <si>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</si>
  <si>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</si>
  <si>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</si>
  <si>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</si>
  <si>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</si>
  <si>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</si>
  <si>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</si>
  <si>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</si>
  <si>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</si>
  <si>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</si>
  <si>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</si>
  <si>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</si>
  <si>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</si>
  <si>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</si>
  <si>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</si>
  <si>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</si>
  <si>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</si>
  <si>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</si>
  <si>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</si>
  <si>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</si>
  <si>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</si>
  <si>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</si>
  <si>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</si>
  <si>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</si>
  <si>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</si>
  <si>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</si>
  <si>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</si>
  <si>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</si>
  <si>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</si>
  <si>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</si>
  <si>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</si>
  <si>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</si>
  <si>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</si>
  <si>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</si>
  <si>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</si>
  <si>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</si>
  <si>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</si>
  <si>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</si>
  <si>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</si>
  <si>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</si>
  <si>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</si>
  <si>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</si>
  <si>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</si>
  <si>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</si>
  <si>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</si>
  <si>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</si>
  <si>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</si>
  <si>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</si>
  <si>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</si>
  <si>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</si>
  <si>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</si>
  <si>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</si>
  <si>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</si>
  <si>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</si>
  <si>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</si>
  <si>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</si>
  <si>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</si>
  <si>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</si>
  <si>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</si>
  <si>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</si>
  <si>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</si>
  <si>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</si>
  <si>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</si>
  <si>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</si>
  <si>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</si>
  <si>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</si>
  <si>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</si>
  <si>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</si>
  <si>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</si>
  <si>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</si>
  <si>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</si>
  <si>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</si>
  <si>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</si>
  <si>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</si>
  <si>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</si>
  <si>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</si>
  <si>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</si>
  <si>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</si>
  <si>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</si>
  <si>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</si>
  <si>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</si>
  <si>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</si>
  <si>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</si>
  <si>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</si>
  <si>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</si>
  <si>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</si>
  <si>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</si>
  <si>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</si>
  <si>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</si>
  <si>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</si>
  <si>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</si>
  <si>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</si>
  <si>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</si>
  <si>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</si>
  <si>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</si>
  <si>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</si>
  <si>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</si>
  <si>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</si>
  <si>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</si>
  <si>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</si>
  <si>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</si>
  <si>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</si>
  <si>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</si>
  <si>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</si>
  <si>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</si>
  <si>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</si>
  <si>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</si>
  <si>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</si>
  <si>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</si>
  <si>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</si>
  <si>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</si>
  <si>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</si>
  <si>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</si>
  <si>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</si>
  <si>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</si>
  <si>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</si>
  <si>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</si>
  <si>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</si>
  <si>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</si>
  <si>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</si>
  <si>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</si>
  <si>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</si>
  <si>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</si>
  <si>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</si>
  <si>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</si>
  <si>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</si>
  <si>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</si>
  <si>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</si>
  <si>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</si>
  <si>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</si>
  <si>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</si>
  <si>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</si>
  <si>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</si>
  <si>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</si>
  <si>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</si>
  <si>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</si>
  <si>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</si>
  <si>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</si>
  <si>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</si>
  <si>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</si>
  <si>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</si>
  <si>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</si>
  <si>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</si>
  <si>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</si>
  <si>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</si>
  <si>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</si>
  <si>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</si>
  <si>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</si>
  <si>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</si>
  <si>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</si>
  <si>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</si>
  <si>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</si>
  <si>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</si>
  <si>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</si>
  <si>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</si>
  <si>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</si>
  <si>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</si>
  <si>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</si>
  <si>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</si>
  <si>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</si>
  <si>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</si>
  <si>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</si>
  <si>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</si>
  <si>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</si>
  <si>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</si>
  <si>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</si>
  <si>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</si>
  <si>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</si>
  <si>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</si>
  <si>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</si>
  <si>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</si>
  <si>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</si>
  <si>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</si>
  <si>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</si>
  <si>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</si>
  <si>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</si>
  <si>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</si>
  <si>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</si>
  <si>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</si>
  <si>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</si>
  <si>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</si>
  <si>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</si>
  <si>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</si>
  <si>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</si>
  <si>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</si>
  <si>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</si>
  <si>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</si>
  <si>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</si>
  <si>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</si>
  <si>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</si>
  <si>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</si>
  <si>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</si>
  <si>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</si>
  <si>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</si>
  <si>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</si>
  <si>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</si>
  <si>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</si>
  <si>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</si>
  <si>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</si>
  <si>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</si>
  <si>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</si>
  <si>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</si>
  <si>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</si>
  <si>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</si>
  <si>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</si>
  <si>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</si>
  <si>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</si>
  <si>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</si>
  <si>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</si>
  <si>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</si>
  <si>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</si>
  <si>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</si>
  <si>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</si>
  <si>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</si>
  <si>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</si>
  <si>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</si>
  <si>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</si>
  <si>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</si>
  <si>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</si>
  <si>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</si>
  <si>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</si>
  <si>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</si>
  <si>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</si>
  <si>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</si>
  <si>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</si>
  <si>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</si>
  <si>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</si>
  <si>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</si>
  <si>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</si>
  <si>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</si>
  <si>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</si>
  <si>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</si>
  <si>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</si>
  <si>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</si>
  <si>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</si>
  <si>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</si>
  <si>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</si>
  <si>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</si>
  <si>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</si>
  <si>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</si>
  <si>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</si>
  <si>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</si>
  <si>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</si>
  <si>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</si>
  <si>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</si>
  <si>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</si>
  <si>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</si>
  <si>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</si>
  <si>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</si>
  <si>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</si>
  <si>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</si>
  <si>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</si>
  <si>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</si>
  <si>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</si>
  <si>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</si>
  <si>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</si>
  <si>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</si>
  <si>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</si>
  <si>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</si>
  <si>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</si>
  <si>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</si>
  <si>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</si>
  <si>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</si>
  <si>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</si>
  <si>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</si>
  <si>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</si>
  <si>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</si>
  <si>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</si>
  <si>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</si>
  <si>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</si>
  <si>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</si>
  <si>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</si>
  <si>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</si>
  <si>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</si>
  <si>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</si>
  <si>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</si>
  <si>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</si>
  <si>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</si>
  <si>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</si>
  <si>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</si>
  <si>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</si>
  <si>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</si>
  <si>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</si>
  <si>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</si>
  <si>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</si>
  <si>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</si>
  <si>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</si>
  <si>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</si>
  <si>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</si>
  <si>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</si>
  <si>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</si>
  <si>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</si>
  <si>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</si>
  <si>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</si>
  <si>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</si>
  <si>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</si>
  <si>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</si>
  <si>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</si>
  <si>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</si>
  <si>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</si>
  <si>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</si>
  <si>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</si>
  <si>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</si>
  <si>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</si>
  <si>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</si>
  <si>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</si>
  <si>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</si>
  <si>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</si>
  <si>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</si>
  <si>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</si>
  <si>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</si>
  <si>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</si>
  <si>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</si>
  <si>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</si>
  <si>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</si>
  <si>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</si>
  <si>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</si>
  <si>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</si>
  <si>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</si>
  <si>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</si>
  <si>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</si>
  <si>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</si>
  <si>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</si>
  <si>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</si>
  <si>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</si>
  <si>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</si>
  <si>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</si>
  <si>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</si>
  <si>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</si>
  <si>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</si>
  <si>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</si>
  <si>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</si>
  <si>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</si>
  <si>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</si>
  <si>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</si>
  <si>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</si>
  <si>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</si>
  <si>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</si>
  <si>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</si>
  <si>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</si>
  <si>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</si>
  <si>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</si>
  <si>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</si>
  <si>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</si>
  <si>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</si>
  <si>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</si>
  <si>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</si>
  <si>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</si>
  <si>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</si>
  <si>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</si>
  <si>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</si>
  <si>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</si>
  <si>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</si>
  <si>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</si>
  <si>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</si>
  <si>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</si>
  <si>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</si>
  <si>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</si>
  <si>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</si>
  <si>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</si>
  <si>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</si>
  <si>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</si>
  <si>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</si>
  <si>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</si>
  <si>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</si>
  <si>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</si>
  <si>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</si>
  <si>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</si>
  <si>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</si>
  <si>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</si>
  <si>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</si>
  <si>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</si>
  <si>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</si>
  <si>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</si>
  <si>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</si>
  <si>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</si>
  <si>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</si>
  <si>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</si>
  <si>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</si>
  <si>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</si>
  <si>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</si>
  <si>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</si>
  <si>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</si>
  <si>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</si>
  <si>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</si>
  <si>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</si>
  <si>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</si>
  <si>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</si>
  <si>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</si>
  <si>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</si>
  <si>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</si>
  <si>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</si>
  <si>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</si>
  <si>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</si>
  <si>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</si>
  <si>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</si>
  <si>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</si>
  <si>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</si>
  <si>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</si>
  <si>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</si>
  <si>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</si>
  <si>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</si>
  <si>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</si>
  <si>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</si>
  <si>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</si>
  <si>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</si>
  <si>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</si>
  <si>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</si>
  <si>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</si>
  <si>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</si>
  <si>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</si>
  <si>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</si>
  <si>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</si>
  <si>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</si>
  <si>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</si>
  <si>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</si>
  <si>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</si>
  <si>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</si>
  <si>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</si>
  <si>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</si>
  <si>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</si>
  <si>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</si>
  <si>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</si>
  <si>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</si>
  <si>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</si>
  <si>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</si>
  <si>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</si>
  <si>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</si>
  <si>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</si>
  <si>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</si>
  <si>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</si>
  <si>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</si>
  <si>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</si>
  <si>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</si>
  <si>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</si>
  <si>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</si>
  <si>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</si>
  <si>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</si>
  <si>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</si>
  <si>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</si>
  <si>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</si>
  <si>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</si>
  <si>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</si>
  <si>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</si>
  <si>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</si>
  <si>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</si>
  <si>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</si>
  <si>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</si>
  <si>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</si>
  <si>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</si>
  <si>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</si>
  <si>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</si>
  <si>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</si>
  <si>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</si>
  <si>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</si>
  <si>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</si>
  <si>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</si>
  <si>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</si>
  <si>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</si>
  <si>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</si>
  <si>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</si>
  <si>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</si>
  <si>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</si>
  <si>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</si>
  <si>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</si>
  <si>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</si>
  <si>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</si>
  <si>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</si>
  <si>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</si>
  <si>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</si>
  <si>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</si>
  <si>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</si>
  <si>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</si>
  <si>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</si>
  <si>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</si>
  <si>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</si>
  <si>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</si>
  <si>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</si>
  <si>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</si>
  <si>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</si>
  <si>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</si>
  <si>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</si>
  <si>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</si>
  <si>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</si>
  <si>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</si>
  <si>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</si>
  <si>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</si>
  <si>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</si>
  <si>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</si>
  <si>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</si>
  <si>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</si>
  <si>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</si>
  <si>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</si>
  <si>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</si>
  <si>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</si>
  <si>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</si>
  <si>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</si>
  <si>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</si>
  <si>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</si>
  <si>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</si>
  <si>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</si>
  <si>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</si>
  <si>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</si>
  <si>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</si>
  <si>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</si>
  <si>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</si>
  <si>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</si>
  <si>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</si>
  <si>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</si>
  <si>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</si>
  <si>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</si>
  <si>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</si>
  <si>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</si>
  <si>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</si>
  <si>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</si>
  <si>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</si>
  <si>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</si>
  <si>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</si>
  <si>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</si>
  <si>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</si>
  <si>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</si>
  <si>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</si>
  <si>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</si>
  <si>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</si>
  <si>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</si>
  <si>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</si>
  <si>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</si>
  <si>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</si>
  <si>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</si>
  <si>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</si>
  <si>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</si>
  <si>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</si>
  <si>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</si>
  <si>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</si>
  <si>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</si>
  <si>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</si>
  <si>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</si>
  <si>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</si>
  <si>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</si>
  <si>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</si>
  <si>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</si>
  <si>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</si>
  <si>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</si>
  <si>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</si>
  <si>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</si>
  <si>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</si>
  <si>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</si>
  <si>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</si>
  <si>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</si>
  <si>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</si>
  <si>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</si>
  <si>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</si>
  <si>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</si>
  <si>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</si>
  <si>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</si>
  <si>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</si>
  <si>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</si>
  <si>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</si>
  <si>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</si>
  <si>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</si>
  <si>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</si>
  <si>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</si>
  <si>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</si>
  <si>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</si>
  <si>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</si>
  <si>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</si>
  <si>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</si>
  <si>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</si>
  <si>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</si>
  <si>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</si>
  <si>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</si>
  <si>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</si>
  <si>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</si>
  <si>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</si>
  <si>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</si>
  <si>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</si>
  <si>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</si>
  <si>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</si>
  <si>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</si>
  <si>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</si>
  <si>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</si>
  <si>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</si>
  <si>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</si>
  <si>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</si>
  <si>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</si>
  <si>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</si>
  <si>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</si>
  <si>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</si>
  <si>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</si>
  <si>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</si>
  <si>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</si>
  <si>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</si>
  <si>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</si>
  <si>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</si>
  <si>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</si>
  <si>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</si>
  <si>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</si>
  <si>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</si>
  <si>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</si>
  <si>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</si>
  <si>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</si>
  <si>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</si>
  <si>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</si>
  <si>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</si>
  <si>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</si>
  <si>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</si>
  <si>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</si>
  <si>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</si>
  <si>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</si>
  <si>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</si>
  <si>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</si>
  <si>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</si>
  <si>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</si>
  <si>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</si>
  <si>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</si>
  <si>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</si>
  <si>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</si>
  <si>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</si>
  <si>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</si>
  <si>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</si>
  <si>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</si>
  <si>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</si>
  <si>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</si>
  <si>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</si>
  <si>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</si>
  <si>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</si>
  <si>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</si>
  <si>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</si>
  <si>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</si>
  <si>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</si>
  <si>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</si>
  <si>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</si>
  <si>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</si>
  <si>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</si>
  <si>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</si>
  <si>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</si>
  <si>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</si>
  <si>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</si>
  <si>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</si>
  <si>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</si>
  <si>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</si>
  <si>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</si>
  <si>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</si>
  <si>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</si>
  <si>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</si>
  <si>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</si>
  <si>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</si>
  <si>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</si>
  <si>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</si>
  <si>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</si>
  <si>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</si>
  <si>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</si>
  <si>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</si>
  <si>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</si>
  <si>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</si>
  <si>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</si>
  <si>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</si>
  <si>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</si>
  <si>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</si>
  <si>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</si>
  <si>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</si>
  <si>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</si>
  <si>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</si>
  <si>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</si>
  <si>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</si>
  <si>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</si>
  <si>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</si>
  <si>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</si>
  <si>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</si>
  <si>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</si>
  <si>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</si>
  <si>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</si>
  <si>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</si>
  <si>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</si>
  <si>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</si>
  <si>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</si>
  <si>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</si>
  <si>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</si>
  <si>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</si>
  <si>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</si>
  <si>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</si>
  <si>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</si>
  <si>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</si>
  <si>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</si>
  <si>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</si>
  <si>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</si>
  <si>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</si>
  <si>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</si>
  <si>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</si>
  <si>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</si>
  <si>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</si>
  <si>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</si>
  <si>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</si>
  <si>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</si>
  <si>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</si>
  <si>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</si>
  <si>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</si>
  <si>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</si>
  <si>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</si>
  <si>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</si>
  <si>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</si>
  <si>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</si>
  <si>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</si>
  <si>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</si>
  <si>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</si>
  <si>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</si>
  <si>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</si>
  <si>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</si>
  <si>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</si>
  <si>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</si>
  <si>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</si>
  <si>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</si>
  <si>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</si>
  <si>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</si>
  <si>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</si>
  <si>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</si>
  <si>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</si>
  <si>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</si>
  <si>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</si>
  <si>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</si>
  <si>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</si>
  <si>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</si>
  <si>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</si>
  <si>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</si>
  <si>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</si>
  <si>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</si>
  <si>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</si>
  <si>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</si>
  <si>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</si>
  <si>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</si>
  <si>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</si>
  <si>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</si>
  <si>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</si>
  <si>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</si>
  <si>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</si>
  <si>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</si>
  <si>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</si>
  <si>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</si>
  <si>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</si>
  <si>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</si>
  <si>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</si>
  <si>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</si>
  <si>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</si>
  <si>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</si>
  <si>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</si>
  <si>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</si>
  <si>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</si>
  <si>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</si>
  <si>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</si>
  <si>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</si>
  <si>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</si>
  <si>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</si>
  <si>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</si>
  <si>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</si>
  <si>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</si>
  <si>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</si>
  <si>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</si>
  <si>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</si>
  <si>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</si>
  <si>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</si>
  <si>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</si>
  <si>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</si>
  <si>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</si>
  <si>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</si>
  <si>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</si>
  <si>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</si>
  <si>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</si>
  <si>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</si>
  <si>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</si>
  <si>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</si>
  <si>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</si>
  <si>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</si>
  <si>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</si>
  <si>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</si>
  <si>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</si>
  <si>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</si>
  <si>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</si>
  <si>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</si>
  <si>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</si>
  <si>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</si>
  <si>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</si>
  <si>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</si>
  <si>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</si>
  <si>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</si>
  <si>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</si>
  <si>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</si>
  <si>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</si>
  <si>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</si>
  <si>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</si>
  <si>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</si>
  <si>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</si>
  <si>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</si>
  <si>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</si>
  <si>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</si>
  <si>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</si>
  <si>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</si>
  <si>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</si>
  <si>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</si>
  <si>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</si>
  <si>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</si>
  <si>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</si>
  <si>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</si>
  <si>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</si>
  <si>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</si>
  <si>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</si>
  <si>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</si>
  <si>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</si>
  <si>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</si>
  <si>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</si>
  <si>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</si>
  <si>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</si>
  <si>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</si>
  <si>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</si>
  <si>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</si>
  <si>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</si>
  <si>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</si>
  <si>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</si>
  <si>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</si>
  <si>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</si>
  <si>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</si>
  <si>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</si>
  <si>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</si>
  <si>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</si>
  <si>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</si>
  <si>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</si>
  <si>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</si>
  <si>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</si>
  <si>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</si>
  <si>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</si>
  <si>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</si>
  <si>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</si>
  <si>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</si>
  <si>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</si>
  <si>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</si>
  <si>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</si>
  <si>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</si>
  <si>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</si>
  <si>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</si>
  <si>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</si>
  <si>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</si>
  <si>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</si>
  <si>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</si>
  <si>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</si>
  <si>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</si>
  <si>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</si>
  <si>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</si>
  <si>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</si>
  <si>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</si>
  <si>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</si>
  <si>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</si>
  <si>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</si>
  <si>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</si>
  <si>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</si>
  <si>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</si>
  <si>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</si>
  <si>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</si>
  <si>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</si>
  <si>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</si>
  <si>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</si>
  <si>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</si>
  <si>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</si>
  <si>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</si>
  <si>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</si>
  <si>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</si>
  <si>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</si>
  <si>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</si>
  <si>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</si>
  <si>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</si>
  <si>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</si>
  <si>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</si>
  <si>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</si>
  <si>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</si>
  <si>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</si>
  <si>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</si>
  <si>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</si>
  <si>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</si>
  <si>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</si>
  <si>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</si>
  <si>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</si>
  <si>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</si>
  <si>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</si>
  <si>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</si>
  <si>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</si>
  <si>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</si>
  <si>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</si>
  <si>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</si>
  <si>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</si>
  <si>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</si>
  <si>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</si>
  <si>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</si>
  <si>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</si>
  <si>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</si>
  <si>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</si>
  <si>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</si>
  <si>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</si>
  <si>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</si>
  <si>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</si>
  <si>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</si>
  <si>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</si>
  <si>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</si>
  <si>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</si>
  <si>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</si>
  <si>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</si>
  <si>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</si>
  <si>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</si>
  <si>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</si>
  <si>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</si>
  <si>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</si>
  <si>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</si>
  <si>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</si>
  <si>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</si>
  <si>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</si>
  <si>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</si>
  <si>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</si>
  <si>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</si>
  <si>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</si>
  <si>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</si>
  <si>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</si>
  <si>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</si>
  <si>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</si>
  <si>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</si>
  <si>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</si>
  <si>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</si>
  <si>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</si>
  <si>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</si>
  <si>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</si>
  <si>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</si>
  <si>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</si>
  <si>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</si>
  <si>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</si>
  <si>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</si>
  <si>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</si>
  <si>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</si>
  <si>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</si>
  <si>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</si>
  <si>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</si>
  <si>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</si>
  <si>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</si>
  <si>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</si>
  <si>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</si>
  <si>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</si>
  <si>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</si>
  <si>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</si>
  <si>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</si>
  <si>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</si>
  <si>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</si>
  <si>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</si>
  <si>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</si>
  <si>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</si>
  <si>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</si>
  <si>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</si>
  <si>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</si>
  <si>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</si>
  <si>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</si>
  <si>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</si>
  <si>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</si>
  <si>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</si>
  <si>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</si>
  <si>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</si>
  <si>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</si>
  <si>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</si>
  <si>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</si>
  <si>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</si>
  <si>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</si>
  <si>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</si>
  <si>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</si>
  <si>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</si>
  <si>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</si>
  <si>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</si>
  <si>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</si>
  <si>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</si>
  <si>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</si>
  <si>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</si>
  <si>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</si>
  <si>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</si>
  <si>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</si>
  <si>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</si>
  <si>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</si>
  <si>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</si>
  <si>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</si>
  <si>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</si>
  <si>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</si>
  <si>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</si>
  <si>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</si>
  <si>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</si>
  <si>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</si>
  <si>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</si>
  <si>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</si>
  <si>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</si>
  <si>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</si>
  <si>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</si>
  <si>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</si>
  <si>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</si>
  <si>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</si>
  <si>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</si>
  <si>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</si>
  <si>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</si>
  <si>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</si>
  <si>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</si>
  <si>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</si>
  <si>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</si>
  <si>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</si>
  <si>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</si>
  <si>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</si>
  <si>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</si>
  <si>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</si>
  <si>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</si>
  <si>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</si>
  <si>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</si>
  <si>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</si>
  <si>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</si>
  <si>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</si>
  <si>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</si>
  <si>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</si>
  <si>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</si>
  <si>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</si>
  <si>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</si>
  <si>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</si>
  <si>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</si>
  <si>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</si>
  <si>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</si>
  <si>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</si>
  <si>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</si>
  <si>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</si>
  <si>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</si>
  <si>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</si>
  <si>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</si>
  <si>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</si>
  <si>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</si>
  <si>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</si>
  <si>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</si>
  <si>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</si>
  <si>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</si>
  <si>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</si>
  <si>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</si>
  <si>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</si>
  <si>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</si>
  <si>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</si>
  <si>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</si>
  <si>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</si>
  <si>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</si>
  <si>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</si>
  <si>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</si>
  <si>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</si>
  <si>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</si>
  <si>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</si>
  <si>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</si>
  <si>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</si>
  <si>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</si>
  <si>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</si>
  <si>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</si>
  <si>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</si>
  <si>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</si>
  <si>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</si>
  <si>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</si>
  <si>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</si>
  <si>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</si>
  <si>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</si>
  <si>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</si>
  <si>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</si>
  <si>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</si>
  <si>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</si>
  <si>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</si>
  <si>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</si>
  <si>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</si>
  <si>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</si>
  <si>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</si>
  <si>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</si>
  <si>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</si>
  <si>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</si>
  <si>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</si>
  <si>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</si>
  <si>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</si>
  <si>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</si>
  <si>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</si>
  <si>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</si>
  <si>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</si>
  <si>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</si>
  <si>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</si>
  <si>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</si>
  <si>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</si>
  <si>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</si>
  <si>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</si>
  <si>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</si>
  <si>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</si>
  <si>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</si>
  <si>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</si>
  <si>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</si>
  <si>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</si>
  <si>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</si>
  <si>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</si>
  <si>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</si>
  <si>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</si>
  <si>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</si>
  <si>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</si>
  <si>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</si>
  <si>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</si>
  <si>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</si>
  <si>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</si>
  <si>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</si>
  <si>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</si>
  <si>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</si>
  <si>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</si>
  <si>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</si>
  <si>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</si>
  <si>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</si>
  <si>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</si>
  <si>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</si>
  <si>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</si>
  <si>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</si>
  <si>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</si>
  <si>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</si>
  <si>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</si>
  <si>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</si>
  <si>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</si>
  <si>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</si>
  <si>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</si>
  <si>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</si>
  <si>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</si>
  <si>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</si>
  <si>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</si>
  <si>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</si>
  <si>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</si>
  <si>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</si>
  <si>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</si>
  <si>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</si>
  <si>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</si>
  <si>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</si>
  <si>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</si>
  <si>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</si>
  <si>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</si>
  <si>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Marco</t>
  </si>
  <si>
    <t>Lamine Yamal</t>
  </si>
  <si>
    <t>Dembele</t>
  </si>
  <si>
    <t>Harry Kane</t>
  </si>
  <si>
    <t>Mbappe</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</si>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</sst>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1">
    <v>0</v>
    <v>8</v>
    <v>1</v>
    <v>1</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36" zoomScale="106" zoomScaleNormal="100" workbookViewId="0">
      <selection activeCell="AA162" sqref="AA162"/>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3</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2</v>
      </c>
      <c r="AD6" s="51">
        <v>2</v>
      </c>
      <c r="AE6" s="595" t="e" cm="1" vm="2">
        <f t="array" aca="1" ref="AE6" ca="1">Ver_flag_visit</f>
        <v>#VALUE!</v>
      </c>
      <c r="AF6" s="32" t="str">
        <f ca="1">A6</f>
        <v>Sudáfrica</v>
      </c>
      <c r="AG6" s="323">
        <f t="shared" si="13"/>
        <v>1</v>
      </c>
      <c r="AH6" s="195">
        <v>25</v>
      </c>
      <c r="AI6" s="181" t="str">
        <f>AJ6&amp;$B$4</f>
        <v>1A</v>
      </c>
      <c r="AJ6" s="40">
        <v>1</v>
      </c>
      <c r="AK6" s="597"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4</v>
      </c>
      <c r="AT6" s="41">
        <f t="shared" ca="1" si="15"/>
        <v>3</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ca="1">+BG6+BH6+BI6</f>
        <v>3</v>
      </c>
      <c r="BG6" s="16">
        <f t="shared" ref="BG6:BG53" ca="1" si="17">+COUNTIFS(FGLocal,BD6,Ganador,"Local")+COUNTIFS(FGVisitante,BD6,Ganador,"Visitante")</f>
        <v>2</v>
      </c>
      <c r="BH6" s="16">
        <f t="shared" ref="BH6:BH53" ca="1" si="18">+COUNTIFS(FGLocal,BD6,Ganador,"Empate")+COUNTIFS(FGVisitante,BD6,Ganador,"Empate")</f>
        <v>0</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6</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República Checa</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1">
        <f t="array" aca="1" ref="AK7" ca="1">Ver_flag_visit</f>
        <v>#VALUE!</v>
      </c>
      <c r="AL7" s="37" t="str">
        <f ca="1">IFERROR(INDEX($BD$6:$BD$53,MATCH(AI7,$BN$6:$BN$53,0)),"")</f>
        <v>México</v>
      </c>
      <c r="AM7" s="38">
        <f t="shared" ca="1" si="15"/>
        <v>6</v>
      </c>
      <c r="AN7" s="39">
        <f t="shared" ca="1" si="15"/>
        <v>3</v>
      </c>
      <c r="AO7" s="39">
        <f t="shared" ca="1" si="15"/>
        <v>2</v>
      </c>
      <c r="AP7" s="39">
        <f t="shared" ca="1" si="15"/>
        <v>0</v>
      </c>
      <c r="AQ7" s="39">
        <f t="shared" ca="1" si="15"/>
        <v>1</v>
      </c>
      <c r="AR7" s="39">
        <f t="shared" ca="1" si="15"/>
        <v>4</v>
      </c>
      <c r="AS7" s="39">
        <f t="shared" ca="1" si="15"/>
        <v>2</v>
      </c>
      <c r="AT7" s="43">
        <f t="shared" ca="1" si="15"/>
        <v>2</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4</v>
      </c>
      <c r="BK7" s="16">
        <f t="shared" ca="1" si="21"/>
        <v>6</v>
      </c>
      <c r="BL7" s="16">
        <f t="shared" ref="BL7:BL53" ca="1" si="42">+BJ7-BK7</f>
        <v>-2</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6" customHeight="1" x14ac:dyDescent="0.2">
      <c r="A8" s="16" t="str">
        <f ca="1">+Equipos!B5</f>
        <v>República Checa</v>
      </c>
      <c r="B8" s="16"/>
      <c r="C8" s="16"/>
      <c r="D8" s="16" t="str">
        <f t="shared" si="0"/>
        <v>Local</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2</v>
      </c>
      <c r="AD8" s="51">
        <v>1</v>
      </c>
      <c r="AE8" s="595" t="e" cm="1" vm="1">
        <f t="array" aca="1" ref="AE8" ca="1">Ver_flag_visit</f>
        <v>#VALUE!</v>
      </c>
      <c r="AF8" s="32" t="str">
        <f ca="1">A5</f>
        <v>México</v>
      </c>
      <c r="AG8" s="323">
        <f t="shared" si="13"/>
        <v>1</v>
      </c>
      <c r="AH8" s="195">
        <v>53</v>
      </c>
      <c r="AI8" s="181" t="str">
        <f>AJ8&amp;$B$4</f>
        <v>3A</v>
      </c>
      <c r="AJ8" s="42">
        <v>3</v>
      </c>
      <c r="AK8" s="598" t="e" cm="1" vm="2">
        <f t="array" aca="1" ref="AK8" ca="1">Ver_flag_visit</f>
        <v>#VALUE!</v>
      </c>
      <c r="AL8" s="37" t="str">
        <f ca="1">IFERROR(INDEX($BD$6:$BD$53,MATCH(AI8,$BN$6:$BN$53,0)),"")</f>
        <v>Sudáfrica</v>
      </c>
      <c r="AM8" s="38">
        <f t="shared" ca="1" si="15"/>
        <v>2</v>
      </c>
      <c r="AN8" s="39">
        <f t="shared" ca="1" si="15"/>
        <v>3</v>
      </c>
      <c r="AO8" s="39">
        <f t="shared" ca="1" si="15"/>
        <v>0</v>
      </c>
      <c r="AP8" s="39">
        <f t="shared" ca="1" si="15"/>
        <v>2</v>
      </c>
      <c r="AQ8" s="39">
        <f t="shared" ca="1" si="15"/>
        <v>1</v>
      </c>
      <c r="AR8" s="39">
        <f t="shared" ca="1" si="15"/>
        <v>4</v>
      </c>
      <c r="AS8" s="39">
        <f t="shared" ca="1" si="15"/>
        <v>6</v>
      </c>
      <c r="AT8" s="43">
        <f t="shared" ca="1" si="15"/>
        <v>-2</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3</v>
      </c>
      <c r="BK8" s="16">
        <f t="shared" ca="1" si="21"/>
        <v>6</v>
      </c>
      <c r="BL8" s="16">
        <f t="shared" ca="1" si="42"/>
        <v>-3</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 customHeight="1" thickBot="1" x14ac:dyDescent="0.25">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2</v>
      </c>
      <c r="AD9" s="54">
        <v>2</v>
      </c>
      <c r="AE9" s="596" t="e" cm="1" vm="3">
        <f t="array" aca="1" ref="AE9" ca="1">Ver_flag_visit</f>
        <v>#VALUE!</v>
      </c>
      <c r="AF9" s="33" t="str">
        <f ca="1">A7</f>
        <v>Corea del Sur</v>
      </c>
      <c r="AG9" s="323">
        <f t="shared" si="13"/>
        <v>1</v>
      </c>
      <c r="AH9" s="195">
        <v>54</v>
      </c>
      <c r="AI9" s="181" t="str">
        <f>AJ9&amp;$B$4</f>
        <v>4A</v>
      </c>
      <c r="AJ9" s="44">
        <v>4</v>
      </c>
      <c r="AK9" s="599" t="e" cm="1" vm="3">
        <f t="array" aca="1" ref="AK9" ca="1">Ver_flag_visit</f>
        <v>#VALUE!</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3</v>
      </c>
      <c r="AS9" s="47">
        <f t="shared" ca="1" si="15"/>
        <v>6</v>
      </c>
      <c r="AT9" s="48">
        <f t="shared" ca="1" si="15"/>
        <v>-3</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7</v>
      </c>
      <c r="BK9" s="16">
        <f t="shared" ca="1" si="21"/>
        <v>4</v>
      </c>
      <c r="BL9" s="16">
        <f t="shared" ca="1" si="42"/>
        <v>3</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2</v>
      </c>
      <c r="BF10" s="16">
        <f t="shared" ca="1" si="41"/>
        <v>3</v>
      </c>
      <c r="BG10" s="16">
        <f t="shared" ca="1" si="17"/>
        <v>0</v>
      </c>
      <c r="BH10" s="16">
        <f t="shared" ca="1" si="18"/>
        <v>2</v>
      </c>
      <c r="BI10" s="16">
        <f t="shared" ca="1" si="19"/>
        <v>1</v>
      </c>
      <c r="BJ10" s="16">
        <f t="shared" ca="1" si="20"/>
        <v>3</v>
      </c>
      <c r="BK10" s="16">
        <f t="shared" ca="1" si="21"/>
        <v>5</v>
      </c>
      <c r="BL10" s="16">
        <f t="shared" ca="1" si="42"/>
        <v>-2</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2</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P.3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P.3 (2)</v>
      </c>
      <c r="CA10" s="16">
        <f t="shared" ca="1" si="27"/>
        <v>1</v>
      </c>
      <c r="CB10" s="16">
        <f t="shared" ca="1" si="28"/>
        <v>1</v>
      </c>
      <c r="CC10" s="16">
        <f t="shared" ref="CC10:CC53" ca="1" si="49">IF($BZ10="-","-",CA10-CB10)</f>
        <v>0</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P.3 (2)</v>
      </c>
      <c r="CF10" s="16">
        <f t="shared" ca="1" si="29"/>
        <v>1</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P.3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P.3 (2)</v>
      </c>
      <c r="CO10" s="16">
        <f t="shared" ca="1" si="33"/>
        <v>1</v>
      </c>
      <c r="CP10" s="16">
        <f t="shared" ca="1" si="34"/>
        <v>1</v>
      </c>
      <c r="CQ10" s="16">
        <f t="shared" ref="CQ10:CQ53" ca="1" si="51">IF($CN10="-","-",CO10-CP10)</f>
        <v>0</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P.3 (2)</v>
      </c>
      <c r="CT10" s="16">
        <f t="shared" ca="1" si="35"/>
        <v>1</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P.3 (2)</v>
      </c>
      <c r="CW10" s="16">
        <f t="shared" ca="1" si="36"/>
        <v>-2</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P.3 (2)</v>
      </c>
      <c r="CZ10" s="16">
        <f t="shared" ca="1" si="37"/>
        <v>3</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P.3 (2)</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3</v>
      </c>
      <c r="DE10" s="16"/>
      <c r="DF10" s="16">
        <f t="shared" ref="DF10:DF53" ca="1" si="52">IF(OR(INDEX($AW$6:$AW$97,MATCH($BD10,$AV$6:$AV$97,0))="",DB10="-"),DD10,INDEX($AW$6:$AW$97,MATCH($BD10,$AV$6:$AV$97,0))+DD10/1000)</f>
        <v>3</v>
      </c>
      <c r="DG10" s="16">
        <f ca="1">IF(DB10="-","-",COUNTIFS(DF$6:DF$53,"&lt;"&amp;DF10,$BC$6:$BC$53,INDEX(T_Equipos[Grupo],MATCH(BD10,T_Equipos[NombreEquipo],0))))</f>
        <v>2</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Bosnia y Herzegovina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7</v>
      </c>
      <c r="BF11" s="16">
        <f t="shared" ca="1" si="41"/>
        <v>3</v>
      </c>
      <c r="BG11" s="16">
        <f t="shared" ca="1" si="17"/>
        <v>2</v>
      </c>
      <c r="BH11" s="16">
        <f t="shared" ca="1" si="18"/>
        <v>1</v>
      </c>
      <c r="BI11" s="16">
        <f t="shared" ca="1" si="19"/>
        <v>0</v>
      </c>
      <c r="BJ11" s="16">
        <f t="shared" ca="1" si="20"/>
        <v>7</v>
      </c>
      <c r="BK11" s="16">
        <f t="shared" ca="1" si="21"/>
        <v>3</v>
      </c>
      <c r="BL11" s="16">
        <f t="shared" ca="1" si="42"/>
        <v>4</v>
      </c>
      <c r="BM11" s="16" t="str">
        <f t="shared" ca="1" si="22"/>
        <v>1B</v>
      </c>
      <c r="BN11" s="16" t="str">
        <f t="shared" ca="1" si="23"/>
        <v>1B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7</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1</v>
      </c>
      <c r="DE11" s="16"/>
      <c r="DF11" s="16">
        <f t="shared" ca="1" si="52"/>
        <v>1</v>
      </c>
      <c r="DG11" s="16" t="str">
        <f ca="1">IF(DB11="-","-",COUNTIFS(DF$6:DF$53,"&lt;"&amp;DF11,$BC$6:$BC$53,INDEX(T_Equipos[Grupo],MATCH(BD11,T_Equipos[NombreEquipo],0))))</f>
        <v>-</v>
      </c>
      <c r="DH11" s="16">
        <f ca="1">DA11+COUNTIFS(DB$6:DB$53,DB11,DG$6:DG$53,"&lt;"&amp;DG11,$BC$6:$BC$53,INDEX(T_Equipos[Grupo],MATCH(BD11,T_Equipos[NombreEquipo],0)))</f>
        <v>1</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Catar</v>
      </c>
    </row>
    <row r="12" spans="1:121" ht="16" customHeight="1" thickBot="1" x14ac:dyDescent="0.25">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P.3 (2)</v>
      </c>
      <c r="F12" s="16" t="str">
        <f t="shared" ref="F12:F17" ca="1" si="55">IF(D12="Pendiente","-",INDEX($BT$6:$BT$53,MATCH($AF12,$BD$6:$BD$53,0)))</f>
        <v>-</v>
      </c>
      <c r="G12" s="16"/>
      <c r="H12" s="16" t="str">
        <f t="shared" ref="H12:H17" ca="1" si="56">IF(D12="Pendiente","-",INDEX($BZ$6:$BZ$53,MATCH($AA12,$BD$6:$BD$53,0)))</f>
        <v>P.3 (2)</v>
      </c>
      <c r="I12" s="16" t="str">
        <f t="shared" ref="I12:I17" ca="1" si="57">IF(D12="Pendiente","-",INDEX($BZ$6:$BZ$53,MATCH($AF12,$BD$6:$BD$53,0)))</f>
        <v>-</v>
      </c>
      <c r="J12" s="16"/>
      <c r="K12" s="16" t="str">
        <f t="shared" ref="K12:K17" ca="1" si="58">IF(D12="Pendiente","-",INDEX($CE$6:$CE$53,MATCH($AA12,$BD$6:$BD$53,0)))</f>
        <v>P.3 (2)</v>
      </c>
      <c r="L12" s="16" t="str">
        <f t="shared" ref="L12:L17" ca="1" si="59">IF(D12="Pendiente","-",INDEX($CE$6:$CE$53,MATCH($AF12,$BD$6:$BD$53,0)))</f>
        <v>-</v>
      </c>
      <c r="M12" s="16"/>
      <c r="N12" s="16" t="str">
        <f t="shared" ref="N12:N17" ca="1" si="60">IF(D12="Pendiente","-",INDEX($CH$6:$CH$53,MATCH($AA12,$BD$6:$BD$53,0)))</f>
        <v>P.3 (2)</v>
      </c>
      <c r="O12" s="16" t="str">
        <f t="shared" ref="O12:O17" ca="1" si="61">IF(D12="Pendiente","-",INDEX($CH$6:$CH$53,MATCH($AF12,$BD$6:$BD$53,0)))</f>
        <v>-</v>
      </c>
      <c r="P12" s="16"/>
      <c r="Q12" s="16" t="str">
        <f t="shared" ref="Q12:Q17" ca="1" si="62">IF(D12="Pendiente","-",INDEX($CN$6:$CN$53,MATCH($AA12,$BD$6:$BD$53,0)))</f>
        <v>P.3 (2)</v>
      </c>
      <c r="R12" s="16" t="str">
        <f t="shared" ref="R12:R17" ca="1" si="63">IF(D12="Pendiente","-",INDEX($CN$6:$CN$53,MATCH($AF12,$BD$6:$BD$53,0)))</f>
        <v>-</v>
      </c>
      <c r="S12" s="16"/>
      <c r="T12" s="16" t="str">
        <f t="shared" ref="T12:T17" ca="1" si="64">IF(D12="Pendiente","-",INDEX($CS$6:$CS$53,MATCH($AA12,$BD$6:$BD$53,0)))</f>
        <v>P.3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1</v>
      </c>
      <c r="AD12" s="51">
        <v>3</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¡EMPATE! Puedes seleccionar el orden de los empatados.</v>
      </c>
      <c r="AW12" s="173"/>
      <c r="AX12" s="173"/>
      <c r="AY12" s="154"/>
      <c r="AZ12" s="155"/>
      <c r="BA12" s="176"/>
      <c r="BC12" s="16" t="str">
        <f ca="1">+INDEX(T_Equipos[Grupo],MATCH(WORLDCUP!BD12,T_Equipos[NombreEquipo],0))</f>
        <v>B</v>
      </c>
      <c r="BD12" s="16" t="str">
        <f ca="1">+Equipos!B8</f>
        <v>Catar</v>
      </c>
      <c r="BE12" s="16">
        <f t="shared" ca="1" si="16"/>
        <v>4</v>
      </c>
      <c r="BF12" s="16">
        <f t="shared" ca="1" si="41"/>
        <v>3</v>
      </c>
      <c r="BG12" s="16">
        <f t="shared" ca="1" si="17"/>
        <v>1</v>
      </c>
      <c r="BH12" s="16">
        <f t="shared" ca="1" si="18"/>
        <v>1</v>
      </c>
      <c r="BI12" s="16">
        <f t="shared" ca="1" si="19"/>
        <v>1</v>
      </c>
      <c r="BJ12" s="16">
        <f t="shared" ca="1" si="20"/>
        <v>3</v>
      </c>
      <c r="BK12" s="16">
        <f t="shared" ca="1" si="21"/>
        <v>3</v>
      </c>
      <c r="BL12" s="16">
        <f t="shared" ca="1" si="42"/>
        <v>0</v>
      </c>
      <c r="BM12" s="16" t="str">
        <f t="shared" ca="1" si="22"/>
        <v>2B</v>
      </c>
      <c r="BN12" s="16" t="str">
        <f t="shared" ca="1" si="23"/>
        <v>2B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4</v>
      </c>
      <c r="BS12" s="16">
        <f ca="1">BP12+COUNTIFS($BQ$6:$BQ$53,BQ12,$BR$6:BR$53,"&gt;"&amp;BR12,$BC$6:$BC$53,INDEX(T_Equipos[Grupo],MATCH(BD12,T_Equipos[NombreEquipo],0)))</f>
        <v>2</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2</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2</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2</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2</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2</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2</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2</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2</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2</v>
      </c>
      <c r="DE12" s="16"/>
      <c r="DF12" s="16">
        <f t="shared" ca="1" si="52"/>
        <v>2</v>
      </c>
      <c r="DG12" s="16" t="str">
        <f ca="1">IF(DB12="-","-",COUNTIFS(DF$6:DF$53,"&lt;"&amp;DF12,$BC$6:$BC$53,INDEX(T_Equipos[Grupo],MATCH(BD12,T_Equipos[NombreEquipo],0))))</f>
        <v>-</v>
      </c>
      <c r="DH12" s="16">
        <f ca="1">DA12+COUNTIFS(DB$6:DB$53,DB12,DG$6:DG$53,"&lt;"&amp;DG12,$BC$6:$BC$53,INDEX(T_Equipos[Grupo],MATCH(BD12,T_Equipos[NombreEquipo],0)))</f>
        <v>2</v>
      </c>
      <c r="DI12" s="16"/>
      <c r="DJ12" s="16">
        <f t="shared" ca="1" si="38"/>
        <v>3</v>
      </c>
      <c r="DK12" s="16">
        <f t="shared" ca="1" si="39"/>
        <v>12</v>
      </c>
      <c r="DL12" s="16">
        <f t="shared" ca="1" si="40"/>
        <v>2</v>
      </c>
      <c r="DM12" s="16" t="str">
        <f t="shared" ca="1" si="46"/>
        <v>3.2</v>
      </c>
      <c r="DN12" s="16" t="e" cm="1" vm="7">
        <f t="array" aca="1" ref="DN12" ca="1">OFFSET(Horarios!$P$3,DJ12-1,0,DL12,1)</f>
        <v>#VALUE!</v>
      </c>
      <c r="DO12" s="16"/>
      <c r="DP12" s="16" t="s">
        <v>91</v>
      </c>
      <c r="DQ12" s="16" t="str">
        <f t="shared" ca="1" si="47"/>
        <v>Canadá</v>
      </c>
    </row>
    <row r="13" spans="1:121" ht="16" customHeight="1" x14ac:dyDescent="0.2">
      <c r="A13" s="16" t="str">
        <f ca="1">+Equipos!B6</f>
        <v>Canadá</v>
      </c>
      <c r="B13" s="16"/>
      <c r="C13" s="16"/>
      <c r="D13" s="16" t="str">
        <f t="shared" si="53"/>
        <v>Local</v>
      </c>
      <c r="E13" s="16" t="str">
        <f t="shared" ca="1" si="54"/>
        <v>-</v>
      </c>
      <c r="F13" s="16" t="str">
        <f t="shared" ca="1" si="55"/>
        <v>P.3 (2)</v>
      </c>
      <c r="G13" s="16"/>
      <c r="H13" s="16" t="str">
        <f t="shared" ca="1" si="56"/>
        <v>-</v>
      </c>
      <c r="I13" s="16" t="str">
        <f t="shared" ca="1" si="57"/>
        <v>P.3 (2)</v>
      </c>
      <c r="J13" s="16"/>
      <c r="K13" s="16" t="str">
        <f t="shared" ca="1" si="58"/>
        <v>-</v>
      </c>
      <c r="L13" s="16" t="str">
        <f t="shared" ca="1" si="59"/>
        <v>P.3 (2)</v>
      </c>
      <c r="M13" s="16"/>
      <c r="N13" s="16" t="str">
        <f t="shared" ca="1" si="60"/>
        <v>-</v>
      </c>
      <c r="O13" s="16" t="str">
        <f t="shared" ca="1" si="61"/>
        <v>P.3 (2)</v>
      </c>
      <c r="P13" s="16"/>
      <c r="Q13" s="16" t="str">
        <f t="shared" ca="1" si="62"/>
        <v>-</v>
      </c>
      <c r="R13" s="16" t="str">
        <f t="shared" ca="1" si="63"/>
        <v>P.3 (2)</v>
      </c>
      <c r="S13" s="16"/>
      <c r="T13" s="16" t="str">
        <f t="shared" ca="1" si="64"/>
        <v>-</v>
      </c>
      <c r="U13" s="16" t="str">
        <f t="shared" ca="1" si="65"/>
        <v>P.3 (2)</v>
      </c>
      <c r="V13" s="17"/>
      <c r="W13" s="670"/>
      <c r="X13" s="24">
        <f ca="1">Horarios!C13</f>
        <v>46186.875</v>
      </c>
      <c r="Y13" s="25">
        <f ca="1">Horarios!C13</f>
        <v>46186.875</v>
      </c>
      <c r="Z13" s="26" t="str">
        <f>$Z$4</f>
        <v>J1</v>
      </c>
      <c r="AA13" s="27" t="str">
        <f ca="1">A15</f>
        <v>Catar</v>
      </c>
      <c r="AB13" s="49" t="e" cm="1" vm="8">
        <f t="array" aca="1" ref="AB13" ca="1">Ver_flag_local</f>
        <v>#VALUE!</v>
      </c>
      <c r="AC13" s="50">
        <v>2</v>
      </c>
      <c r="AD13" s="51">
        <v>0</v>
      </c>
      <c r="AE13" s="595" t="e" cm="1" vm="9">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2</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2</v>
      </c>
      <c r="BF13" s="16">
        <f t="shared" ca="1" si="41"/>
        <v>3</v>
      </c>
      <c r="BG13" s="16">
        <f t="shared" ca="1" si="17"/>
        <v>0</v>
      </c>
      <c r="BH13" s="16">
        <f t="shared" ca="1" si="18"/>
        <v>2</v>
      </c>
      <c r="BI13" s="16">
        <f t="shared" ca="1" si="19"/>
        <v>1</v>
      </c>
      <c r="BJ13" s="16">
        <f t="shared" ca="1" si="20"/>
        <v>3</v>
      </c>
      <c r="BK13" s="16">
        <f t="shared" ca="1" si="21"/>
        <v>5</v>
      </c>
      <c r="BL13" s="16">
        <f t="shared" ca="1" si="42"/>
        <v>-2</v>
      </c>
      <c r="BM13" s="16" t="str">
        <f t="shared" ca="1" si="22"/>
        <v>4B</v>
      </c>
      <c r="BN13" s="16" t="str">
        <f t="shared" ca="1" si="23"/>
        <v>4B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2</v>
      </c>
      <c r="BS13" s="16">
        <f ca="1">BP13+COUNTIFS($BQ$6:$BQ$53,BQ13,$BR$6:BR$53,"&gt;"&amp;BR13,$BC$6:$BC$53,INDEX(T_Equipos[Grupo],MATCH(BD13,T_Equipos[NombreEquipo],0)))</f>
        <v>3</v>
      </c>
      <c r="BT13" s="16" t="str">
        <f ca="1">IF(COUNTIFS($BS$6:$BS$53,BS13,$BC$6:$BC$53,INDEX(T_Equipos[Grupo],MATCH(BD13,T_Equipos[NombreEquipo],0)))=1,"-","P."&amp;BS13&amp;" ("&amp;COUNTIFS($BS$6:$BS$53,BS13,$BC$6:$BC$53,INDEX(T_Equipos[Grupo],MATCH(BD13,T_Equipos[NombreEquipo],0)))&amp;")")</f>
        <v>P.3 (2)</v>
      </c>
      <c r="BU13" s="16">
        <f t="shared" ca="1" si="24"/>
        <v>0</v>
      </c>
      <c r="BV13" s="16">
        <f t="shared" ca="1" si="25"/>
        <v>1</v>
      </c>
      <c r="BW13" s="16">
        <f t="shared" ca="1" si="26"/>
        <v>0</v>
      </c>
      <c r="BX13" s="16">
        <f t="shared" ca="1" si="48"/>
        <v>1</v>
      </c>
      <c r="BY13" s="16">
        <f ca="1">BS13+COUNTIFS($BT$6:$BT$53,BT13,$BX$6:BX$53,"&gt;"&amp;BX13,$BC$6:$BC$53,INDEX(T_Equipos[Grupo],MATCH(BD13,T_Equipos[NombreEquipo],0)))</f>
        <v>3</v>
      </c>
      <c r="BZ13" s="16" t="str">
        <f ca="1">IF(COUNTIFS($BY$6:$BY$53,BY13,$BC$6:$BC$53,INDEX(T_Equipos[Grupo],MATCH(BD13,T_Equipos[NombreEquipo],0)))=1,"-","P."&amp;BY13&amp;" ("&amp;COUNTIFS($BY$6:$BY$53,BY13,$BC$6:$BC$53,INDEX(T_Equipos[Grupo],MATCH(BD13,T_Equipos[NombreEquipo],0)))&amp;")")</f>
        <v>P.3 (2)</v>
      </c>
      <c r="CA13" s="16">
        <f t="shared" ca="1" si="27"/>
        <v>1</v>
      </c>
      <c r="CB13" s="16">
        <f t="shared" ca="1" si="28"/>
        <v>1</v>
      </c>
      <c r="CC13" s="16">
        <f t="shared" ca="1" si="49"/>
        <v>0</v>
      </c>
      <c r="CD13" s="16">
        <f ca="1">BY13+COUNTIFS($BZ$6:$BZ$53,BZ13,$CC$6:CC$53,"&gt;"&amp;CC13,$BC$6:$BC$53,INDEX(T_Equipos[Grupo],MATCH(BD13,T_Equipos[NombreEquipo],0)))</f>
        <v>3</v>
      </c>
      <c r="CE13" s="16" t="str">
        <f ca="1">IF(COUNTIFS($CD$6:$CD$53,CD13,$BC$6:$BC$53,INDEX(T_Equipos[Grupo],MATCH(BD13,T_Equipos[NombreEquipo],0)))=1,"-","P."&amp;CD13&amp;" ("&amp;COUNTIFS($CD$6:$CD$53,CD13,$BC$6:$BC$53,INDEX(T_Equipos[Grupo],MATCH(BD13,T_Equipos[NombreEquipo],0)))&amp;")")</f>
        <v>P.3 (2)</v>
      </c>
      <c r="CF13" s="16">
        <f t="shared" ca="1" si="29"/>
        <v>1</v>
      </c>
      <c r="CG13" s="16">
        <f ca="1">CD13+COUNTIFS($CE$6:$CE$53,CE13,$CF$6:CF$53,"&gt;"&amp;CF13,$BC$6:$BC$53,INDEX(T_Equipos[Grupo],MATCH(BD13,T_Equipos[NombreEquipo],0)))</f>
        <v>3</v>
      </c>
      <c r="CH13" s="16" t="str">
        <f ca="1">IF(COUNTIFS($CG$6:$CG$53,CG13,$BC$6:$BC$53,INDEX(T_Equipos[Grupo],MATCH(BD13,T_Equipos[NombreEquipo],0)))=1,"-","P."&amp;CG13&amp;" ("&amp;COUNTIFS($CG$6:$CG$53,CG13,$BC$6:$BC$53,INDEX(T_Equipos[Grupo],MATCH(BD13,T_Equipos[NombreEquipo],0)))&amp;")")</f>
        <v>P.3 (2)</v>
      </c>
      <c r="CI13" s="16">
        <f t="shared" ca="1" si="30"/>
        <v>0</v>
      </c>
      <c r="CJ13" s="16">
        <f t="shared" ca="1" si="31"/>
        <v>1</v>
      </c>
      <c r="CK13" s="16">
        <f t="shared" ca="1" si="32"/>
        <v>0</v>
      </c>
      <c r="CL13" s="16">
        <f t="shared" ca="1" si="50"/>
        <v>1</v>
      </c>
      <c r="CM13" s="16">
        <f ca="1">CG13+COUNTIFS($CH$6:$CH$53,CH13,$CL$6:CL$53,"&gt;"&amp;CL13,$BC$6:$BC$53,INDEX(T_Equipos[Grupo],MATCH(BD13,T_Equipos[NombreEquipo],0)))</f>
        <v>3</v>
      </c>
      <c r="CN13" s="16" t="str">
        <f ca="1">IF(COUNTIFS($CM$6:$CM$53,CM13,$BC$6:$BC$53,INDEX(T_Equipos[Grupo],MATCH(BD13,T_Equipos[NombreEquipo],0)))=1,"-","P."&amp;CM13&amp;" ("&amp;COUNTIFS($CM$6:$CM$53,CM13,$BC$6:$BC$53,INDEX(T_Equipos[Grupo],MATCH(BD13,T_Equipos[NombreEquipo],0)))&amp;")")</f>
        <v>P.3 (2)</v>
      </c>
      <c r="CO13" s="16">
        <f t="shared" ca="1" si="33"/>
        <v>1</v>
      </c>
      <c r="CP13" s="16">
        <f t="shared" ca="1" si="34"/>
        <v>1</v>
      </c>
      <c r="CQ13" s="16">
        <f t="shared" ca="1" si="51"/>
        <v>0</v>
      </c>
      <c r="CR13" s="16">
        <f ca="1">CM13+COUNTIFS($CN$6:$CN$53,CN13,$CQ$6:CQ$53,"&gt;"&amp;CQ13,$BC$6:$BC$53,INDEX(T_Equipos[Grupo],MATCH(BD13,T_Equipos[NombreEquipo],0)))</f>
        <v>3</v>
      </c>
      <c r="CS13" s="16" t="str">
        <f ca="1">IF(COUNTIFS($CR$6:$CR$53,CR13,$BC$6:$BC$53,INDEX(T_Equipos[Grupo],MATCH(BD13,T_Equipos[NombreEquipo],0)))=1,"-","P."&amp;CR13&amp;" ("&amp;COUNTIFS($CR$6:$CR$53,CR13,$BC$6:$BC$53,INDEX(T_Equipos[Grupo],MATCH(BD13,T_Equipos[NombreEquipo],0)))&amp;")")</f>
        <v>P.3 (2)</v>
      </c>
      <c r="CT13" s="16">
        <f t="shared" ca="1" si="35"/>
        <v>1</v>
      </c>
      <c r="CU13" s="16">
        <f ca="1">CR13+COUNTIFS($CS$6:$CS$53,CS13,$CT$6:CT$53,"&gt;"&amp;CT13,$BC$6:$BC$53,INDEX(T_Equipos[Grupo],MATCH(BD13,T_Equipos[NombreEquipo],0)))</f>
        <v>3</v>
      </c>
      <c r="CV13" s="16" t="str">
        <f ca="1">IF(COUNTIFS($CU$6:$CU$53,CU13,$BC$6:$BC$53,INDEX(T_Equipos[Grupo],MATCH(BD13,T_Equipos[NombreEquipo],0)))=1,"-","P."&amp;CU13&amp;" ("&amp;COUNTIFS($CU$6:$CU$53,CU13,$BC$6:$BC$53,INDEX(T_Equipos[Grupo],MATCH(BD13,T_Equipos[NombreEquipo],0)))&amp;")")</f>
        <v>P.3 (2)</v>
      </c>
      <c r="CW13" s="16">
        <f t="shared" ca="1" si="36"/>
        <v>-2</v>
      </c>
      <c r="CX13" s="16">
        <f ca="1">CU13+COUNTIFS($CV$6:$CV$53,CV13,$CW$6:CW$53,"&gt;"&amp;CW13,$BC$6:$BC$53,INDEX(T_Equipos[Grupo],MATCH(BD13,T_Equipos[NombreEquipo],0)))</f>
        <v>3</v>
      </c>
      <c r="CY13" s="16" t="str">
        <f ca="1">IF(COUNTIFS($CX$6:$CX$53,CX13,$BC$6:$BC$53,INDEX(T_Equipos[Grupo],MATCH(BD13,T_Equipos[NombreEquipo],0)))=1,"-","P."&amp;CX13&amp;" ("&amp;COUNTIFS($CX$6:$CX$53,CX13,$BC$6:$BC$53,INDEX(T_Equipos[Grupo],MATCH(BD13,T_Equipos[NombreEquipo],0)))&amp;")")</f>
        <v>P.3 (2)</v>
      </c>
      <c r="CZ13" s="16">
        <f t="shared" ca="1" si="37"/>
        <v>3</v>
      </c>
      <c r="DA13" s="16">
        <f ca="1">CX13+COUNTIFS($CY$6:$CY$53,CY13,$CZ$6:CZ$53,"&gt;"&amp;CZ13,$BC$6:$BC$53,INDEX(T_Equipos[Grupo],MATCH(BD13,T_Equipos[NombreEquipo],0)))</f>
        <v>3</v>
      </c>
      <c r="DB13" s="16" t="str">
        <f ca="1">IF(COUNTIFS($DA$6:$DA$53,DA13,$BC$6:$BC$53,INDEX(T_Equipos[Grupo],MATCH(BD13,T_Equipos[NombreEquipo],0)))=1,"-","P."&amp;DA13&amp;" ("&amp;COUNTIFS($DA$6:$DA$53,DA13,$BC$6:$BC$53,INDEX(T_Equipos[Grupo],MATCH(BD13,T_Equipos[NombreEquipo],0)))&amp;")")</f>
        <v>P.3 (2)</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52"/>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38"/>
        <v>3</v>
      </c>
      <c r="DK13" s="16">
        <f t="shared" ca="1" si="39"/>
        <v>12</v>
      </c>
      <c r="DL13" s="16">
        <f t="shared" ca="1" si="40"/>
        <v>2</v>
      </c>
      <c r="DM13" s="16" t="str">
        <f t="shared" ca="1" si="46"/>
        <v>3.2</v>
      </c>
      <c r="DN13" s="16" t="e" cm="1" vm="7">
        <f t="array" aca="1" ref="DN13" ca="1">OFFSET(Horarios!$P$3,DJ13-1,0,DL13,1)</f>
        <v>#VALUE!</v>
      </c>
      <c r="DO13" s="16"/>
      <c r="DP13" s="16" t="s">
        <v>661</v>
      </c>
      <c r="DQ13" s="16" t="str">
        <f t="shared" ca="1" si="47"/>
        <v>Suiza</v>
      </c>
    </row>
    <row r="14" spans="1:121" ht="16" customHeight="1" x14ac:dyDescent="0.2">
      <c r="A14" s="16" t="str">
        <f ca="1">+Equipos!B7</f>
        <v>Bosnia y Herzegovina</v>
      </c>
      <c r="B14" s="16"/>
      <c r="C14" s="16"/>
      <c r="D14" s="16" t="str">
        <f t="shared" si="53"/>
        <v>Empate</v>
      </c>
      <c r="E14" s="16" t="str">
        <f t="shared" ca="1" si="54"/>
        <v>P.3 (2)</v>
      </c>
      <c r="F14" s="16" t="str">
        <f t="shared" ca="1" si="55"/>
        <v>-</v>
      </c>
      <c r="G14" s="16"/>
      <c r="H14" s="16" t="str">
        <f t="shared" ca="1" si="56"/>
        <v>P.3 (2)</v>
      </c>
      <c r="I14" s="16" t="str">
        <f t="shared" ca="1" si="57"/>
        <v>-</v>
      </c>
      <c r="J14" s="16"/>
      <c r="K14" s="16" t="str">
        <f t="shared" ca="1" si="58"/>
        <v>P.3 (2)</v>
      </c>
      <c r="L14" s="16" t="str">
        <f t="shared" ca="1" si="59"/>
        <v>-</v>
      </c>
      <c r="M14" s="16"/>
      <c r="N14" s="16" t="str">
        <f t="shared" ca="1" si="60"/>
        <v>P.3 (2)</v>
      </c>
      <c r="O14" s="16" t="str">
        <f t="shared" ca="1" si="61"/>
        <v>-</v>
      </c>
      <c r="P14" s="16"/>
      <c r="Q14" s="16" t="str">
        <f t="shared" ca="1" si="62"/>
        <v>P.3 (2)</v>
      </c>
      <c r="R14" s="16" t="str">
        <f t="shared" ca="1" si="63"/>
        <v>-</v>
      </c>
      <c r="S14" s="16"/>
      <c r="T14" s="16" t="str">
        <f t="shared" ca="1" si="64"/>
        <v>P.3 (2)</v>
      </c>
      <c r="U14" s="16" t="str">
        <f t="shared" ca="1" si="65"/>
        <v>-</v>
      </c>
      <c r="V14" s="17"/>
      <c r="W14" s="670"/>
      <c r="X14" s="24">
        <f ca="1">Horarios!C14</f>
        <v>46191.875</v>
      </c>
      <c r="Y14" s="25">
        <f ca="1">Horarios!C14</f>
        <v>46191.875</v>
      </c>
      <c r="Z14" s="26" t="str">
        <f>$Z$6</f>
        <v>J2</v>
      </c>
      <c r="AA14" s="27" t="str">
        <f ca="1">A16</f>
        <v>Suiza</v>
      </c>
      <c r="AB14" s="49" t="e" cm="1" vm="9">
        <f t="array" aca="1" ref="AB14" ca="1">Ver_flag_local</f>
        <v>#VALUE!</v>
      </c>
      <c r="AC14" s="50">
        <v>2</v>
      </c>
      <c r="AD14" s="51">
        <v>2</v>
      </c>
      <c r="AE14" s="595" t="e" cm="1" vm="6">
        <f t="array" aca="1" ref="AE14" ca="1">Ver_flag_visit</f>
        <v>#VALUE!</v>
      </c>
      <c r="AF14" s="32" t="str">
        <f ca="1">A14</f>
        <v>Bosnia y Herzegovina</v>
      </c>
      <c r="AG14" s="323">
        <f t="shared" si="66"/>
        <v>1</v>
      </c>
      <c r="AH14" s="195">
        <v>26</v>
      </c>
      <c r="AI14" s="181" t="str">
        <f>AJ14&amp;$B$12</f>
        <v>1B</v>
      </c>
      <c r="AJ14" s="71">
        <v>1</v>
      </c>
      <c r="AK14" s="601" t="e" cm="1" vm="6">
        <f t="array" aca="1" ref="AK14" ca="1">Ver_flag_visit</f>
        <v>#VALUE!</v>
      </c>
      <c r="AL14" s="34" t="str">
        <f ca="1">IFERROR(INDEX($BD$6:$BD$53,MATCH(AI14,$BN$6:$BN$53,0)),"")</f>
        <v>Bosnia y Herzegovina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Bosnia y Herzegovina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1</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Empate</v>
      </c>
      <c r="E15" s="16" t="str">
        <f t="shared" ca="1" si="54"/>
        <v>P.3 (2)</v>
      </c>
      <c r="F15" s="16" t="str">
        <f t="shared" ca="1" si="55"/>
        <v>-</v>
      </c>
      <c r="G15" s="16"/>
      <c r="H15" s="16" t="str">
        <f t="shared" ca="1" si="56"/>
        <v>P.3 (2)</v>
      </c>
      <c r="I15" s="16" t="str">
        <f t="shared" ca="1" si="57"/>
        <v>-</v>
      </c>
      <c r="J15" s="16"/>
      <c r="K15" s="16" t="str">
        <f t="shared" ca="1" si="58"/>
        <v>P.3 (2)</v>
      </c>
      <c r="L15" s="16" t="str">
        <f t="shared" ca="1" si="59"/>
        <v>-</v>
      </c>
      <c r="M15" s="16"/>
      <c r="N15" s="16" t="str">
        <f t="shared" ca="1" si="60"/>
        <v>P.3 (2)</v>
      </c>
      <c r="O15" s="16" t="str">
        <f t="shared" ca="1" si="61"/>
        <v>-</v>
      </c>
      <c r="P15" s="16"/>
      <c r="Q15" s="16" t="str">
        <f t="shared" ca="1" si="62"/>
        <v>P.3 (2)</v>
      </c>
      <c r="R15" s="16" t="str">
        <f t="shared" ca="1" si="63"/>
        <v>-</v>
      </c>
      <c r="S15" s="16"/>
      <c r="T15" s="16" t="str">
        <f t="shared" ca="1" si="64"/>
        <v>P.3 (2)</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1</v>
      </c>
      <c r="AD15" s="51">
        <v>1</v>
      </c>
      <c r="AE15" s="595" t="e" cm="1" vm="8">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Catar</v>
      </c>
      <c r="AM15" s="38">
        <f t="shared" ca="1" si="69"/>
        <v>4</v>
      </c>
      <c r="AN15" s="39">
        <f t="shared" ca="1" si="69"/>
        <v>3</v>
      </c>
      <c r="AO15" s="39">
        <f t="shared" ca="1" si="69"/>
        <v>1</v>
      </c>
      <c r="AP15" s="39">
        <f t="shared" ca="1" si="69"/>
        <v>1</v>
      </c>
      <c r="AQ15" s="39">
        <f t="shared" ca="1" si="69"/>
        <v>1</v>
      </c>
      <c r="AR15" s="39">
        <f t="shared" ca="1" si="69"/>
        <v>3</v>
      </c>
      <c r="AS15" s="39">
        <f t="shared" ca="1" si="69"/>
        <v>3</v>
      </c>
      <c r="AT15" s="74">
        <f t="shared" ca="1" si="69"/>
        <v>0</v>
      </c>
      <c r="AU15" s="330">
        <f ca="1">INDEX($DL$6:$DL$53,MATCH(AI15,$DP$6:$DP$53,0))</f>
        <v>1</v>
      </c>
      <c r="AV15" s="182" t="str">
        <f ca="1">INDEX($BD$6:$BD$53,MATCH(AI15,$BM$6:$BM$53,0))</f>
        <v>Catar</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Empate</v>
      </c>
      <c r="E16" s="16" t="str">
        <f t="shared" ca="1" si="54"/>
        <v>P.3 (2)</v>
      </c>
      <c r="F16" s="16" t="str">
        <f t="shared" ca="1" si="55"/>
        <v>P.3 (2)</v>
      </c>
      <c r="G16" s="16"/>
      <c r="H16" s="16" t="str">
        <f t="shared" ca="1" si="56"/>
        <v>P.3 (2)</v>
      </c>
      <c r="I16" s="16" t="str">
        <f t="shared" ca="1" si="57"/>
        <v>P.3 (2)</v>
      </c>
      <c r="J16" s="16"/>
      <c r="K16" s="16" t="str">
        <f t="shared" ca="1" si="58"/>
        <v>P.3 (2)</v>
      </c>
      <c r="L16" s="16" t="str">
        <f t="shared" ca="1" si="59"/>
        <v>P.3 (2)</v>
      </c>
      <c r="M16" s="16"/>
      <c r="N16" s="16" t="str">
        <f t="shared" ca="1" si="60"/>
        <v>P.3 (2)</v>
      </c>
      <c r="O16" s="16" t="str">
        <f t="shared" ca="1" si="61"/>
        <v>P.3 (2)</v>
      </c>
      <c r="P16" s="16"/>
      <c r="Q16" s="16" t="str">
        <f t="shared" ca="1" si="62"/>
        <v>P.3 (2)</v>
      </c>
      <c r="R16" s="16" t="str">
        <f t="shared" ca="1" si="63"/>
        <v>P.3 (2)</v>
      </c>
      <c r="S16" s="16"/>
      <c r="T16" s="16" t="str">
        <f t="shared" ca="1" si="64"/>
        <v>P.3 (2)</v>
      </c>
      <c r="U16" s="16" t="str">
        <f t="shared" ca="1" si="65"/>
        <v>P.3 (2)</v>
      </c>
      <c r="V16" s="17"/>
      <c r="W16" s="670"/>
      <c r="X16" s="24">
        <f ca="1">Horarios!C16</f>
        <v>46197.875</v>
      </c>
      <c r="Y16" s="25">
        <f ca="1">Horarios!C16</f>
        <v>46197.875</v>
      </c>
      <c r="Z16" s="26" t="str">
        <f>$Z$8</f>
        <v>J3</v>
      </c>
      <c r="AA16" s="27" t="str">
        <f ca="1">A16</f>
        <v>Suiza</v>
      </c>
      <c r="AB16" s="49" t="e" cm="1" vm="9">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5">
        <f t="array" aca="1" ref="AK16" ca="1">Ver_flag_visit</f>
        <v>#VALUE!</v>
      </c>
      <c r="AL16" s="37" t="str">
        <f ca="1">IFERROR(INDEX($BD$6:$BD$53,MATCH(AI16,$BN$6:$BN$53,0)),"")</f>
        <v>Canadá</v>
      </c>
      <c r="AM16" s="38">
        <f t="shared" ca="1" si="69"/>
        <v>2</v>
      </c>
      <c r="AN16" s="39">
        <f t="shared" ca="1" si="69"/>
        <v>3</v>
      </c>
      <c r="AO16" s="39">
        <f t="shared" ca="1" si="69"/>
        <v>0</v>
      </c>
      <c r="AP16" s="39">
        <f t="shared" ca="1" si="69"/>
        <v>2</v>
      </c>
      <c r="AQ16" s="39">
        <f t="shared" ca="1" si="69"/>
        <v>1</v>
      </c>
      <c r="AR16" s="39">
        <f t="shared" ca="1" si="69"/>
        <v>3</v>
      </c>
      <c r="AS16" s="39">
        <f t="shared" ca="1" si="69"/>
        <v>5</v>
      </c>
      <c r="AT16" s="74">
        <f t="shared" ca="1" si="69"/>
        <v>-2</v>
      </c>
      <c r="AU16" s="330">
        <f ca="1">INDEX($DL$6:$DL$53,MATCH(AI16,$DP$6:$DP$53,0))</f>
        <v>2</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1</v>
      </c>
      <c r="BF16" s="16">
        <f t="shared" ca="1" si="41"/>
        <v>3</v>
      </c>
      <c r="BG16" s="16">
        <f t="shared" ca="1" si="17"/>
        <v>0</v>
      </c>
      <c r="BH16" s="16">
        <f t="shared" ca="1" si="18"/>
        <v>1</v>
      </c>
      <c r="BI16" s="16">
        <f t="shared" ca="1" si="19"/>
        <v>2</v>
      </c>
      <c r="BJ16" s="16">
        <f t="shared" ca="1" si="20"/>
        <v>1</v>
      </c>
      <c r="BK16" s="16">
        <f t="shared" ca="1" si="21"/>
        <v>6</v>
      </c>
      <c r="BL16" s="16">
        <f t="shared" ca="1" si="42"/>
        <v>-5</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1</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P.3 (2)</v>
      </c>
      <c r="BU16" s="16">
        <f t="shared" ca="1" si="24"/>
        <v>0</v>
      </c>
      <c r="BV16" s="16">
        <f t="shared" ca="1" si="25"/>
        <v>1</v>
      </c>
      <c r="BW16" s="16">
        <f t="shared" ca="1" si="26"/>
        <v>0</v>
      </c>
      <c r="BX16" s="16">
        <f t="shared" ca="1" si="48"/>
        <v>1</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P.3 (2)</v>
      </c>
      <c r="CA16" s="16">
        <f t="shared" ca="1" si="27"/>
        <v>0</v>
      </c>
      <c r="CB16" s="16">
        <f t="shared" ca="1" si="28"/>
        <v>0</v>
      </c>
      <c r="CC16" s="16">
        <f t="shared" ca="1" si="49"/>
        <v>0</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P.3 (2)</v>
      </c>
      <c r="CF16" s="16">
        <f t="shared" ca="1" si="29"/>
        <v>0</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P.3 (2)</v>
      </c>
      <c r="CI16" s="16">
        <f t="shared" ca="1" si="30"/>
        <v>0</v>
      </c>
      <c r="CJ16" s="16">
        <f t="shared" ca="1" si="31"/>
        <v>1</v>
      </c>
      <c r="CK16" s="16">
        <f t="shared" ca="1" si="32"/>
        <v>0</v>
      </c>
      <c r="CL16" s="16">
        <f t="shared" ca="1" si="50"/>
        <v>1</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P.3 (2)</v>
      </c>
      <c r="CO16" s="16">
        <f t="shared" ca="1" si="33"/>
        <v>0</v>
      </c>
      <c r="CP16" s="16">
        <f t="shared" ca="1" si="34"/>
        <v>0</v>
      </c>
      <c r="CQ16" s="16">
        <f t="shared" ca="1" si="51"/>
        <v>0</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P.3 (2)</v>
      </c>
      <c r="CT16" s="16">
        <f t="shared" ca="1" si="35"/>
        <v>0</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P.3 (2)</v>
      </c>
      <c r="CW16" s="16">
        <f t="shared" ca="1" si="36"/>
        <v>-5</v>
      </c>
      <c r="CX16" s="16">
        <f ca="1">CU16+COUNTIFS($CV$6:$CV$53,CV16,$CW$6:CW$53,"&gt;"&amp;CW16,$BC$6:$BC$53,INDEX(T_Equipos[Grupo],MATCH(BD16,T_Equipos[NombreEquipo],0)))</f>
        <v>3</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3</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3</v>
      </c>
      <c r="DE16" s="16"/>
      <c r="DF16" s="16">
        <f t="shared" ca="1" si="52"/>
        <v>3</v>
      </c>
      <c r="DG16" s="16" t="str">
        <f ca="1">IF(DB16="-","-",COUNTIFS(DF$6:DF$53,"&lt;"&amp;DF16,$BC$6:$BC$53,INDEX(T_Equipos[Grupo],MATCH(BD16,T_Equipos[NombreEquipo],0))))</f>
        <v>-</v>
      </c>
      <c r="DH16" s="16">
        <f ca="1">DA16+COUNTIFS(DB$6:DB$53,DB16,DG$6:DG$53,"&lt;"&amp;DG16,$BC$6:$BC$53,INDEX(T_Equipos[Grupo],MATCH(BD16,T_Equipos[NombreEquipo],0)))</f>
        <v>3</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Haití</v>
      </c>
    </row>
    <row r="17" spans="1:121" ht="16" customHeight="1" thickBot="1" x14ac:dyDescent="0.25">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2</v>
      </c>
      <c r="AD17" s="54">
        <v>0</v>
      </c>
      <c r="AE17" s="596" t="e" cm="1" vm="8">
        <f t="array" aca="1" ref="AE17" ca="1">Ver_flag_visit</f>
        <v>#VALUE!</v>
      </c>
      <c r="AF17" s="33" t="str">
        <f ca="1">A15</f>
        <v>Catar</v>
      </c>
      <c r="AG17" s="323">
        <f t="shared" si="66"/>
        <v>1</v>
      </c>
      <c r="AH17" s="195">
        <v>52</v>
      </c>
      <c r="AI17" s="181" t="str">
        <f t="shared" si="70"/>
        <v>4B</v>
      </c>
      <c r="AJ17" s="75">
        <v>4</v>
      </c>
      <c r="AK17" s="603" t="e" cm="1" vm="9">
        <f t="array" aca="1" ref="AK17" ca="1">Ver_flag_visit</f>
        <v>#VALUE!</v>
      </c>
      <c r="AL17" s="76" t="str">
        <f ca="1">IFERROR(INDEX($BD$6:$BD$53,MATCH(AI17,$BN$6:$BN$53,0)),"")</f>
        <v>Suiza</v>
      </c>
      <c r="AM17" s="77">
        <f t="shared" ca="1" si="69"/>
        <v>2</v>
      </c>
      <c r="AN17" s="78">
        <f t="shared" ca="1" si="69"/>
        <v>3</v>
      </c>
      <c r="AO17" s="78">
        <f t="shared" ca="1" si="69"/>
        <v>0</v>
      </c>
      <c r="AP17" s="78">
        <f t="shared" ca="1" si="69"/>
        <v>2</v>
      </c>
      <c r="AQ17" s="78">
        <f t="shared" ca="1" si="69"/>
        <v>1</v>
      </c>
      <c r="AR17" s="78">
        <f t="shared" ca="1" si="69"/>
        <v>3</v>
      </c>
      <c r="AS17" s="78">
        <f t="shared" ca="1" si="69"/>
        <v>5</v>
      </c>
      <c r="AT17" s="79">
        <f t="shared" ca="1" si="69"/>
        <v>-2</v>
      </c>
      <c r="AU17" s="330">
        <f ca="1">INDEX($DL$6:$DL$53,MATCH(AI17,$DP$6:$DP$53,0))</f>
        <v>2</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1</v>
      </c>
      <c r="BF17" s="16">
        <f t="shared" ca="1" si="41"/>
        <v>3</v>
      </c>
      <c r="BG17" s="16">
        <f t="shared" ca="1" si="17"/>
        <v>0</v>
      </c>
      <c r="BH17" s="16">
        <f t="shared" ca="1" si="18"/>
        <v>1</v>
      </c>
      <c r="BI17" s="16">
        <f t="shared" ca="1" si="19"/>
        <v>2</v>
      </c>
      <c r="BJ17" s="16">
        <f t="shared" ca="1" si="20"/>
        <v>0</v>
      </c>
      <c r="BK17" s="16">
        <f t="shared" ca="1" si="21"/>
        <v>7</v>
      </c>
      <c r="BL17" s="16">
        <f t="shared" ca="1" si="42"/>
        <v>-7</v>
      </c>
      <c r="BM17" s="16" t="str">
        <f t="shared" ca="1" si="22"/>
        <v>4C</v>
      </c>
      <c r="BN17" s="16" t="str">
        <f t="shared" ca="1" si="23"/>
        <v>4C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1</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P.3 (2)</v>
      </c>
      <c r="BU17" s="16">
        <f t="shared" ca="1" si="24"/>
        <v>0</v>
      </c>
      <c r="BV17" s="16">
        <f t="shared" ca="1" si="25"/>
        <v>1</v>
      </c>
      <c r="BW17" s="16">
        <f t="shared" ca="1" si="26"/>
        <v>0</v>
      </c>
      <c r="BX17" s="16">
        <f t="shared" ca="1" si="48"/>
        <v>1</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P.3 (2)</v>
      </c>
      <c r="CA17" s="16">
        <f t="shared" ca="1" si="27"/>
        <v>0</v>
      </c>
      <c r="CB17" s="16">
        <f t="shared" ca="1" si="28"/>
        <v>0</v>
      </c>
      <c r="CC17" s="16">
        <f t="shared" ca="1" si="49"/>
        <v>0</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P.3 (2)</v>
      </c>
      <c r="CF17" s="16">
        <f t="shared" ca="1" si="29"/>
        <v>0</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P.3 (2)</v>
      </c>
      <c r="CI17" s="16">
        <f t="shared" ca="1" si="30"/>
        <v>0</v>
      </c>
      <c r="CJ17" s="16">
        <f t="shared" ca="1" si="31"/>
        <v>1</v>
      </c>
      <c r="CK17" s="16">
        <f t="shared" ca="1" si="32"/>
        <v>0</v>
      </c>
      <c r="CL17" s="16">
        <f t="shared" ca="1" si="50"/>
        <v>1</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P.3 (2)</v>
      </c>
      <c r="CO17" s="16">
        <f t="shared" ca="1" si="33"/>
        <v>0</v>
      </c>
      <c r="CP17" s="16">
        <f t="shared" ca="1" si="34"/>
        <v>0</v>
      </c>
      <c r="CQ17" s="16">
        <f t="shared" ca="1" si="51"/>
        <v>0</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P.3 (2)</v>
      </c>
      <c r="CT17" s="16">
        <f t="shared" ca="1" si="35"/>
        <v>0</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P.3 (2)</v>
      </c>
      <c r="CW17" s="16">
        <f t="shared" ca="1" si="36"/>
        <v>-7</v>
      </c>
      <c r="CX17" s="16">
        <f ca="1">CU17+COUNTIFS($CV$6:$CV$53,CV17,$CW$6:CW$53,"&gt;"&amp;CW17,$BC$6:$BC$53,INDEX(T_Equipos[Grupo],MATCH(BD17,T_Equipos[NombreEquipo],0)))</f>
        <v>4</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4</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4</v>
      </c>
      <c r="DE17" s="16"/>
      <c r="DF17" s="16">
        <f t="shared" ca="1" si="52"/>
        <v>4</v>
      </c>
      <c r="DG17" s="16" t="str">
        <f ca="1">IF(DB17="-","-",COUNTIFS(DF$6:DF$53,"&lt;"&amp;DF17,$BC$6:$BC$53,INDEX(T_Equipos[Grupo],MATCH(BD17,T_Equipos[NombreEquipo],0))))</f>
        <v>-</v>
      </c>
      <c r="DH17" s="16">
        <f ca="1">DA17+COUNTIFS(DB$6:DB$53,DB17,DG$6:DG$53,"&lt;"&amp;DG17,$BC$6:$BC$53,INDEX(T_Equipos[Grupo],MATCH(BD17,T_Equipos[NombreEquipo],0)))</f>
        <v>4</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4</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5</v>
      </c>
      <c r="BK19" s="16">
        <f t="shared" ca="1" si="21"/>
        <v>6</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e" cm="1" vm="10">
        <f t="array" aca="1" ref="AB20" ca="1">Ver_flag_local</f>
        <v>#VALUE!</v>
      </c>
      <c r="AC20" s="50">
        <v>1</v>
      </c>
      <c r="AD20" s="51">
        <v>1</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3</v>
      </c>
      <c r="BK20" s="16">
        <f t="shared" ca="1" si="21"/>
        <v>6</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x14ac:dyDescent="0.2">
      <c r="A21" s="16" t="str">
        <f ca="1">+Equipos!B10</f>
        <v>Brasil</v>
      </c>
      <c r="B21" s="16"/>
      <c r="C21" s="16"/>
      <c r="D21" s="16" t="str">
        <f t="shared" si="71"/>
        <v>Empate</v>
      </c>
      <c r="E21" s="16" t="str">
        <f t="shared" ca="1" si="72"/>
        <v>P.3 (2)</v>
      </c>
      <c r="F21" s="16" t="str">
        <f t="shared" ca="1" si="73"/>
        <v>P.3 (2)</v>
      </c>
      <c r="G21" s="16"/>
      <c r="H21" s="16" t="str">
        <f t="shared" ca="1" si="74"/>
        <v>P.3 (2)</v>
      </c>
      <c r="I21" s="16" t="str">
        <f t="shared" ca="1" si="75"/>
        <v>P.3 (2)</v>
      </c>
      <c r="J21" s="16"/>
      <c r="K21" s="16" t="str">
        <f t="shared" ca="1" si="76"/>
        <v>P.3 (2)</v>
      </c>
      <c r="L21" s="16" t="str">
        <f t="shared" ca="1" si="77"/>
        <v>P.3 (2)</v>
      </c>
      <c r="M21" s="16"/>
      <c r="N21" s="16" t="str">
        <f t="shared" ca="1" si="78"/>
        <v>P.3 (2)</v>
      </c>
      <c r="O21" s="16" t="str">
        <f t="shared" ca="1" si="79"/>
        <v>P.3 (2)</v>
      </c>
      <c r="P21" s="16"/>
      <c r="Q21" s="16" t="str">
        <f t="shared" ca="1" si="80"/>
        <v>P.3 (2)</v>
      </c>
      <c r="R21" s="16" t="str">
        <f t="shared" ca="1" si="81"/>
        <v>P.3 (2)</v>
      </c>
      <c r="S21" s="16"/>
      <c r="T21" s="16" t="str">
        <f t="shared" ca="1" si="82"/>
        <v>P.3 (2)</v>
      </c>
      <c r="U21" s="16" t="str">
        <f t="shared" ca="1" si="83"/>
        <v>P.3 (2)</v>
      </c>
      <c r="V21" s="17"/>
      <c r="W21" s="679"/>
      <c r="X21" s="24">
        <f ca="1">Horarios!C21</f>
        <v>46187.125</v>
      </c>
      <c r="Y21" s="25">
        <f ca="1">Horarios!C21</f>
        <v>46187.125</v>
      </c>
      <c r="Z21" s="26" t="str">
        <f>$Z$4</f>
        <v>J1</v>
      </c>
      <c r="AA21" s="27" t="str">
        <f ca="1">A23</f>
        <v>Haití</v>
      </c>
      <c r="AB21" s="49" t="e" cm="1" vm="12">
        <f t="array" aca="1" ref="AB21" ca="1">Ver_flag_local</f>
        <v>#VALUE!</v>
      </c>
      <c r="AC21" s="50">
        <v>0</v>
      </c>
      <c r="AD21" s="51">
        <v>0</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7</v>
      </c>
      <c r="BK21" s="16">
        <f t="shared" ca="1" si="21"/>
        <v>4</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 customHeight="1" x14ac:dyDescent="0.2">
      <c r="A22" s="16" t="str">
        <f ca="1">+Equipos!B11</f>
        <v>Marruecos</v>
      </c>
      <c r="B22" s="16"/>
      <c r="C22" s="16"/>
      <c r="D22" s="16" t="str">
        <f t="shared" si="71"/>
        <v>Visitante</v>
      </c>
      <c r="E22" s="16" t="str">
        <f t="shared" ca="1" si="72"/>
        <v>P.3 (2)</v>
      </c>
      <c r="F22" s="16" t="str">
        <f t="shared" ca="1" si="73"/>
        <v>P.1 (2)</v>
      </c>
      <c r="G22" s="16"/>
      <c r="H22" s="16" t="str">
        <f t="shared" ca="1" si="74"/>
        <v>P.3 (2)</v>
      </c>
      <c r="I22" s="16" t="str">
        <f t="shared" ca="1" si="75"/>
        <v>P.1 (2)</v>
      </c>
      <c r="J22" s="16"/>
      <c r="K22" s="16" t="str">
        <f t="shared" ca="1" si="76"/>
        <v>P.3 (2)</v>
      </c>
      <c r="L22" s="16" t="str">
        <f t="shared" ca="1" si="77"/>
        <v>P.1 (2)</v>
      </c>
      <c r="M22" s="16"/>
      <c r="N22" s="16" t="str">
        <f t="shared" ca="1" si="78"/>
        <v>P.3 (2)</v>
      </c>
      <c r="O22" s="16" t="str">
        <f t="shared" ca="1" si="79"/>
        <v>P.1 (2)</v>
      </c>
      <c r="P22" s="16"/>
      <c r="Q22" s="16" t="str">
        <f t="shared" ca="1" si="80"/>
        <v>P.3 (2)</v>
      </c>
      <c r="R22" s="16" t="str">
        <f t="shared" ca="1" si="81"/>
        <v>P.1 (2)</v>
      </c>
      <c r="S22" s="16"/>
      <c r="T22" s="16" t="str">
        <f t="shared" ca="1" si="82"/>
        <v>P.3 (2)</v>
      </c>
      <c r="U22" s="16" t="str">
        <f t="shared" ca="1" si="83"/>
        <v>P.1 (2)</v>
      </c>
      <c r="V22" s="17"/>
      <c r="W22" s="679"/>
      <c r="X22" s="24">
        <f ca="1">Horarios!C22</f>
        <v>46193</v>
      </c>
      <c r="Y22" s="25">
        <f ca="1">Horarios!C22</f>
        <v>46193</v>
      </c>
      <c r="Z22" s="26" t="str">
        <f>$Z$6</f>
        <v>J2</v>
      </c>
      <c r="AA22" s="27" t="str">
        <f ca="1">A24</f>
        <v>Escocia</v>
      </c>
      <c r="AB22" s="49" t="e" cm="1" vm="13">
        <f t="array" aca="1" ref="AB22" ca="1">Ver_flag_local</f>
        <v>#VALUE!</v>
      </c>
      <c r="AC22" s="50">
        <v>0</v>
      </c>
      <c r="AD22" s="51">
        <v>3</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1</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P.3 (2)</v>
      </c>
      <c r="G23" s="16"/>
      <c r="H23" s="16" t="str">
        <f t="shared" ca="1" si="74"/>
        <v>P.1 (2)</v>
      </c>
      <c r="I23" s="16" t="str">
        <f t="shared" ca="1" si="75"/>
        <v>P.3 (2)</v>
      </c>
      <c r="J23" s="16"/>
      <c r="K23" s="16" t="str">
        <f t="shared" ca="1" si="76"/>
        <v>P.1 (2)</v>
      </c>
      <c r="L23" s="16" t="str">
        <f t="shared" ca="1" si="77"/>
        <v>P.3 (2)</v>
      </c>
      <c r="M23" s="16"/>
      <c r="N23" s="16" t="str">
        <f t="shared" ca="1" si="78"/>
        <v>P.1 (2)</v>
      </c>
      <c r="O23" s="16" t="str">
        <f t="shared" ca="1" si="79"/>
        <v>P.3 (2)</v>
      </c>
      <c r="P23" s="16"/>
      <c r="Q23" s="16" t="str">
        <f t="shared" ca="1" si="80"/>
        <v>P.1 (2)</v>
      </c>
      <c r="R23" s="16" t="str">
        <f t="shared" ca="1" si="81"/>
        <v>P.3 (2)</v>
      </c>
      <c r="S23" s="16"/>
      <c r="T23" s="16" t="str">
        <f t="shared" ca="1" si="82"/>
        <v>P.1 (2)</v>
      </c>
      <c r="U23" s="16" t="str">
        <f t="shared" ca="1" si="83"/>
        <v>P.3 (2)</v>
      </c>
      <c r="V23" s="17"/>
      <c r="W23" s="679"/>
      <c r="X23" s="24">
        <f ca="1">Horarios!C23</f>
        <v>46193.104166666664</v>
      </c>
      <c r="Y23" s="25">
        <f ca="1">Horarios!C23</f>
        <v>46193.104166666664</v>
      </c>
      <c r="Z23" s="26" t="str">
        <f>$Z$6</f>
        <v>J2</v>
      </c>
      <c r="AA23" s="27" t="str">
        <f ca="1">A21</f>
        <v>Brasil</v>
      </c>
      <c r="AB23" s="49" t="e" cm="1" vm="10">
        <f t="array" aca="1" ref="AB23" ca="1">Ver_flag_local</f>
        <v>#VALUE!</v>
      </c>
      <c r="AC23" s="50">
        <v>3</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2</v>
      </c>
      <c r="AT23" s="43">
        <f t="shared" ca="1" si="87"/>
        <v>5</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2</v>
      </c>
      <c r="BK23" s="16">
        <f t="shared" ca="1" si="21"/>
        <v>6</v>
      </c>
      <c r="BL23" s="16">
        <f t="shared" ca="1" si="42"/>
        <v>-4</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 customHeight="1" x14ac:dyDescent="0.2">
      <c r="A24" s="16" t="str">
        <f ca="1">+Equipos!B13</f>
        <v>Escocia</v>
      </c>
      <c r="B24" s="16"/>
      <c r="C24" s="16"/>
      <c r="D24" s="16" t="str">
        <f t="shared" si="71"/>
        <v>Visitante</v>
      </c>
      <c r="E24" s="16" t="str">
        <f t="shared" ca="1" si="72"/>
        <v>P.3 (2)</v>
      </c>
      <c r="F24" s="16" t="str">
        <f t="shared" ca="1" si="73"/>
        <v>P.1 (2)</v>
      </c>
      <c r="G24" s="16"/>
      <c r="H24" s="16" t="str">
        <f t="shared" ca="1" si="74"/>
        <v>P.3 (2)</v>
      </c>
      <c r="I24" s="16" t="str">
        <f t="shared" ca="1" si="75"/>
        <v>P.1 (2)</v>
      </c>
      <c r="J24" s="16"/>
      <c r="K24" s="16" t="str">
        <f t="shared" ca="1" si="76"/>
        <v>P.3 (2)</v>
      </c>
      <c r="L24" s="16" t="str">
        <f t="shared" ca="1" si="77"/>
        <v>P.1 (2)</v>
      </c>
      <c r="M24" s="16"/>
      <c r="N24" s="16" t="str">
        <f t="shared" ca="1" si="78"/>
        <v>P.3 (2)</v>
      </c>
      <c r="O24" s="16" t="str">
        <f t="shared" ca="1" si="79"/>
        <v>P.1 (2)</v>
      </c>
      <c r="P24" s="16"/>
      <c r="Q24" s="16" t="str">
        <f t="shared" ca="1" si="80"/>
        <v>P.3 (2)</v>
      </c>
      <c r="R24" s="16" t="str">
        <f t="shared" ca="1" si="81"/>
        <v>P.1 (2)</v>
      </c>
      <c r="S24" s="16"/>
      <c r="T24" s="16" t="str">
        <f t="shared" ca="1" si="82"/>
        <v>P.3 (2)</v>
      </c>
      <c r="U24" s="16" t="str">
        <f t="shared" ca="1" si="83"/>
        <v>P.1 (2)</v>
      </c>
      <c r="V24" s="17"/>
      <c r="W24" s="679"/>
      <c r="X24" s="24">
        <f ca="1">Horarios!C24</f>
        <v>46198</v>
      </c>
      <c r="Y24" s="25">
        <f ca="1">Horarios!C24</f>
        <v>46198</v>
      </c>
      <c r="Z24" s="26" t="str">
        <f>$Z$8</f>
        <v>J3</v>
      </c>
      <c r="AA24" s="27" t="str">
        <f ca="1">A24</f>
        <v>Escocia</v>
      </c>
      <c r="AB24" s="49" t="e" cm="1" vm="13">
        <f t="array" aca="1" ref="AB24" ca="1">Ver_flag_local</f>
        <v>#VALUE!</v>
      </c>
      <c r="AC24" s="50">
        <v>0</v>
      </c>
      <c r="AD24" s="51">
        <v>4</v>
      </c>
      <c r="AE24" s="595" t="e" cm="1" vm="10">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Haití</v>
      </c>
      <c r="AM24" s="38">
        <f t="shared" ca="1" si="87"/>
        <v>1</v>
      </c>
      <c r="AN24" s="39">
        <f t="shared" ca="1" si="87"/>
        <v>3</v>
      </c>
      <c r="AO24" s="39">
        <f t="shared" ca="1" si="87"/>
        <v>0</v>
      </c>
      <c r="AP24" s="39">
        <f t="shared" ca="1" si="87"/>
        <v>1</v>
      </c>
      <c r="AQ24" s="39">
        <f t="shared" ca="1" si="87"/>
        <v>2</v>
      </c>
      <c r="AR24" s="39">
        <f t="shared" ca="1" si="87"/>
        <v>1</v>
      </c>
      <c r="AS24" s="39">
        <f t="shared" ca="1" si="87"/>
        <v>6</v>
      </c>
      <c r="AT24" s="43">
        <f t="shared" ca="1" si="87"/>
        <v>-5</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6</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x14ac:dyDescent="0.25">
      <c r="A25" s="16"/>
      <c r="B25" s="16"/>
      <c r="C25" s="16"/>
      <c r="D25" s="16" t="str">
        <f t="shared" si="71"/>
        <v>Local</v>
      </c>
      <c r="E25" s="16" t="str">
        <f t="shared" ca="1" si="72"/>
        <v>P.1 (2)</v>
      </c>
      <c r="F25" s="16" t="str">
        <f t="shared" ca="1" si="73"/>
        <v>P.3 (2)</v>
      </c>
      <c r="G25" s="16"/>
      <c r="H25" s="16" t="str">
        <f t="shared" ca="1" si="74"/>
        <v>P.1 (2)</v>
      </c>
      <c r="I25" s="16" t="str">
        <f t="shared" ca="1" si="75"/>
        <v>P.3 (2)</v>
      </c>
      <c r="J25" s="16"/>
      <c r="K25" s="16" t="str">
        <f t="shared" ca="1" si="76"/>
        <v>P.1 (2)</v>
      </c>
      <c r="L25" s="16" t="str">
        <f t="shared" ca="1" si="77"/>
        <v>P.3 (2)</v>
      </c>
      <c r="M25" s="16"/>
      <c r="N25" s="16" t="str">
        <f t="shared" ca="1" si="78"/>
        <v>P.1 (2)</v>
      </c>
      <c r="O25" s="16" t="str">
        <f t="shared" ca="1" si="79"/>
        <v>P.3 (2)</v>
      </c>
      <c r="P25" s="16"/>
      <c r="Q25" s="16" t="str">
        <f t="shared" ca="1" si="80"/>
        <v>P.1 (2)</v>
      </c>
      <c r="R25" s="16" t="str">
        <f t="shared" ca="1" si="81"/>
        <v>P.3 (2)</v>
      </c>
      <c r="S25" s="16"/>
      <c r="T25" s="16" t="str">
        <f t="shared" ca="1" si="82"/>
        <v>P.1 (2)</v>
      </c>
      <c r="U25" s="16" t="str">
        <f t="shared" ca="1" si="83"/>
        <v>P.3 (2)</v>
      </c>
      <c r="V25" s="17"/>
      <c r="W25" s="680"/>
      <c r="X25" s="28">
        <f ca="1">Horarios!C25</f>
        <v>46198</v>
      </c>
      <c r="Y25" s="29">
        <f ca="1">Horarios!C25</f>
        <v>46198</v>
      </c>
      <c r="Z25" s="30" t="str">
        <f>$Z$8</f>
        <v>J3</v>
      </c>
      <c r="AA25" s="31" t="str">
        <f ca="1">A22</f>
        <v>Marruecos</v>
      </c>
      <c r="AB25" s="52" t="e" cm="1" vm="11">
        <f t="array" aca="1" ref="AB25" ca="1">Ver_flag_local</f>
        <v>#VALUE!</v>
      </c>
      <c r="AC25" s="53">
        <v>3</v>
      </c>
      <c r="AD25" s="54">
        <v>1</v>
      </c>
      <c r="AE25" s="596" t="e" cm="1" vm="12">
        <f t="array" aca="1" ref="AE25" ca="1">Ver_flag_visit</f>
        <v>#VALUE!</v>
      </c>
      <c r="AF25" s="33" t="str">
        <f ca="1">A23</f>
        <v>Haití</v>
      </c>
      <c r="AG25" s="323">
        <f t="shared" si="84"/>
        <v>1</v>
      </c>
      <c r="AH25" s="195">
        <v>50</v>
      </c>
      <c r="AI25" s="181" t="str">
        <f t="shared" si="88"/>
        <v>4C</v>
      </c>
      <c r="AJ25" s="44">
        <v>4</v>
      </c>
      <c r="AK25" s="604" t="e" cm="1" vm="13">
        <f t="array" aca="1" ref="AK25" ca="1">Ver_flag_visit</f>
        <v>#VALUE!</v>
      </c>
      <c r="AL25" s="45" t="str">
        <f ca="1">IFERROR(INDEX($BD$6:$BD$53,MATCH(AI25,$BN$6:$BN$53,0)),"")</f>
        <v>Escocia</v>
      </c>
      <c r="AM25" s="46">
        <f t="shared" ca="1" si="87"/>
        <v>1</v>
      </c>
      <c r="AN25" s="47">
        <f t="shared" ca="1" si="87"/>
        <v>3</v>
      </c>
      <c r="AO25" s="47">
        <f t="shared" ca="1" si="87"/>
        <v>0</v>
      </c>
      <c r="AP25" s="47">
        <f t="shared" ca="1" si="87"/>
        <v>1</v>
      </c>
      <c r="AQ25" s="47">
        <f t="shared" ca="1" si="87"/>
        <v>2</v>
      </c>
      <c r="AR25" s="47">
        <f t="shared" ca="1" si="87"/>
        <v>0</v>
      </c>
      <c r="AS25" s="47">
        <f t="shared" ca="1" si="87"/>
        <v>7</v>
      </c>
      <c r="AT25" s="48">
        <f t="shared" ca="1" si="87"/>
        <v>-7</v>
      </c>
      <c r="AU25" s="330">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3</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1</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1</v>
      </c>
      <c r="BF27" s="16">
        <f t="shared" ca="1" si="41"/>
        <v>3</v>
      </c>
      <c r="BG27" s="16">
        <f t="shared" ca="1" si="17"/>
        <v>0</v>
      </c>
      <c r="BH27" s="16">
        <f t="shared" ca="1" si="18"/>
        <v>1</v>
      </c>
      <c r="BI27" s="16">
        <f t="shared" ca="1" si="19"/>
        <v>2</v>
      </c>
      <c r="BJ27" s="16">
        <f t="shared" ca="1" si="20"/>
        <v>2</v>
      </c>
      <c r="BK27" s="16">
        <f t="shared" ca="1" si="21"/>
        <v>7</v>
      </c>
      <c r="BL27" s="16">
        <f t="shared" ca="1" si="42"/>
        <v>-5</v>
      </c>
      <c r="BM27" s="16" t="str">
        <f t="shared" ca="1" si="22"/>
        <v>4F</v>
      </c>
      <c r="BN27" s="16" t="str">
        <f t="shared" ca="1" si="23"/>
        <v>4F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1</v>
      </c>
      <c r="BS27" s="16">
        <f ca="1">BP27+COUNTIFS($BQ$6:$BQ$53,BQ27,$BR$6:BR$53,"&gt;"&amp;BR27,$BC$6:$BC$53,INDEX(T_Equipos[Grupo],MATCH(BD27,T_Equipos[NombreEquipo],0)))</f>
        <v>4</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4</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4</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4</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4</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4</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4</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4</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4</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4</v>
      </c>
      <c r="DE27" s="16"/>
      <c r="DF27" s="16">
        <f t="shared" ca="1" si="52"/>
        <v>4</v>
      </c>
      <c r="DG27" s="16" t="str">
        <f ca="1">IF(DB27="-","-",COUNTIFS(DF$6:DF$53,"&lt;"&amp;DF27,$BC$6:$BC$53,INDEX(T_Equipos[Grupo],MATCH(BD27,T_Equipos[NombreEquipo],0))))</f>
        <v>-</v>
      </c>
      <c r="DH27" s="16">
        <f ca="1">DA27+COUNTIFS(DB$6:DB$53,DB27,DG$6:DG$53,"&lt;"&amp;DG27,$BC$6:$BC$53,INDEX(T_Equipos[Grupo],MATCH(BD27,T_Equipos[NombreEquipo],0)))</f>
        <v>4</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4">
        <f t="array" aca="1" ref="AB28" ca="1">Ver_flag_local</f>
        <v>#VALUE!</v>
      </c>
      <c r="AC28" s="50">
        <v>2</v>
      </c>
      <c r="AD28" s="51">
        <v>0</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4</v>
      </c>
      <c r="BL28" s="16">
        <f t="shared" ca="1" si="42"/>
        <v>0</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Túnez</v>
      </c>
    </row>
    <row r="29" spans="1:121" ht="16" customHeight="1" x14ac:dyDescent="0.2">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6">
        <f t="array" aca="1" ref="AB29" ca="1">Ver_flag_local</f>
        <v>#VALUE!</v>
      </c>
      <c r="AC29" s="50">
        <v>1</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2</v>
      </c>
      <c r="BF29" s="16">
        <f t="shared" ca="1" si="41"/>
        <v>3</v>
      </c>
      <c r="BG29" s="16">
        <f t="shared" ca="1" si="17"/>
        <v>0</v>
      </c>
      <c r="BH29" s="16">
        <f t="shared" ca="1" si="18"/>
        <v>2</v>
      </c>
      <c r="BI29" s="16">
        <f t="shared" ca="1" si="19"/>
        <v>1</v>
      </c>
      <c r="BJ29" s="16">
        <f t="shared" ca="1" si="20"/>
        <v>3</v>
      </c>
      <c r="BK29" s="16">
        <f t="shared" ca="1" si="21"/>
        <v>4</v>
      </c>
      <c r="BL29" s="16">
        <f t="shared" ca="1" si="42"/>
        <v>-1</v>
      </c>
      <c r="BM29" s="16" t="str">
        <f t="shared" ca="1" si="22"/>
        <v>3F</v>
      </c>
      <c r="BN29" s="16" t="str">
        <f t="shared" ca="1" si="23"/>
        <v>3F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2</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52"/>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Japón</v>
      </c>
    </row>
    <row r="30" spans="1:121" ht="16" customHeight="1" x14ac:dyDescent="0.2">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4">
        <f t="array" aca="1" ref="AB30" ca="1">Ver_flag_local</f>
        <v>#VALUE!</v>
      </c>
      <c r="AC30" s="50">
        <v>1</v>
      </c>
      <c r="AD30" s="51">
        <v>0</v>
      </c>
      <c r="AE30" s="595" t="e" cm="1" vm="16">
        <f t="array" aca="1" ref="AE30" ca="1">Ver_flag_visit</f>
        <v>#VALUE!</v>
      </c>
      <c r="AF30" s="32" t="str">
        <f ca="1">A31</f>
        <v>Australia</v>
      </c>
      <c r="AG30" s="323">
        <f t="shared" si="104"/>
        <v>1</v>
      </c>
      <c r="AH30" s="195">
        <v>32</v>
      </c>
      <c r="AI30" s="181" t="str">
        <f>AJ30&amp;$B$28</f>
        <v>1D</v>
      </c>
      <c r="AJ30" s="40">
        <v>1</v>
      </c>
      <c r="AK30" s="601" t="e" cm="1" vm="17">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7</v>
      </c>
      <c r="AS30" s="36">
        <f t="shared" ca="1" si="107"/>
        <v>4</v>
      </c>
      <c r="AT30" s="41">
        <f t="shared" ca="1" si="107"/>
        <v>3</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2</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2</v>
      </c>
      <c r="AD31" s="51">
        <v>2</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4">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Nueva Zelanda</v>
      </c>
    </row>
    <row r="32" spans="1:121" ht="16"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3</v>
      </c>
      <c r="AD32" s="51">
        <v>1</v>
      </c>
      <c r="AE32" s="595" t="e" cm="1" vm="14">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5</v>
      </c>
      <c r="AS32" s="39">
        <f t="shared" ca="1" si="107"/>
        <v>6</v>
      </c>
      <c r="AT32" s="43">
        <f t="shared" ca="1" si="107"/>
        <v>-1</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3</v>
      </c>
      <c r="BG32" s="16">
        <f t="shared" ca="1" si="17"/>
        <v>0</v>
      </c>
      <c r="BH32" s="16">
        <f t="shared" ca="1" si="18"/>
        <v>0</v>
      </c>
      <c r="BI32" s="16">
        <f t="shared" ca="1" si="19"/>
        <v>3</v>
      </c>
      <c r="BJ32" s="16">
        <f t="shared" ca="1" si="20"/>
        <v>1</v>
      </c>
      <c r="BK32" s="16">
        <f t="shared" ca="1" si="21"/>
        <v>5</v>
      </c>
      <c r="BL32" s="16">
        <f t="shared" ca="1" si="42"/>
        <v>-4</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 customHeight="1" thickBot="1" x14ac:dyDescent="0.25">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3</v>
      </c>
      <c r="AD33" s="54">
        <v>2</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3</v>
      </c>
      <c r="AS33" s="47">
        <f t="shared" ca="1" si="107"/>
        <v>6</v>
      </c>
      <c r="AT33" s="48">
        <f t="shared" ca="1" si="107"/>
        <v>-3</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5</v>
      </c>
      <c r="BF33" s="16">
        <f t="shared" ca="1" si="41"/>
        <v>3</v>
      </c>
      <c r="BG33" s="16">
        <f t="shared" ca="1" si="17"/>
        <v>1</v>
      </c>
      <c r="BH33" s="16">
        <f t="shared" ca="1" si="18"/>
        <v>2</v>
      </c>
      <c r="BI33" s="16">
        <f t="shared" ca="1" si="19"/>
        <v>0</v>
      </c>
      <c r="BJ33" s="16">
        <f t="shared" ca="1" si="20"/>
        <v>3</v>
      </c>
      <c r="BK33" s="16">
        <f t="shared" ca="1" si="21"/>
        <v>2</v>
      </c>
      <c r="BL33" s="16">
        <f t="shared" ca="1" si="42"/>
        <v>1</v>
      </c>
      <c r="BM33" s="16" t="str">
        <f t="shared" ca="1" si="22"/>
        <v>2G</v>
      </c>
      <c r="BN33" s="16" t="str">
        <f t="shared" ca="1" si="23"/>
        <v>2G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5</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52"/>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5</v>
      </c>
      <c r="BL35" s="16">
        <f t="shared" ca="1" si="42"/>
        <v>-4</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3</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7</v>
      </c>
      <c r="BL36" s="16">
        <f t="shared" ca="1" si="42"/>
        <v>-6</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-6</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 customHeight="1" x14ac:dyDescent="0.2">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x14ac:dyDescent="0.2">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3</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1</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0</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1</v>
      </c>
      <c r="AD39" s="51">
        <v>1</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3</v>
      </c>
      <c r="AS39" s="39">
        <f t="shared" ca="1" si="127"/>
        <v>4</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3</v>
      </c>
      <c r="BK39" s="16">
        <f t="shared" ca="1" si="21"/>
        <v>5</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6" customHeight="1" x14ac:dyDescent="0.2">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2</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6</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5</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x14ac:dyDescent="0.25">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0</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2</v>
      </c>
      <c r="AS41" s="47">
        <f t="shared" ca="1" si="127"/>
        <v>6</v>
      </c>
      <c r="AT41" s="48">
        <f t="shared" ca="1" si="127"/>
        <v>-4</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2</v>
      </c>
      <c r="BF41" s="16">
        <f t="shared" ca="1" si="41"/>
        <v>3</v>
      </c>
      <c r="BG41" s="16">
        <f t="shared" ca="1" si="17"/>
        <v>0</v>
      </c>
      <c r="BH41" s="16">
        <f t="shared" ca="1" si="18"/>
        <v>2</v>
      </c>
      <c r="BI41" s="16">
        <f t="shared" ca="1" si="19"/>
        <v>1</v>
      </c>
      <c r="BJ41" s="16">
        <f t="shared" ca="1" si="20"/>
        <v>2</v>
      </c>
      <c r="BK41" s="16">
        <f t="shared" ca="1" si="21"/>
        <v>3</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2</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0</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2</v>
      </c>
      <c r="BF43" s="16">
        <f t="shared" ca="1" si="41"/>
        <v>3</v>
      </c>
      <c r="BG43" s="16">
        <f t="shared" ca="1" si="17"/>
        <v>0</v>
      </c>
      <c r="BH43" s="16">
        <f t="shared" ca="1" si="18"/>
        <v>2</v>
      </c>
      <c r="BI43" s="16">
        <f t="shared" ca="1" si="19"/>
        <v>1</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2</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3</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4</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5</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1</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x14ac:dyDescent="0.2">
      <c r="A47" s="16" t="str">
        <f ca="1">+Equipos!B24</f>
        <v>Suecia</v>
      </c>
      <c r="B47" s="16"/>
      <c r="C47" s="16"/>
      <c r="D47" s="16" t="str">
        <f t="shared" si="131"/>
        <v>Empate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1</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4">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4</v>
      </c>
      <c r="AS47" s="39">
        <f t="shared" ca="1" si="147"/>
        <v>4</v>
      </c>
      <c r="AT47" s="43">
        <f t="shared" ca="1" si="147"/>
        <v>0</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2</v>
      </c>
      <c r="BF47" s="16">
        <f t="shared" ca="1" si="41"/>
        <v>3</v>
      </c>
      <c r="BG47" s="16">
        <f t="shared" ca="1" si="17"/>
        <v>0</v>
      </c>
      <c r="BH47" s="16">
        <f t="shared" ca="1" si="18"/>
        <v>2</v>
      </c>
      <c r="BI47" s="16">
        <f t="shared" ca="1" si="19"/>
        <v>1</v>
      </c>
      <c r="BJ47" s="16">
        <f t="shared" ca="1" si="20"/>
        <v>2</v>
      </c>
      <c r="BK47" s="16">
        <f t="shared" ca="1" si="21"/>
        <v>4</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2</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x14ac:dyDescent="0.2">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3</v>
      </c>
      <c r="AE48" s="595" t="e" cm="1" vm="24">
        <f t="array" aca="1" ref="AE48" ca="1">Ver_flag_visit</f>
        <v>#VALUE!</v>
      </c>
      <c r="AF48" s="32" t="str">
        <f ca="1">A47</f>
        <v>Suecia</v>
      </c>
      <c r="AG48" s="323">
        <f t="shared" si="144"/>
        <v>1</v>
      </c>
      <c r="AH48" s="195">
        <v>57</v>
      </c>
      <c r="AI48" s="181" t="str">
        <f t="shared" si="148"/>
        <v>3F</v>
      </c>
      <c r="AJ48" s="42">
        <v>3</v>
      </c>
      <c r="AK48" s="602" t="e" cm="1" vm="25">
        <f t="array" aca="1" ref="AK48" ca="1">Ver_flag_visit</f>
        <v>#VALUE!</v>
      </c>
      <c r="AL48" s="37" t="str">
        <f ca="1">IFERROR(INDEX($BD$6:$BD$53,MATCH(AI48,$BN$6:$BN$53,0)),"")</f>
        <v>Túnez</v>
      </c>
      <c r="AM48" s="38">
        <f t="shared" ca="1" si="147"/>
        <v>2</v>
      </c>
      <c r="AN48" s="39">
        <f t="shared" ca="1" si="147"/>
        <v>3</v>
      </c>
      <c r="AO48" s="39">
        <f t="shared" ca="1" si="147"/>
        <v>0</v>
      </c>
      <c r="AP48" s="39">
        <f t="shared" ca="1" si="147"/>
        <v>2</v>
      </c>
      <c r="AQ48" s="39">
        <f t="shared" ca="1" si="147"/>
        <v>1</v>
      </c>
      <c r="AR48" s="39">
        <f t="shared" ca="1" si="147"/>
        <v>3</v>
      </c>
      <c r="AS48" s="39">
        <f t="shared" ca="1" si="147"/>
        <v>4</v>
      </c>
      <c r="AT48" s="43">
        <f t="shared" ca="1" si="147"/>
        <v>-1</v>
      </c>
      <c r="AU48" s="330">
        <f ca="1">INDEX($DL$6:$DL$53,MATCH(AI48,$DP$6:$DP$53,0))</f>
        <v>1</v>
      </c>
      <c r="AV48" s="182" t="str">
        <f ca="1">INDEX($BD$6:$BD$53,MATCH(AI48,$BM$6:$BM$53,0))</f>
        <v>Túnez</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1</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3">
        <f t="array" aca="1" ref="AK49" ca="1">Ver_flag_visit</f>
        <v>#VALUE!</v>
      </c>
      <c r="AL49" s="45" t="str">
        <f ca="1">IFERROR(INDEX($BD$6:$BD$53,MATCH(AI49,$BN$6:$BN$53,0)),"")</f>
        <v>Japón</v>
      </c>
      <c r="AM49" s="46">
        <f t="shared" ca="1" si="147"/>
        <v>1</v>
      </c>
      <c r="AN49" s="47">
        <f t="shared" ca="1" si="147"/>
        <v>3</v>
      </c>
      <c r="AO49" s="47">
        <f t="shared" ca="1" si="147"/>
        <v>0</v>
      </c>
      <c r="AP49" s="47">
        <f t="shared" ca="1" si="147"/>
        <v>1</v>
      </c>
      <c r="AQ49" s="47">
        <f t="shared" ca="1" si="147"/>
        <v>2</v>
      </c>
      <c r="AR49" s="47">
        <f t="shared" ca="1" si="147"/>
        <v>2</v>
      </c>
      <c r="AS49" s="47">
        <f t="shared" ca="1" si="147"/>
        <v>7</v>
      </c>
      <c r="AT49" s="48">
        <f t="shared" ca="1" si="147"/>
        <v>-5</v>
      </c>
      <c r="AU49" s="330">
        <f ca="1">INDEX($DL$6:$DL$53,MATCH(AI49,$DP$6:$DP$53,0))</f>
        <v>1</v>
      </c>
      <c r="AV49" s="182" t="str">
        <f ca="1">INDEX($BD$6:$BD$53,MATCH(AI49,$BM$6:$BM$53,0))</f>
        <v>Japón</v>
      </c>
      <c r="AW49" s="210"/>
      <c r="AX49" s="171"/>
      <c r="AY49" s="205" t="str">
        <f ca="1">+A48</f>
        <v>Túnez</v>
      </c>
      <c r="AZ49" s="206"/>
      <c r="BA49" s="176"/>
      <c r="BC49" s="16" t="str">
        <f ca="1">+INDEX(T_Equipos[Grupo],MATCH(WORLDCUP!BD49,T_Equipos[NombreEquipo],0))</f>
        <v>K</v>
      </c>
      <c r="BD49" s="16" t="str">
        <f ca="1">+Equipos!B45</f>
        <v>Colombia</v>
      </c>
      <c r="BE49" s="16">
        <f t="shared" ca="1" si="16"/>
        <v>4</v>
      </c>
      <c r="BF49" s="16">
        <f t="shared" ca="1" si="41"/>
        <v>3</v>
      </c>
      <c r="BG49" s="16">
        <f t="shared" ca="1" si="17"/>
        <v>1</v>
      </c>
      <c r="BH49" s="16">
        <f t="shared" ca="1" si="18"/>
        <v>1</v>
      </c>
      <c r="BI49" s="16">
        <f t="shared" ca="1" si="19"/>
        <v>1</v>
      </c>
      <c r="BJ49" s="16">
        <f t="shared" ca="1" si="20"/>
        <v>3</v>
      </c>
      <c r="BK49" s="16">
        <f t="shared" ca="1" si="21"/>
        <v>3</v>
      </c>
      <c r="BL49" s="16">
        <f t="shared" ca="1" si="42"/>
        <v>0</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5</v>
      </c>
      <c r="BK51" s="16">
        <f t="shared" ca="1" si="21"/>
        <v>3</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2</v>
      </c>
      <c r="AD52" s="51">
        <v>0</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2</v>
      </c>
      <c r="BF52" s="16">
        <f t="shared" ca="1" si="41"/>
        <v>3</v>
      </c>
      <c r="BG52" s="16">
        <f t="shared" ca="1" si="17"/>
        <v>0</v>
      </c>
      <c r="BH52" s="16">
        <f t="shared" ca="1" si="18"/>
        <v>2</v>
      </c>
      <c r="BI52" s="16">
        <f t="shared" ca="1" si="19"/>
        <v>1</v>
      </c>
      <c r="BJ52" s="16">
        <f t="shared" ca="1" si="20"/>
        <v>2</v>
      </c>
      <c r="BK52" s="16">
        <f t="shared" ca="1" si="21"/>
        <v>4</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2</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0</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2</v>
      </c>
      <c r="AT54" s="41">
        <f t="shared" ca="1" si="165"/>
        <v>3</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1</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9">
        <f t="array" aca="1" ref="AK55" ca="1">Ver_flag_visit</f>
        <v>#VALUE!</v>
      </c>
      <c r="AL55" s="37" t="str">
        <f ca="1">IFERROR(INDEX($BD$6:$BD$53,MATCH(AI55,$BN$6:$BN$53,0)),"")</f>
        <v>Nueva Zelanda</v>
      </c>
      <c r="AM55" s="38">
        <f t="shared" ca="1" si="165"/>
        <v>5</v>
      </c>
      <c r="AN55" s="39">
        <f t="shared" ca="1" si="165"/>
        <v>3</v>
      </c>
      <c r="AO55" s="39">
        <f t="shared" ca="1" si="165"/>
        <v>1</v>
      </c>
      <c r="AP55" s="39">
        <f t="shared" ca="1" si="165"/>
        <v>2</v>
      </c>
      <c r="AQ55" s="39">
        <f t="shared" ca="1" si="165"/>
        <v>0</v>
      </c>
      <c r="AR55" s="39">
        <f t="shared" ca="1" si="165"/>
        <v>3</v>
      </c>
      <c r="AS55" s="39">
        <f t="shared" ca="1" si="165"/>
        <v>2</v>
      </c>
      <c r="AT55" s="43">
        <f t="shared" ca="1" si="165"/>
        <v>1</v>
      </c>
      <c r="AU55" s="330">
        <f ca="1">INDEX($DL$6:$DL$53,MATCH(AI55,$DP$6:$DP$53,0))</f>
        <v>1</v>
      </c>
      <c r="AV55" s="182" t="str">
        <f ca="1">INDEX($BD$6:$BD$53,MATCH(AI55,$BM$6:$BM$53,0))</f>
        <v>Nueva Zelanda</v>
      </c>
      <c r="AW55" s="210"/>
      <c r="AX55" s="171"/>
      <c r="AY55" s="203" t="str">
        <f ca="1">+A54</f>
        <v>Egipto</v>
      </c>
      <c r="AZ55" s="204"/>
      <c r="BA55" s="176"/>
    </row>
    <row r="56" spans="1:121" ht="16" customHeight="1" x14ac:dyDescent="0.2">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2</v>
      </c>
      <c r="AD56" s="51">
        <v>0</v>
      </c>
      <c r="AE56" s="595" t="e" cm="1" vm="28">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3</v>
      </c>
      <c r="AS56" s="39">
        <f t="shared" ca="1" si="165"/>
        <v>3</v>
      </c>
      <c r="AT56" s="43">
        <f t="shared" ca="1" si="165"/>
        <v>0</v>
      </c>
      <c r="AU56" s="330">
        <f ca="1">INDEX($DL$6:$DL$53,MATCH(AI56,$DP$6:$DP$53,0))</f>
        <v>1</v>
      </c>
      <c r="AV56" s="182" t="str">
        <f ca="1">INDEX($BD$6:$BD$53,MATCH(AI56,$BM$6:$BM$53,0))</f>
        <v>Egipto</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Empate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1</v>
      </c>
      <c r="AD57" s="54">
        <v>1</v>
      </c>
      <c r="AE57" s="596" t="e" cm="1" vm="26">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Irán</v>
      </c>
      <c r="AM57" s="46">
        <f t="shared" ca="1" si="165"/>
        <v>0</v>
      </c>
      <c r="AN57" s="47">
        <f t="shared" ca="1" si="165"/>
        <v>3</v>
      </c>
      <c r="AO57" s="47">
        <f t="shared" ca="1" si="165"/>
        <v>0</v>
      </c>
      <c r="AP57" s="47">
        <f t="shared" ca="1" si="165"/>
        <v>0</v>
      </c>
      <c r="AQ57" s="47">
        <f t="shared" ca="1" si="165"/>
        <v>3</v>
      </c>
      <c r="AR57" s="47">
        <f t="shared" ca="1" si="165"/>
        <v>1</v>
      </c>
      <c r="AS57" s="47">
        <f t="shared" ca="1" si="165"/>
        <v>5</v>
      </c>
      <c r="AT57" s="48">
        <f t="shared" ca="1" si="165"/>
        <v>-4</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ca="1">+BJ58-BK58</f>
        <v>-2</v>
      </c>
      <c r="BM58" s="16">
        <f ca="1">CB58</f>
        <v>6</v>
      </c>
      <c r="BN58" s="16">
        <f ca="1">CF58</f>
        <v>6</v>
      </c>
      <c r="BO58" s="16" t="str">
        <f t="shared" ref="BO58:BO69" si="174">"4"&amp;BC58</f>
        <v>4A</v>
      </c>
      <c r="BP58" s="16"/>
      <c r="BQ58" s="16"/>
      <c r="BR58" s="16">
        <f t="shared" ref="BR58:BR69" ca="1" si="175">+BE58</f>
        <v>2</v>
      </c>
      <c r="BS58" s="16">
        <f ca="1">COUNTIFS(BR$58:BR$69,"&gt;"&amp;BR58)+1</f>
        <v>4</v>
      </c>
      <c r="BT58" s="16" t="str">
        <f ca="1">IF(COUNTIF(BS$58:BS$69,BS58)=1,"-","Pos. "&amp;BS58&amp;" ("&amp;COUNTIF(BS$58:BS$69,BS58)&amp;")")</f>
        <v>Pos. 4 (7)</v>
      </c>
      <c r="BU58" s="16">
        <f t="shared" ref="BU58:BU69" ca="1" si="176">IF(BT58="-","-",BL58)</f>
        <v>-2</v>
      </c>
      <c r="BV58" s="16">
        <f t="shared" ref="BV58:BV69" ca="1" si="177">BS58+COUNTIFS(BT$58:BT$69,BT58,BU$58:BU$69,"&gt;"&amp;BU58)</f>
        <v>6</v>
      </c>
      <c r="BW58" s="16" t="str">
        <f t="shared" ref="BW58:BW69" ca="1" si="178">IF(COUNTIF(BV$58:BV$69,BV58)=1,"-","Pos. "&amp;BV58&amp;" ("&amp;COUNTIF(BV$58:BV$69,BV58)&amp;")")</f>
        <v>Pos. 6 (4)</v>
      </c>
      <c r="BX58" s="16">
        <f t="shared" ref="BX58:BX69" ca="1" si="179">IF(BW58="-","-",BJ58)</f>
        <v>4</v>
      </c>
      <c r="BY58" s="16">
        <f t="shared" ref="BY58:BY69" ca="1" si="180">BV58+COUNTIFS(BW$58:BW$69,BW58,BX$58:BX$69,"&gt;"&amp;BX58)</f>
        <v>6</v>
      </c>
      <c r="BZ58" s="16" t="str">
        <f t="shared" ref="BZ58:BZ69" ca="1" si="181">IF(COUNTIF(BY$58:BY$69,BY58)=1,"-","Pos. "&amp;BY58&amp;" ("&amp;COUNTIF(BY$58:BY$69,BY58)&amp;")")</f>
        <v>-</v>
      </c>
      <c r="CA58" s="16" t="str">
        <f t="shared" ref="CA58:CA69" ca="1" si="182">IF(BZ58="-","-",COUNTIF($BD$58:$BD$69,"&gt;"&amp;BD58))</f>
        <v>-</v>
      </c>
      <c r="CB58" s="16">
        <f ca="1">BY58+COUNTIFS(BZ$58:BZ$69,BZ58,CA$58:CA$69,"&gt;"&amp;CA58)</f>
        <v>6</v>
      </c>
      <c r="CC58" s="16"/>
      <c r="CD58" s="16">
        <f t="shared" ref="CD58:CD69" ca="1" si="183">IF(OR(INDEX($AW$102:$AW$113,MATCH($BD58,$AV$102:$AV$113,0))="",BZ58="-"),CB58,INDEX($AW$102:$AW$113,MATCH($BD58,$AV$102:$AV$113,0))+CB58/1000)</f>
        <v>6</v>
      </c>
      <c r="CE58" s="16" t="str">
        <f ca="1">IF(BZ58="-","-",COUNTIF(CD$58:CD$69,"&lt;"&amp;CD58))</f>
        <v>-</v>
      </c>
      <c r="CF58" s="16">
        <f ca="1">BY58+COUNTIFS(BZ$58:BZ$69,BZ58,CE$58:CE$69,"&lt;"&amp;CE58)</f>
        <v>6</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Egipto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3</v>
      </c>
      <c r="BK59" s="16">
        <f t="shared" ca="1" si="173"/>
        <v>5</v>
      </c>
      <c r="BL59" s="16">
        <f t="shared" ref="BL59:BL69" ca="1" si="190">+BJ59-BK59</f>
        <v>-2</v>
      </c>
      <c r="BM59" s="16">
        <f t="shared" ref="BM59:BM69" ca="1" si="191">CB59</f>
        <v>7</v>
      </c>
      <c r="BN59" s="16">
        <f t="shared" ref="BN59:BN69" ca="1" si="192">CF59</f>
        <v>7</v>
      </c>
      <c r="BO59" s="16" t="str">
        <f t="shared" si="174"/>
        <v>4B</v>
      </c>
      <c r="BP59" s="16"/>
      <c r="BQ59" s="16"/>
      <c r="BR59" s="16">
        <f t="shared" ca="1" si="175"/>
        <v>2</v>
      </c>
      <c r="BS59" s="16">
        <f t="shared" ref="BS59:BS69" ca="1" si="193">COUNTIFS(BR$58:BR$69,"&gt;"&amp;BR59)+1</f>
        <v>4</v>
      </c>
      <c r="BT59" s="16" t="str">
        <f t="shared" ref="BT59:BT69" ca="1" si="194">IF(COUNTIF(BS$58:BS$69,BS59)=1,"-","Pos. "&amp;BS59&amp;" ("&amp;COUNTIF(BS$58:BS$69,BS59)&amp;")")</f>
        <v>Pos. 4 (7)</v>
      </c>
      <c r="BU59" s="16">
        <f t="shared" ca="1" si="176"/>
        <v>-2</v>
      </c>
      <c r="BV59" s="16">
        <f t="shared" ca="1" si="177"/>
        <v>6</v>
      </c>
      <c r="BW59" s="16" t="str">
        <f t="shared" ca="1" si="178"/>
        <v>Pos. 6 (4)</v>
      </c>
      <c r="BX59" s="16">
        <f t="shared" ca="1" si="179"/>
        <v>3</v>
      </c>
      <c r="BY59" s="16">
        <f t="shared" ca="1" si="180"/>
        <v>7</v>
      </c>
      <c r="BZ59" s="16" t="str">
        <f t="shared" ca="1" si="181"/>
        <v>-</v>
      </c>
      <c r="CA59" s="16" t="str">
        <f t="shared" ca="1" si="182"/>
        <v>-</v>
      </c>
      <c r="CB59" s="16">
        <f t="shared" ref="CB59:CB68" ca="1" si="195">BY59+COUNTIFS(BZ$58:BZ$69,BZ59,CA$58:CA$69,"&gt;"&amp;CA59)</f>
        <v>7</v>
      </c>
      <c r="CC59" s="16"/>
      <c r="CD59" s="16">
        <f t="shared" ca="1" si="183"/>
        <v>7</v>
      </c>
      <c r="CE59" s="16" t="str">
        <f t="shared" ref="CE59:CE69" ca="1" si="196">IF(BZ59="-","-",COUNTIF(CD$58:CD$69,"&lt;"&amp;CD59))</f>
        <v>-</v>
      </c>
      <c r="CF59" s="16">
        <f t="shared" ref="CF59:CF69" ca="1" si="197">BY59+COUNTIFS(BZ$58:BZ$69,BZ59,CE$58:CE$69,"&lt;"&amp;CE59)</f>
        <v>7</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Paraguay</v>
      </c>
    </row>
    <row r="60" spans="1:121" ht="16" customHeight="1" thickBot="1" x14ac:dyDescent="0.25">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48" t="s">
        <v>447</v>
      </c>
      <c r="X60" s="24">
        <f ca="1">Horarios!C60</f>
        <v>46188.75</v>
      </c>
      <c r="Y60" s="25">
        <f ca="1">Horarios!C60</f>
        <v>46188.75</v>
      </c>
      <c r="Z60" s="26" t="str">
        <f>$Z$4</f>
        <v>J1</v>
      </c>
      <c r="AA60" s="27" t="str">
        <f ca="1">A61</f>
        <v>España</v>
      </c>
      <c r="AB60" s="49" t="e" cm="1" vm="30">
        <f t="array" aca="1" ref="AB60" ca="1">Ver_flag_local</f>
        <v>#VALUE!</v>
      </c>
      <c r="AC60" s="50">
        <v>2</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Haití</v>
      </c>
      <c r="BE60" s="16">
        <f t="shared" ca="1" si="188"/>
        <v>1</v>
      </c>
      <c r="BF60" s="16">
        <f t="shared" ca="1" si="189"/>
        <v>3</v>
      </c>
      <c r="BG60" s="16">
        <f t="shared" ca="1" si="169"/>
        <v>0</v>
      </c>
      <c r="BH60" s="16">
        <f t="shared" ca="1" si="170"/>
        <v>1</v>
      </c>
      <c r="BI60" s="16">
        <f t="shared" ca="1" si="171"/>
        <v>2</v>
      </c>
      <c r="BJ60" s="16">
        <f t="shared" ca="1" si="172"/>
        <v>1</v>
      </c>
      <c r="BK60" s="16">
        <f t="shared" ca="1" si="173"/>
        <v>6</v>
      </c>
      <c r="BL60" s="16">
        <f t="shared" ca="1" si="190"/>
        <v>-5</v>
      </c>
      <c r="BM60" s="16">
        <f t="shared" ca="1" si="191"/>
        <v>12</v>
      </c>
      <c r="BN60" s="16">
        <f t="shared" ca="1" si="192"/>
        <v>12</v>
      </c>
      <c r="BO60" s="16" t="str">
        <f t="shared" si="174"/>
        <v>4C</v>
      </c>
      <c r="BP60" s="16"/>
      <c r="BQ60" s="16"/>
      <c r="BR60" s="16">
        <f t="shared" ca="1" si="175"/>
        <v>1</v>
      </c>
      <c r="BS60" s="16">
        <f t="shared" ca="1" si="193"/>
        <v>11</v>
      </c>
      <c r="BT60" s="16" t="str">
        <f t="shared" ca="1" si="194"/>
        <v>Pos. 11 (2)</v>
      </c>
      <c r="BU60" s="16">
        <f t="shared" ca="1" si="176"/>
        <v>-5</v>
      </c>
      <c r="BV60" s="16">
        <f t="shared" ca="1" si="177"/>
        <v>12</v>
      </c>
      <c r="BW60" s="16" t="str">
        <f t="shared" ca="1" si="178"/>
        <v>-</v>
      </c>
      <c r="BX60" s="16" t="str">
        <f t="shared" ca="1" si="179"/>
        <v>-</v>
      </c>
      <c r="BY60" s="16">
        <f t="shared" ca="1" si="180"/>
        <v>12</v>
      </c>
      <c r="BZ60" s="16" t="str">
        <f t="shared" ca="1" si="181"/>
        <v>-</v>
      </c>
      <c r="CA60" s="16" t="str">
        <f t="shared" ca="1" si="182"/>
        <v>-</v>
      </c>
      <c r="CB60" s="16">
        <f t="shared" ca="1" si="195"/>
        <v>12</v>
      </c>
      <c r="CC60" s="16"/>
      <c r="CD60" s="16">
        <f t="shared" ca="1" si="183"/>
        <v>12</v>
      </c>
      <c r="CE60" s="16" t="str">
        <f t="shared" ca="1" si="196"/>
        <v>-</v>
      </c>
      <c r="CF60" s="16">
        <f t="shared" ca="1" si="197"/>
        <v>12</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Costa de Marfil</v>
      </c>
    </row>
    <row r="61" spans="1:121" ht="16" customHeight="1" x14ac:dyDescent="0.2">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5</v>
      </c>
      <c r="BK61" s="16">
        <f t="shared" ca="1" si="173"/>
        <v>6</v>
      </c>
      <c r="BL61" s="16">
        <f t="shared" ca="1" si="190"/>
        <v>-1</v>
      </c>
      <c r="BM61" s="16">
        <f t="shared" ca="1" si="191"/>
        <v>2</v>
      </c>
      <c r="BN61" s="16">
        <f t="shared" ca="1" si="192"/>
        <v>2</v>
      </c>
      <c r="BO61" s="16" t="str">
        <f t="shared" si="174"/>
        <v>4D</v>
      </c>
      <c r="BP61" s="16"/>
      <c r="BQ61" s="16"/>
      <c r="BR61" s="16">
        <f t="shared" ca="1" si="175"/>
        <v>4</v>
      </c>
      <c r="BS61" s="16">
        <f t="shared" ca="1" si="193"/>
        <v>1</v>
      </c>
      <c r="BT61" s="16" t="str">
        <f t="shared" ca="1" si="194"/>
        <v>Pos. 1 (2)</v>
      </c>
      <c r="BU61" s="16">
        <f t="shared" ca="1" si="176"/>
        <v>-1</v>
      </c>
      <c r="BV61" s="16">
        <f t="shared" ca="1" si="177"/>
        <v>2</v>
      </c>
      <c r="BW61" s="16" t="str">
        <f t="shared" ca="1" si="178"/>
        <v>-</v>
      </c>
      <c r="BX61" s="16" t="str">
        <f t="shared" ca="1" si="179"/>
        <v>-</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Túnez</v>
      </c>
    </row>
    <row r="62" spans="1:121" ht="16"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6</v>
      </c>
      <c r="BL62" s="16">
        <f t="shared" ca="1" si="190"/>
        <v>-2</v>
      </c>
      <c r="BM62" s="16">
        <f t="shared" ca="1" si="191"/>
        <v>3</v>
      </c>
      <c r="BN62" s="16">
        <f t="shared" ca="1" si="192"/>
        <v>3</v>
      </c>
      <c r="BO62" s="16" t="str">
        <f t="shared" si="174"/>
        <v>4E</v>
      </c>
      <c r="BP62" s="16"/>
      <c r="BQ62" s="16"/>
      <c r="BR62" s="16">
        <f t="shared" ca="1" si="175"/>
        <v>3</v>
      </c>
      <c r="BS62" s="16">
        <f t="shared" ca="1" si="193"/>
        <v>3</v>
      </c>
      <c r="BT62" s="16" t="str">
        <f t="shared" ca="1" si="194"/>
        <v>-</v>
      </c>
      <c r="BU62" s="16" t="str">
        <f t="shared" ca="1" si="176"/>
        <v>-</v>
      </c>
      <c r="BV62" s="16">
        <f t="shared" ca="1" si="177"/>
        <v>3</v>
      </c>
      <c r="BW62" s="16" t="str">
        <f t="shared" ca="1" si="178"/>
        <v>-</v>
      </c>
      <c r="BX62" s="16" t="str">
        <f t="shared" ca="1" si="179"/>
        <v>-</v>
      </c>
      <c r="BY62" s="16">
        <f t="shared" ca="1" si="180"/>
        <v>3</v>
      </c>
      <c r="BZ62" s="16" t="str">
        <f t="shared" ca="1" si="181"/>
        <v>-</v>
      </c>
      <c r="CA62" s="16" t="str">
        <f t="shared" ca="1" si="182"/>
        <v>-</v>
      </c>
      <c r="CB62" s="16">
        <f t="shared" ca="1" si="195"/>
        <v>3</v>
      </c>
      <c r="CC62" s="16"/>
      <c r="CD62" s="16">
        <f t="shared" ca="1" si="183"/>
        <v>3</v>
      </c>
      <c r="CE62" s="16" t="str">
        <f t="shared" ca="1" si="196"/>
        <v>-</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Noruega</v>
      </c>
    </row>
    <row r="63" spans="1:121" ht="16" customHeight="1" x14ac:dyDescent="0.2">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48"/>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Túnez</v>
      </c>
      <c r="BE63" s="16">
        <f t="shared" ca="1" si="188"/>
        <v>2</v>
      </c>
      <c r="BF63" s="16">
        <f t="shared" ca="1" si="189"/>
        <v>3</v>
      </c>
      <c r="BG63" s="16">
        <f t="shared" ca="1" si="169"/>
        <v>0</v>
      </c>
      <c r="BH63" s="16">
        <f t="shared" ca="1" si="170"/>
        <v>2</v>
      </c>
      <c r="BI63" s="16">
        <f t="shared" ca="1" si="171"/>
        <v>1</v>
      </c>
      <c r="BJ63" s="16">
        <f t="shared" ca="1" si="172"/>
        <v>3</v>
      </c>
      <c r="BK63" s="16">
        <f t="shared" ca="1" si="173"/>
        <v>4</v>
      </c>
      <c r="BL63" s="16">
        <f t="shared" ca="1" si="190"/>
        <v>-1</v>
      </c>
      <c r="BM63" s="16">
        <f t="shared" ca="1" si="191"/>
        <v>4</v>
      </c>
      <c r="BN63" s="16">
        <f t="shared" ca="1" si="192"/>
        <v>4</v>
      </c>
      <c r="BO63" s="16" t="str">
        <f t="shared" si="174"/>
        <v>4F</v>
      </c>
      <c r="BP63" s="16"/>
      <c r="BQ63" s="16"/>
      <c r="BR63" s="16">
        <f t="shared" ca="1" si="175"/>
        <v>2</v>
      </c>
      <c r="BS63" s="16">
        <f t="shared" ca="1" si="193"/>
        <v>4</v>
      </c>
      <c r="BT63" s="16" t="str">
        <f t="shared" ca="1" si="194"/>
        <v>Pos. 4 (7)</v>
      </c>
      <c r="BU63" s="16">
        <f t="shared" ca="1" si="176"/>
        <v>-1</v>
      </c>
      <c r="BV63" s="16">
        <f t="shared" ca="1" si="177"/>
        <v>4</v>
      </c>
      <c r="BW63" s="16" t="str">
        <f t="shared" ca="1" si="178"/>
        <v>Pos. 4 (2)</v>
      </c>
      <c r="BX63" s="16">
        <f t="shared" ca="1" si="179"/>
        <v>3</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Sudáfrica</v>
      </c>
    </row>
    <row r="64" spans="1:121" ht="16" customHeight="1" x14ac:dyDescent="0.2">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Cabo Verde</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30">
        <f ca="1">INDEX($DL$6:$DL$53,MATCH(AI64,$DP$6:$DP$53,0))</f>
        <v>1</v>
      </c>
      <c r="AV64" s="182" t="str">
        <f ca="1">INDEX($BD$6:$BD$53,MATCH(AI64,$BM$6:$BM$53,0))</f>
        <v>Cabo Verde</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3</v>
      </c>
      <c r="BK64" s="16">
        <f t="shared" ca="1" si="173"/>
        <v>3</v>
      </c>
      <c r="BL64" s="16">
        <f t="shared" ca="1" si="190"/>
        <v>0</v>
      </c>
      <c r="BM64" s="16">
        <f t="shared" ca="1" si="191"/>
        <v>1</v>
      </c>
      <c r="BN64" s="16">
        <f t="shared" ca="1" si="192"/>
        <v>1</v>
      </c>
      <c r="BO64" s="16" t="str">
        <f t="shared" si="174"/>
        <v>4G</v>
      </c>
      <c r="BP64" s="16"/>
      <c r="BQ64" s="16"/>
      <c r="BR64" s="16">
        <f t="shared" ca="1" si="175"/>
        <v>4</v>
      </c>
      <c r="BS64" s="16">
        <f t="shared" ca="1" si="193"/>
        <v>1</v>
      </c>
      <c r="BT64" s="16" t="str">
        <f t="shared" ca="1" si="194"/>
        <v>Pos. 1 (2)</v>
      </c>
      <c r="BU64" s="16">
        <f t="shared" ca="1" si="176"/>
        <v>0</v>
      </c>
      <c r="BV64" s="16">
        <f t="shared" ca="1" si="177"/>
        <v>1</v>
      </c>
      <c r="BW64" s="16" t="str">
        <f t="shared" ca="1" si="178"/>
        <v>-</v>
      </c>
      <c r="BX64" s="16" t="str">
        <f t="shared" ca="1" si="179"/>
        <v>-</v>
      </c>
      <c r="BY64" s="16">
        <f t="shared" ca="1" si="180"/>
        <v>1</v>
      </c>
      <c r="BZ64" s="16" t="str">
        <f t="shared" ca="1" si="181"/>
        <v>-</v>
      </c>
      <c r="CA64" s="16" t="str">
        <f t="shared" ca="1" si="182"/>
        <v>-</v>
      </c>
      <c r="CB64" s="16">
        <f t="shared" ca="1" si="195"/>
        <v>1</v>
      </c>
      <c r="CC64" s="16"/>
      <c r="CD64" s="16">
        <f t="shared" ca="1" si="183"/>
        <v>1</v>
      </c>
      <c r="CE64" s="16" t="str">
        <f t="shared" ca="1" si="196"/>
        <v>-</v>
      </c>
      <c r="CF64" s="16">
        <f t="shared" ca="1" si="197"/>
        <v>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Canadá</v>
      </c>
    </row>
    <row r="65" spans="1:121" ht="16" customHeight="1" thickBot="1" x14ac:dyDescent="0.25">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3</v>
      </c>
      <c r="AE65" s="596" t="e" cm="1" vm="30">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1</v>
      </c>
      <c r="AS65" s="47">
        <f t="shared" ca="1" si="215"/>
        <v>7</v>
      </c>
      <c r="AT65" s="48">
        <f t="shared" ca="1" si="215"/>
        <v>-6</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Cabo Verde</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-4</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2</v>
      </c>
      <c r="DM65" s="16" t="str">
        <f t="shared" ca="1" si="186"/>
        <v>8.2</v>
      </c>
      <c r="DN65" s="16" t="e" cm="1" vm="7">
        <f t="array" aca="1" ref="DN65" ca="1">OFFSET(Horarios!$P$3,DJ65-1,0,DL65,1)</f>
        <v>#VALUE!</v>
      </c>
      <c r="DO65" s="16"/>
      <c r="DP65" s="16">
        <v>8</v>
      </c>
      <c r="DQ65" s="16" t="str">
        <f t="shared" ca="1" si="198"/>
        <v>Ghana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2</v>
      </c>
      <c r="BF66" s="16">
        <f t="shared" ca="1" si="189"/>
        <v>3</v>
      </c>
      <c r="BG66" s="16">
        <f t="shared" ca="1" si="169"/>
        <v>0</v>
      </c>
      <c r="BH66" s="16">
        <f t="shared" ca="1" si="170"/>
        <v>2</v>
      </c>
      <c r="BI66" s="16">
        <f t="shared" ca="1" si="171"/>
        <v>1</v>
      </c>
      <c r="BJ66" s="16">
        <f t="shared" ca="1" si="172"/>
        <v>2</v>
      </c>
      <c r="BK66" s="16">
        <f t="shared" ca="1" si="173"/>
        <v>3</v>
      </c>
      <c r="BL66" s="16">
        <f t="shared" ca="1" si="190"/>
        <v>-1</v>
      </c>
      <c r="BM66" s="16">
        <f t="shared" ca="1" si="191"/>
        <v>5</v>
      </c>
      <c r="BN66" s="16">
        <f t="shared" ca="1" si="192"/>
        <v>5</v>
      </c>
      <c r="BO66" s="16" t="str">
        <f t="shared" si="174"/>
        <v>4I</v>
      </c>
      <c r="BP66" s="16"/>
      <c r="BQ66" s="16"/>
      <c r="BR66" s="16">
        <f t="shared" ca="1" si="175"/>
        <v>2</v>
      </c>
      <c r="BS66" s="16">
        <f t="shared" ca="1" si="193"/>
        <v>4</v>
      </c>
      <c r="BT66" s="16" t="str">
        <f t="shared" ca="1" si="194"/>
        <v>Pos. 4 (7)</v>
      </c>
      <c r="BU66" s="16">
        <f t="shared" ca="1" si="176"/>
        <v>-1</v>
      </c>
      <c r="BV66" s="16">
        <f t="shared" ca="1" si="177"/>
        <v>4</v>
      </c>
      <c r="BW66" s="16" t="str">
        <f t="shared" ca="1" si="178"/>
        <v>Pos. 4 (2)</v>
      </c>
      <c r="BX66" s="16">
        <f t="shared" ca="1" si="179"/>
        <v>2</v>
      </c>
      <c r="BY66" s="16">
        <f t="shared" ca="1" si="180"/>
        <v>5</v>
      </c>
      <c r="BZ66" s="16" t="str">
        <f t="shared" ca="1" si="181"/>
        <v>-</v>
      </c>
      <c r="CA66" s="16" t="str">
        <f t="shared" ca="1" si="182"/>
        <v>-</v>
      </c>
      <c r="CB66" s="16">
        <f t="shared" ca="1" si="195"/>
        <v>5</v>
      </c>
      <c r="CC66" s="16"/>
      <c r="CD66" s="16">
        <f t="shared" ca="1" si="183"/>
        <v>5</v>
      </c>
      <c r="CE66" s="16" t="str">
        <f t="shared" ca="1" si="196"/>
        <v>-</v>
      </c>
      <c r="CF66" s="16">
        <f t="shared" ca="1" si="197"/>
        <v>5</v>
      </c>
      <c r="DJ66" s="16">
        <f t="shared" ca="1" si="184"/>
        <v>8</v>
      </c>
      <c r="DK66" s="16"/>
      <c r="DL66" s="16">
        <f t="shared" ca="1" si="185"/>
        <v>2</v>
      </c>
      <c r="DM66" s="16" t="str">
        <f t="shared" ca="1" si="186"/>
        <v>8.2</v>
      </c>
      <c r="DN66" s="16" t="e" cm="1" vm="7">
        <f t="array" aca="1" ref="DN66" ca="1">OFFSET(Horarios!$P$3,DJ66-1,0,DL66,1)</f>
        <v>#VALUE!</v>
      </c>
      <c r="DO66" s="16"/>
      <c r="DP66" s="16">
        <v>9</v>
      </c>
      <c r="DQ66" s="16" t="str">
        <f t="shared" ca="1" si="198"/>
        <v>RD Congo</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2</v>
      </c>
      <c r="BF67" s="16">
        <f t="shared" ca="1" si="189"/>
        <v>3</v>
      </c>
      <c r="BG67" s="16">
        <f t="shared" ca="1" si="169"/>
        <v>0</v>
      </c>
      <c r="BH67" s="16">
        <f t="shared" ca="1" si="170"/>
        <v>2</v>
      </c>
      <c r="BI67" s="16">
        <f t="shared" ca="1" si="171"/>
        <v>1</v>
      </c>
      <c r="BJ67" s="16">
        <f t="shared" ca="1" si="172"/>
        <v>2</v>
      </c>
      <c r="BK67" s="16">
        <f t="shared" ca="1" si="173"/>
        <v>5</v>
      </c>
      <c r="BL67" s="16">
        <f t="shared" ca="1" si="190"/>
        <v>-3</v>
      </c>
      <c r="BM67" s="16">
        <f t="shared" ca="1" si="191"/>
        <v>10</v>
      </c>
      <c r="BN67" s="16">
        <f t="shared" ca="1" si="192"/>
        <v>10</v>
      </c>
      <c r="BO67" s="16" t="str">
        <f t="shared" si="174"/>
        <v>4J</v>
      </c>
      <c r="BP67" s="16"/>
      <c r="BQ67" s="16"/>
      <c r="BR67" s="16">
        <f t="shared" ca="1" si="175"/>
        <v>2</v>
      </c>
      <c r="BS67" s="16">
        <f t="shared" ca="1" si="193"/>
        <v>4</v>
      </c>
      <c r="BT67" s="16" t="str">
        <f t="shared" ca="1" si="194"/>
        <v>Pos. 4 (7)</v>
      </c>
      <c r="BU67" s="16">
        <f t="shared" ca="1" si="176"/>
        <v>-3</v>
      </c>
      <c r="BV67" s="16">
        <f t="shared" ca="1" si="177"/>
        <v>10</v>
      </c>
      <c r="BW67" s="16" t="str">
        <f t="shared" ca="1" si="178"/>
        <v>-</v>
      </c>
      <c r="BX67" s="16" t="str">
        <f t="shared" ca="1" si="179"/>
        <v>-</v>
      </c>
      <c r="BY67" s="16">
        <f t="shared" ca="1" si="180"/>
        <v>10</v>
      </c>
      <c r="BZ67" s="16" t="str">
        <f t="shared" ca="1" si="181"/>
        <v>-</v>
      </c>
      <c r="CA67" s="16" t="str">
        <f t="shared" ca="1" si="182"/>
        <v>-</v>
      </c>
      <c r="CB67" s="16">
        <f t="shared" ca="1" si="195"/>
        <v>10</v>
      </c>
      <c r="CC67" s="16"/>
      <c r="CD67" s="16">
        <f t="shared" ca="1" si="183"/>
        <v>10</v>
      </c>
      <c r="CE67" s="16" t="str">
        <f t="shared" ca="1" si="196"/>
        <v>-</v>
      </c>
      <c r="CF67" s="16">
        <f t="shared" ca="1" si="197"/>
        <v>10</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Argelia</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3</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2</v>
      </c>
      <c r="BF68" s="16">
        <f t="shared" ca="1" si="189"/>
        <v>3</v>
      </c>
      <c r="BG68" s="16">
        <f t="shared" ca="1" si="169"/>
        <v>0</v>
      </c>
      <c r="BH68" s="16">
        <f t="shared" ca="1" si="170"/>
        <v>2</v>
      </c>
      <c r="BI68" s="16">
        <f t="shared" ca="1" si="171"/>
        <v>1</v>
      </c>
      <c r="BJ68" s="16">
        <f t="shared" ca="1" si="172"/>
        <v>2</v>
      </c>
      <c r="BK68" s="16">
        <f t="shared" ca="1" si="173"/>
        <v>4</v>
      </c>
      <c r="BL68" s="16">
        <f t="shared" ca="1" si="190"/>
        <v>-2</v>
      </c>
      <c r="BM68" s="16">
        <f t="shared" ca="1" si="191"/>
        <v>9</v>
      </c>
      <c r="BN68" s="16">
        <f t="shared" ca="1" si="192"/>
        <v>9</v>
      </c>
      <c r="BO68" s="16" t="str">
        <f t="shared" si="174"/>
        <v>4K</v>
      </c>
      <c r="BP68" s="16"/>
      <c r="BQ68" s="16"/>
      <c r="BR68" s="16">
        <f t="shared" ca="1" si="175"/>
        <v>2</v>
      </c>
      <c r="BS68" s="16">
        <f t="shared" ca="1" si="193"/>
        <v>4</v>
      </c>
      <c r="BT68" s="16" t="str">
        <f t="shared" ca="1" si="194"/>
        <v>Pos. 4 (7)</v>
      </c>
      <c r="BU68" s="16">
        <f t="shared" ca="1" si="176"/>
        <v>-2</v>
      </c>
      <c r="BV68" s="16">
        <f t="shared" ca="1" si="177"/>
        <v>6</v>
      </c>
      <c r="BW68" s="16" t="str">
        <f t="shared" ca="1" si="178"/>
        <v>Pos. 6 (4)</v>
      </c>
      <c r="BX68" s="16">
        <f t="shared" ca="1" si="179"/>
        <v>2</v>
      </c>
      <c r="BY68" s="16">
        <f t="shared" ca="1" si="180"/>
        <v>8</v>
      </c>
      <c r="BZ68" s="16" t="str">
        <f t="shared" ca="1" si="181"/>
        <v>Pos. 8 (2)</v>
      </c>
      <c r="CA68" s="16">
        <f t="shared" ca="1" si="182"/>
        <v>2</v>
      </c>
      <c r="CB68" s="16">
        <f t="shared" ca="1" si="195"/>
        <v>9</v>
      </c>
      <c r="CC68" s="16"/>
      <c r="CD68" s="16">
        <f t="shared" ca="1" si="183"/>
        <v>9</v>
      </c>
      <c r="CE68" s="16">
        <f t="shared" ca="1" si="196"/>
        <v>8</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Cabo Verde</v>
      </c>
    </row>
    <row r="69" spans="1:121" ht="16" customHeight="1" x14ac:dyDescent="0.2">
      <c r="A69" s="16" t="str">
        <f ca="1">+Equipos!B34</f>
        <v>Francia</v>
      </c>
      <c r="B69" s="16"/>
      <c r="C69" s="16"/>
      <c r="D69" s="16" t="str">
        <f t="shared" si="217"/>
        <v>Empate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0</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2</v>
      </c>
      <c r="BF69" s="16">
        <f t="shared" ca="1" si="189"/>
        <v>3</v>
      </c>
      <c r="BG69" s="16">
        <f t="shared" ca="1" si="169"/>
        <v>0</v>
      </c>
      <c r="BH69" s="16">
        <f t="shared" ca="1" si="170"/>
        <v>2</v>
      </c>
      <c r="BI69" s="16">
        <f t="shared" ca="1" si="171"/>
        <v>1</v>
      </c>
      <c r="BJ69" s="16">
        <f t="shared" ca="1" si="172"/>
        <v>2</v>
      </c>
      <c r="BK69" s="16">
        <f t="shared" ca="1" si="173"/>
        <v>4</v>
      </c>
      <c r="BL69" s="16">
        <f t="shared" ca="1" si="190"/>
        <v>-2</v>
      </c>
      <c r="BM69" s="16">
        <f t="shared" ca="1" si="191"/>
        <v>8</v>
      </c>
      <c r="BN69" s="16">
        <f t="shared" ca="1" si="192"/>
        <v>8</v>
      </c>
      <c r="BO69" s="16" t="str">
        <f t="shared" si="174"/>
        <v>4L</v>
      </c>
      <c r="BP69" s="16"/>
      <c r="BQ69" s="16"/>
      <c r="BR69" s="16">
        <f t="shared" ca="1" si="175"/>
        <v>2</v>
      </c>
      <c r="BS69" s="16">
        <f t="shared" ca="1" si="193"/>
        <v>4</v>
      </c>
      <c r="BT69" s="16" t="str">
        <f t="shared" ca="1" si="194"/>
        <v>Pos. 4 (7)</v>
      </c>
      <c r="BU69" s="16">
        <f t="shared" ca="1" si="176"/>
        <v>-2</v>
      </c>
      <c r="BV69" s="16">
        <f t="shared" ca="1" si="177"/>
        <v>6</v>
      </c>
      <c r="BW69" s="16" t="str">
        <f t="shared" ca="1" si="178"/>
        <v>Pos. 6 (4)</v>
      </c>
      <c r="BX69" s="16">
        <f t="shared" ca="1" si="179"/>
        <v>2</v>
      </c>
      <c r="BY69" s="16">
        <f t="shared" ca="1" si="180"/>
        <v>8</v>
      </c>
      <c r="BZ69" s="16" t="str">
        <f t="shared" ca="1" si="181"/>
        <v>Pos. 8 (2)</v>
      </c>
      <c r="CA69" s="16">
        <f t="shared" ca="1" si="182"/>
        <v>6</v>
      </c>
      <c r="CB69" s="16">
        <f ca="1">BY69+COUNTIFS(BZ$58:BZ$69,BZ69,CA$58:CA$69,"&gt;"&amp;CA69)</f>
        <v>8</v>
      </c>
      <c r="CC69" s="16"/>
      <c r="CD69" s="16">
        <f t="shared" ca="1" si="183"/>
        <v>8</v>
      </c>
      <c r="CE69" s="16">
        <f t="shared" ca="1" si="196"/>
        <v>7</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Haití</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0</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2</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3</v>
      </c>
      <c r="AS71" s="39">
        <f t="shared" ca="1" si="233"/>
        <v>5</v>
      </c>
      <c r="AT71" s="43">
        <f t="shared" ca="1" si="233"/>
        <v>-2</v>
      </c>
      <c r="AU71" s="330">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0</v>
      </c>
      <c r="AD72" s="51">
        <v>1</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2</v>
      </c>
      <c r="AN72" s="39">
        <f t="shared" ca="1" si="233"/>
        <v>3</v>
      </c>
      <c r="AO72" s="39">
        <f t="shared" ca="1" si="233"/>
        <v>0</v>
      </c>
      <c r="AP72" s="39">
        <f t="shared" ca="1" si="233"/>
        <v>2</v>
      </c>
      <c r="AQ72" s="39">
        <f t="shared" ca="1" si="233"/>
        <v>1</v>
      </c>
      <c r="AR72" s="39">
        <f t="shared" ca="1" si="233"/>
        <v>2</v>
      </c>
      <c r="AS72" s="39">
        <f t="shared" ca="1" si="233"/>
        <v>3</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6"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1</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5</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1</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0</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4</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2</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2</v>
      </c>
      <c r="AN80" s="39">
        <f t="shared" ca="1" si="251"/>
        <v>3</v>
      </c>
      <c r="AO80" s="39">
        <f t="shared" ca="1" si="251"/>
        <v>0</v>
      </c>
      <c r="AP80" s="39">
        <f t="shared" ca="1" si="251"/>
        <v>2</v>
      </c>
      <c r="AQ80" s="39">
        <f t="shared" ca="1" si="251"/>
        <v>1</v>
      </c>
      <c r="AR80" s="39">
        <f t="shared" ca="1" si="251"/>
        <v>2</v>
      </c>
      <c r="AS80" s="39">
        <f t="shared" ca="1" si="251"/>
        <v>5</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1</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1</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53"/>
        <v>Empate</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1</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4</v>
      </c>
      <c r="AN87" s="39">
        <f t="shared" ca="1" si="269"/>
        <v>3</v>
      </c>
      <c r="AO87" s="39">
        <f t="shared" ca="1" si="269"/>
        <v>1</v>
      </c>
      <c r="AP87" s="39">
        <f t="shared" ca="1" si="269"/>
        <v>1</v>
      </c>
      <c r="AQ87" s="39">
        <f t="shared" ca="1" si="269"/>
        <v>1</v>
      </c>
      <c r="AR87" s="39">
        <f t="shared" ca="1" si="269"/>
        <v>3</v>
      </c>
      <c r="AS87" s="39">
        <f t="shared" ca="1" si="269"/>
        <v>3</v>
      </c>
      <c r="AT87" s="43">
        <f t="shared" ca="1" si="269"/>
        <v>0</v>
      </c>
      <c r="AU87" s="330">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2</v>
      </c>
      <c r="AN88" s="39">
        <f t="shared" ca="1" si="269"/>
        <v>3</v>
      </c>
      <c r="AO88" s="39">
        <f t="shared" ca="1" si="269"/>
        <v>0</v>
      </c>
      <c r="AP88" s="39">
        <f t="shared" ca="1" si="269"/>
        <v>2</v>
      </c>
      <c r="AQ88" s="39">
        <f t="shared" ca="1" si="269"/>
        <v>1</v>
      </c>
      <c r="AR88" s="39">
        <f t="shared" ca="1" si="269"/>
        <v>2</v>
      </c>
      <c r="AS88" s="39">
        <f t="shared" ca="1" si="269"/>
        <v>4</v>
      </c>
      <c r="AT88" s="43">
        <f t="shared" ca="1" si="269"/>
        <v>-2</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Empate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5</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5</v>
      </c>
      <c r="AS95" s="39">
        <f t="shared" ca="1" si="287"/>
        <v>3</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2</v>
      </c>
      <c r="AN96" s="39">
        <f t="shared" ca="1" si="287"/>
        <v>3</v>
      </c>
      <c r="AO96" s="39">
        <f t="shared" ca="1" si="287"/>
        <v>0</v>
      </c>
      <c r="AP96" s="39">
        <f t="shared" ca="1" si="287"/>
        <v>2</v>
      </c>
      <c r="AQ96" s="39">
        <f t="shared" ca="1" si="287"/>
        <v>1</v>
      </c>
      <c r="AR96" s="39">
        <f t="shared" ca="1" si="287"/>
        <v>2</v>
      </c>
      <c r="AS96" s="39">
        <f t="shared" ca="1" si="287"/>
        <v>4</v>
      </c>
      <c r="AT96" s="43">
        <f t="shared" ca="1" si="287"/>
        <v>-2</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Catar</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México</v>
      </c>
      <c r="AB101" s="89"/>
      <c r="AC101" s="51">
        <v>2</v>
      </c>
      <c r="AD101" s="51">
        <v>0</v>
      </c>
      <c r="AE101" s="90"/>
      <c r="AF101" s="91" t="str">
        <f t="shared" ref="AF101:AF116" ca="1" si="293">+INDEX($N$101:$N$147,MATCH(AH101,$J$101:$J$147,0))</f>
        <v>Catar</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ABDEFGIL</v>
      </c>
      <c r="BA101" s="176"/>
    </row>
    <row r="102" spans="1:62" ht="16"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0</v>
      </c>
      <c r="AE102" s="89"/>
      <c r="AF102" s="91" t="str">
        <f t="shared" ca="1" si="293"/>
        <v>Suecia</v>
      </c>
      <c r="AG102" s="327">
        <f t="shared" ca="1" si="294"/>
        <v>1</v>
      </c>
      <c r="AH102" s="195">
        <v>76</v>
      </c>
      <c r="AI102" s="182">
        <v>1</v>
      </c>
      <c r="AJ102" s="80">
        <v>1</v>
      </c>
      <c r="AK102" s="605" t="e" cm="1" vm="27">
        <f t="array" aca="1" ref="AK102" ca="1">Ver_flag_visit</f>
        <v>#VALUE!</v>
      </c>
      <c r="AL102" s="81" t="str">
        <f t="shared" ref="AL102:AL113" ca="1" si="297">+IF($H$113&gt;=48,INDEX($BD$58:$BD$69,MATCH(AI102,$BN$58:$BN$69,0)),BB58)</f>
        <v>Egipto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3</v>
      </c>
      <c r="AS102" s="83">
        <f t="shared" ca="1" si="298"/>
        <v>3</v>
      </c>
      <c r="AT102" s="84">
        <f t="shared" ca="1" si="298"/>
        <v>0</v>
      </c>
      <c r="AU102" s="330">
        <f t="shared" ref="AU102:AU113" ca="1" si="299">IF($H$113=144,INDEX($DL$58:$DL$69,MATCH(AI102,$DP$58:$DP$69,0)),"")</f>
        <v>1</v>
      </c>
      <c r="AV102" s="182" t="str">
        <f t="shared" ref="AV102:AV113" ca="1" si="300">INDEX($BD$58:$BD$69,MATCH(AI102,$BM$58:$BM$69,0))</f>
        <v>Egipto</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Paraguay</v>
      </c>
      <c r="AG103" s="327">
        <f t="shared" ca="1" si="294"/>
        <v>1</v>
      </c>
      <c r="AH103" s="195">
        <v>74</v>
      </c>
      <c r="AI103" s="182">
        <v>2</v>
      </c>
      <c r="AJ103" s="42">
        <v>2</v>
      </c>
      <c r="AK103" s="602" t="e" cm="1" vm="15">
        <f t="array" aca="1" ref="AK103" ca="1">Ver_flag_visit</f>
        <v>#VALUE!</v>
      </c>
      <c r="AL103" s="85" t="str">
        <f t="shared" ca="1" si="297"/>
        <v>Paraguay</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6</v>
      </c>
      <c r="AT103" s="87">
        <f t="shared" ca="1" si="302"/>
        <v>-1</v>
      </c>
      <c r="AU103" s="330">
        <f t="shared" ca="1" si="299"/>
        <v>1</v>
      </c>
      <c r="AV103" s="182" t="str">
        <f t="shared" ca="1" si="300"/>
        <v>Paraguay</v>
      </c>
      <c r="AW103" s="215"/>
      <c r="AX103" s="170"/>
      <c r="AY103" s="276"/>
      <c r="AZ103" s="279" t="str">
        <f t="shared" ref="AZ103:AZ110" ca="1" si="303">+IF(OR($H$113&gt;=48,$AJ$99=144),BF117&amp;" - "&amp;BG117,"")</f>
        <v>1A - 3E</v>
      </c>
      <c r="BA103" s="176"/>
      <c r="BF103" t="str">
        <f t="shared" ref="BF103:BF110" ca="1" si="304">IFERROR(INDEX($BC$6:$BC$53,MATCH(AL102,$BD$6:$BD$53,0)),"")</f>
        <v>G</v>
      </c>
      <c r="BG103">
        <f t="shared" ref="BG103:BG110" ca="1" si="305">COUNTIF($BF$103:$BF$110,"&lt;="&amp;BF103)</f>
        <v>6</v>
      </c>
      <c r="BI103">
        <v>1</v>
      </c>
      <c r="BJ103" t="str">
        <f t="shared" ref="BJ103:BJ110" ca="1" si="306">IFERROR(INDEX($BF$103:$BF$110,MATCH(BI103,$BG$103:$BG$110,0)),"Grupo")</f>
        <v>A</v>
      </c>
    </row>
    <row r="104" spans="1:62" ht="16" customHeight="1" x14ac:dyDescent="0.2">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20">
        <f t="array" aca="1" ref="AK104" ca="1">Ver_flag_visit</f>
        <v>#VALUE!</v>
      </c>
      <c r="AL104" s="85" t="str">
        <f t="shared" ca="1" si="297"/>
        <v>Costa de Marfil</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6</v>
      </c>
      <c r="AT104" s="87">
        <f t="shared" ca="1" si="307"/>
        <v>-2</v>
      </c>
      <c r="AU104" s="330">
        <f t="shared" ca="1" si="299"/>
        <v>1</v>
      </c>
      <c r="AV104" s="182" t="str">
        <f t="shared" ca="1" si="300"/>
        <v>Costa de Marfil</v>
      </c>
      <c r="AW104" s="215"/>
      <c r="AX104" s="170"/>
      <c r="AY104" s="276"/>
      <c r="AZ104" s="279" t="str">
        <f t="shared" ca="1" si="303"/>
        <v>1B - 3G</v>
      </c>
      <c r="BA104" s="176"/>
      <c r="BF104" t="str">
        <f t="shared" ca="1" si="304"/>
        <v>D</v>
      </c>
      <c r="BG104">
        <f t="shared" ca="1" si="305"/>
        <v>3</v>
      </c>
      <c r="BI104">
        <v>2</v>
      </c>
      <c r="BJ104" t="str">
        <f t="shared" ca="1" si="306"/>
        <v>B</v>
      </c>
    </row>
    <row r="105" spans="1:62" ht="16" customHeight="1" x14ac:dyDescent="0.2">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Túnez</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v>1</v>
      </c>
      <c r="AC105" s="92">
        <v>1</v>
      </c>
      <c r="AD105" s="92">
        <v>1</v>
      </c>
      <c r="AE105" s="89">
        <v>0</v>
      </c>
      <c r="AF105" s="91" t="str">
        <f t="shared" ca="1" si="293"/>
        <v>Senegal</v>
      </c>
      <c r="AG105" s="327">
        <f t="shared" ca="1" si="294"/>
        <v>1</v>
      </c>
      <c r="AH105" s="195">
        <v>78</v>
      </c>
      <c r="AI105" s="182">
        <v>4</v>
      </c>
      <c r="AJ105" s="42">
        <v>4</v>
      </c>
      <c r="AK105" s="602" t="e" cm="1" vm="25">
        <f t="array" aca="1" ref="AK105" ca="1">Ver_flag_visit</f>
        <v>#VALUE!</v>
      </c>
      <c r="AL105" s="85" t="str">
        <f t="shared" ca="1" si="297"/>
        <v>Túnez</v>
      </c>
      <c r="AM105" s="589">
        <f t="shared" ca="1" si="301"/>
        <v>2</v>
      </c>
      <c r="AN105" s="86">
        <f t="shared" ref="AN105:AT105" ca="1" si="308">+IF($H$113&gt;=48,INDEX($BE$58:$BN$69,MATCH($AL105,$BD$58:$BD$69,0),MATCH(AN$5,$BE$57:$BN$57,0)),$BB61)</f>
        <v>3</v>
      </c>
      <c r="AO105" s="86">
        <f t="shared" ca="1" si="308"/>
        <v>0</v>
      </c>
      <c r="AP105" s="86">
        <f t="shared" ca="1" si="308"/>
        <v>2</v>
      </c>
      <c r="AQ105" s="86">
        <f t="shared" ca="1" si="308"/>
        <v>1</v>
      </c>
      <c r="AR105" s="86">
        <f t="shared" ca="1" si="308"/>
        <v>3</v>
      </c>
      <c r="AS105" s="86">
        <f t="shared" ca="1" si="308"/>
        <v>4</v>
      </c>
      <c r="AT105" s="87">
        <f t="shared" ca="1" si="308"/>
        <v>-1</v>
      </c>
      <c r="AU105" s="330">
        <f t="shared" ca="1" si="299"/>
        <v>1</v>
      </c>
      <c r="AV105" s="182" t="str">
        <f t="shared" ca="1" si="300"/>
        <v>Túnez</v>
      </c>
      <c r="AW105" s="215"/>
      <c r="AX105" s="170"/>
      <c r="AY105" s="276"/>
      <c r="AZ105" s="279" t="str">
        <f t="shared" ca="1" si="303"/>
        <v>1D - 3B</v>
      </c>
      <c r="BA105" s="176"/>
      <c r="BF105" t="str">
        <f t="shared" ca="1" si="304"/>
        <v>E</v>
      </c>
      <c r="BG105">
        <f t="shared" ca="1" si="305"/>
        <v>4</v>
      </c>
      <c r="BI105">
        <v>3</v>
      </c>
      <c r="BJ105" t="str">
        <f t="shared" ca="1" si="306"/>
        <v>D</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4</v>
      </c>
      <c r="AD106" s="92">
        <v>0</v>
      </c>
      <c r="AE106" s="89"/>
      <c r="AF106" s="91" t="str">
        <f t="shared" ca="1" si="293"/>
        <v>Túnez</v>
      </c>
      <c r="AG106" s="327">
        <f t="shared" ca="1" si="294"/>
        <v>1</v>
      </c>
      <c r="AH106" s="195">
        <v>77</v>
      </c>
      <c r="AI106" s="182">
        <v>5</v>
      </c>
      <c r="AJ106" s="42">
        <v>5</v>
      </c>
      <c r="AK106" s="602" t="e" cm="1" vm="37">
        <f t="array" aca="1" ref="AK106" ca="1">Ver_flag_visit</f>
        <v>#VALUE!</v>
      </c>
      <c r="AL106" s="85" t="str">
        <f t="shared" ca="1" si="297"/>
        <v>Noruega</v>
      </c>
      <c r="AM106" s="589">
        <f t="shared" ca="1" si="301"/>
        <v>2</v>
      </c>
      <c r="AN106" s="86">
        <f t="shared" ref="AN106:AT106" ca="1" si="309">+IF($H$113&gt;=48,INDEX($BE$58:$BN$69,MATCH($AL106,$BD$58:$BD$69,0),MATCH(AN$5,$BE$57:$BN$57,0)),$BB62)</f>
        <v>3</v>
      </c>
      <c r="AO106" s="86">
        <f t="shared" ca="1" si="309"/>
        <v>0</v>
      </c>
      <c r="AP106" s="86">
        <f t="shared" ca="1" si="309"/>
        <v>2</v>
      </c>
      <c r="AQ106" s="86">
        <f t="shared" ca="1" si="309"/>
        <v>1</v>
      </c>
      <c r="AR106" s="86">
        <f t="shared" ca="1" si="309"/>
        <v>2</v>
      </c>
      <c r="AS106" s="86">
        <f t="shared" ca="1" si="309"/>
        <v>3</v>
      </c>
      <c r="AT106" s="87">
        <f t="shared" ca="1" si="309"/>
        <v>-1</v>
      </c>
      <c r="AU106" s="330">
        <f t="shared" ca="1" si="299"/>
        <v>1</v>
      </c>
      <c r="AV106" s="182" t="str">
        <f t="shared" ca="1" si="300"/>
        <v>Noruega</v>
      </c>
      <c r="AW106" s="215"/>
      <c r="AX106" s="170"/>
      <c r="AY106" s="276"/>
      <c r="AZ106" s="279" t="str">
        <f t="shared" ca="1" si="303"/>
        <v>1E - 3D</v>
      </c>
      <c r="BA106" s="176"/>
      <c r="BF106" t="str">
        <f t="shared" ca="1" si="304"/>
        <v>F</v>
      </c>
      <c r="BG106">
        <f t="shared" ca="1" si="305"/>
        <v>5</v>
      </c>
      <c r="BI106">
        <v>4</v>
      </c>
      <c r="BJ106" t="str">
        <f t="shared" ca="1" si="306"/>
        <v>E</v>
      </c>
    </row>
    <row r="107" spans="1:62" ht="16" customHeight="1" x14ac:dyDescent="0.2">
      <c r="A107" s="16" t="s">
        <v>656</v>
      </c>
      <c r="B107" s="16" t="s">
        <v>735</v>
      </c>
      <c r="C107" s="16"/>
      <c r="D107" s="16" t="str">
        <f t="shared" ca="1" si="289"/>
        <v>República Checa</v>
      </c>
      <c r="E107" s="16" t="s">
        <v>0</v>
      </c>
      <c r="F107" s="16" t="s">
        <v>732</v>
      </c>
      <c r="G107" s="16" t="s">
        <v>6</v>
      </c>
      <c r="H107" s="16">
        <f t="shared" ca="1" si="290"/>
        <v>12</v>
      </c>
      <c r="I107" s="16"/>
      <c r="J107" s="16">
        <v>79</v>
      </c>
      <c r="K107" s="16">
        <v>46203.75</v>
      </c>
      <c r="L107" s="16" t="s">
        <v>702</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República Checa</v>
      </c>
      <c r="AB107" s="89"/>
      <c r="AC107" s="92">
        <v>1</v>
      </c>
      <c r="AD107" s="92">
        <v>0</v>
      </c>
      <c r="AE107" s="89"/>
      <c r="AF107" s="91" t="str">
        <f t="shared" ca="1" si="293"/>
        <v>Costa de Marfil</v>
      </c>
      <c r="AG107" s="327">
        <f t="shared" ca="1" si="294"/>
        <v>1</v>
      </c>
      <c r="AH107" s="195">
        <v>79</v>
      </c>
      <c r="AI107" s="182">
        <v>6</v>
      </c>
      <c r="AJ107" s="42">
        <v>6</v>
      </c>
      <c r="AK107" s="602" t="e" cm="1" vm="2">
        <f t="array" aca="1" ref="AK107" ca="1">Ver_flag_visit</f>
        <v>#VALUE!</v>
      </c>
      <c r="AL107" s="85" t="str">
        <f t="shared" ca="1" si="297"/>
        <v>Sudáfrica</v>
      </c>
      <c r="AM107" s="589">
        <f t="shared" ca="1" si="301"/>
        <v>2</v>
      </c>
      <c r="AN107" s="86">
        <f t="shared" ref="AN107:AT107" ca="1" si="310">+IF($H$113&gt;=48,INDEX($BE$58:$BN$69,MATCH($AL107,$BD$58:$BD$69,0),MATCH(AN$5,$BE$57:$BN$57,0)),$BB63)</f>
        <v>3</v>
      </c>
      <c r="AO107" s="86">
        <f t="shared" ca="1" si="310"/>
        <v>0</v>
      </c>
      <c r="AP107" s="86">
        <f t="shared" ca="1" si="310"/>
        <v>2</v>
      </c>
      <c r="AQ107" s="86">
        <f t="shared" ca="1" si="310"/>
        <v>1</v>
      </c>
      <c r="AR107" s="86">
        <f t="shared" ca="1" si="310"/>
        <v>4</v>
      </c>
      <c r="AS107" s="86">
        <f t="shared" ca="1" si="310"/>
        <v>6</v>
      </c>
      <c r="AT107" s="87">
        <f t="shared" ca="1" si="310"/>
        <v>-2</v>
      </c>
      <c r="AU107" s="330">
        <f t="shared" ca="1" si="299"/>
        <v>1</v>
      </c>
      <c r="AV107" s="182" t="str">
        <f ca="1">INDEX($BD$58:$BD$69,MATCH(AI107,$BM$58:$BM$69,0))</f>
        <v>Sudáfrica</v>
      </c>
      <c r="AW107" s="215"/>
      <c r="AX107" s="170"/>
      <c r="AY107" s="276"/>
      <c r="AZ107" s="279" t="str">
        <f t="shared" ca="1" si="303"/>
        <v>1G - 3A</v>
      </c>
      <c r="BA107" s="176"/>
      <c r="BF107" t="str">
        <f t="shared" ca="1" si="304"/>
        <v>I</v>
      </c>
      <c r="BG107">
        <f t="shared" ca="1" si="305"/>
        <v>7</v>
      </c>
      <c r="BI107">
        <v>5</v>
      </c>
      <c r="BJ107" t="str">
        <f t="shared" ca="1" si="306"/>
        <v>F</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3</v>
      </c>
      <c r="AD108" s="92">
        <v>0</v>
      </c>
      <c r="AE108" s="89"/>
      <c r="AF108" s="91" t="str">
        <f t="shared" ca="1" si="293"/>
        <v>Noruega</v>
      </c>
      <c r="AG108" s="327">
        <f t="shared" ca="1" si="294"/>
        <v>1</v>
      </c>
      <c r="AH108" s="195">
        <v>80</v>
      </c>
      <c r="AI108" s="182">
        <v>7</v>
      </c>
      <c r="AJ108" s="42">
        <v>7</v>
      </c>
      <c r="AK108" s="602" t="e" cm="1" vm="5">
        <f t="array" aca="1" ref="AK108" ca="1">Ver_flag_visit</f>
        <v>#VALUE!</v>
      </c>
      <c r="AL108" s="85" t="str">
        <f t="shared" ca="1" si="297"/>
        <v>Canadá</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3</v>
      </c>
      <c r="AS108" s="86">
        <f t="shared" ca="1" si="311"/>
        <v>5</v>
      </c>
      <c r="AT108" s="87">
        <f t="shared" ca="1" si="311"/>
        <v>-2</v>
      </c>
      <c r="AU108" s="330">
        <f t="shared" ca="1" si="299"/>
        <v>1</v>
      </c>
      <c r="AV108" s="182" t="str">
        <f t="shared" ca="1" si="300"/>
        <v>Canadá</v>
      </c>
      <c r="AW108" s="215"/>
      <c r="AX108" s="170"/>
      <c r="AY108" s="276"/>
      <c r="AZ108" s="279" t="str">
        <f t="shared" ca="1" si="303"/>
        <v>1I - 3F</v>
      </c>
      <c r="BA108" s="176"/>
      <c r="BF108" t="str">
        <f t="shared" ca="1" si="304"/>
        <v>A</v>
      </c>
      <c r="BG108">
        <f t="shared" ca="1" si="305"/>
        <v>1</v>
      </c>
      <c r="BI108">
        <v>6</v>
      </c>
      <c r="BJ108" t="str">
        <f t="shared" ca="1" si="306"/>
        <v>G</v>
      </c>
    </row>
    <row r="109" spans="1:62" ht="16" customHeight="1" x14ac:dyDescent="0.2">
      <c r="A109" s="16" t="s">
        <v>669</v>
      </c>
      <c r="B109" s="16" t="s">
        <v>737</v>
      </c>
      <c r="C109" s="16"/>
      <c r="D109" s="16" t="str">
        <f t="shared" ca="1" si="289"/>
        <v>Sudáfrica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0</v>
      </c>
      <c r="AD109" s="92">
        <v>1</v>
      </c>
      <c r="AE109" s="89"/>
      <c r="AF109" s="91" t="str">
        <f t="shared" ca="1" si="293"/>
        <v>Sudáfrica</v>
      </c>
      <c r="AG109" s="327">
        <f t="shared" ca="1" si="294"/>
        <v>1</v>
      </c>
      <c r="AH109" s="195">
        <v>82</v>
      </c>
      <c r="AI109" s="182">
        <v>8</v>
      </c>
      <c r="AJ109" s="42">
        <v>8</v>
      </c>
      <c r="AK109" s="602" t="e" cm="1" vm="48">
        <f t="array" aca="1" ref="AK109" ca="1">Ver_flag_visit</f>
        <v>#VALUE!</v>
      </c>
      <c r="AL109" s="85" t="str">
        <f t="shared" ca="1" si="297"/>
        <v>Ghana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2</v>
      </c>
      <c r="AS109" s="86">
        <f t="shared" ca="1" si="312"/>
        <v>4</v>
      </c>
      <c r="AT109" s="87">
        <f t="shared" ca="1" si="312"/>
        <v>-2</v>
      </c>
      <c r="AU109" s="330">
        <f t="shared" ca="1" si="299"/>
        <v>2</v>
      </c>
      <c r="AV109" s="182" t="str">
        <f t="shared" ca="1" si="300"/>
        <v>Ghana</v>
      </c>
      <c r="AW109" s="215"/>
      <c r="AX109" s="170"/>
      <c r="AY109" s="276"/>
      <c r="AZ109" s="279" t="str">
        <f t="shared" ca="1" si="303"/>
        <v>1K - 3L</v>
      </c>
      <c r="BA109" s="176"/>
      <c r="BF109" t="str">
        <f t="shared" ca="1" si="304"/>
        <v>B</v>
      </c>
      <c r="BG109">
        <f t="shared" ca="1" si="305"/>
        <v>2</v>
      </c>
      <c r="BI109">
        <v>7</v>
      </c>
      <c r="BJ109" t="str">
        <f t="shared" ca="1" si="306"/>
        <v>I</v>
      </c>
    </row>
    <row r="110" spans="1:62" ht="16" customHeight="1" x14ac:dyDescent="0.2">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Canadá</v>
      </c>
      <c r="AG110" s="327">
        <f t="shared" ca="1" si="294"/>
        <v>1</v>
      </c>
      <c r="AH110" s="195">
        <v>81</v>
      </c>
      <c r="AI110" s="182">
        <v>9</v>
      </c>
      <c r="AJ110" s="42">
        <v>9</v>
      </c>
      <c r="AK110" s="602" t="e" cm="1" vm="43">
        <f t="array" aca="1" ref="AK110" ca="1">Ver_flag_visit</f>
        <v>#VALUE!</v>
      </c>
      <c r="AL110" s="85" t="str">
        <f t="shared" ca="1" si="297"/>
        <v>RD Congo</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2</v>
      </c>
      <c r="AS110" s="86">
        <f t="shared" ca="1" si="313"/>
        <v>4</v>
      </c>
      <c r="AT110" s="87">
        <f t="shared" ca="1" si="313"/>
        <v>-2</v>
      </c>
      <c r="AU110" s="330">
        <f t="shared" ca="1" si="299"/>
        <v>2</v>
      </c>
      <c r="AV110" s="182" t="str">
        <f t="shared" ca="1" si="300"/>
        <v>RD Congo</v>
      </c>
      <c r="AW110" s="215"/>
      <c r="AX110" s="170"/>
      <c r="AY110" s="276"/>
      <c r="AZ110" s="279" t="str">
        <f t="shared" ca="1" si="303"/>
        <v>1L - 3I</v>
      </c>
      <c r="BA110" s="176"/>
      <c r="BF110" t="str">
        <f t="shared" ca="1" si="304"/>
        <v>L</v>
      </c>
      <c r="BG110">
        <f t="shared" ca="1" si="305"/>
        <v>8</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39">
        <f t="array" aca="1" ref="AK111" ca="1">Ver_flag_visit</f>
        <v>#VALUE!</v>
      </c>
      <c r="AL111" s="85" t="str">
        <f t="shared" ca="1" si="297"/>
        <v>Argelia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2</v>
      </c>
      <c r="AS111" s="86">
        <f t="shared" ca="1" si="314"/>
        <v>5</v>
      </c>
      <c r="AT111" s="87">
        <f t="shared" ca="1" si="314"/>
        <v>-3</v>
      </c>
      <c r="AU111" s="330">
        <f t="shared" ca="1" si="299"/>
        <v>1</v>
      </c>
      <c r="AV111" s="182" t="str">
        <f t="shared" ca="1" si="300"/>
        <v>Argelia</v>
      </c>
      <c r="AW111" s="215"/>
      <c r="AX111" s="170"/>
      <c r="AY111" s="275"/>
      <c r="AZ111" s="275"/>
      <c r="BA111" s="176"/>
      <c r="BI111" t="s">
        <v>87</v>
      </c>
    </row>
    <row r="112" spans="1:62" ht="16" customHeight="1" x14ac:dyDescent="0.2">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2</v>
      </c>
      <c r="AE112" s="89"/>
      <c r="AF112" s="91" t="str">
        <f t="shared" ca="1" si="293"/>
        <v>Croacia</v>
      </c>
      <c r="AG112" s="327">
        <f t="shared" ca="1" si="294"/>
        <v>1</v>
      </c>
      <c r="AH112" s="195">
        <v>83</v>
      </c>
      <c r="AI112" s="182">
        <v>11</v>
      </c>
      <c r="AJ112" s="42">
        <v>11</v>
      </c>
      <c r="AK112" s="602" t="e" cm="1" vm="31">
        <f t="array" aca="1" ref="AK112" ca="1">Ver_flag_visit</f>
        <v>#VALUE!</v>
      </c>
      <c r="AL112" s="85" t="str">
        <f t="shared" ca="1" si="297"/>
        <v>Cabo Verde</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5</v>
      </c>
      <c r="AT112" s="87">
        <f t="shared" ca="1" si="315"/>
        <v>-4</v>
      </c>
      <c r="AU112" s="330">
        <f t="shared" ca="1" si="299"/>
        <v>1</v>
      </c>
      <c r="AV112" s="182" t="str">
        <f t="shared" ca="1" si="300"/>
        <v>Cabo Verde</v>
      </c>
      <c r="AW112" s="215"/>
      <c r="AX112" s="170"/>
      <c r="AY112" s="275"/>
      <c r="AZ112" s="275"/>
      <c r="BA112" s="176"/>
      <c r="BI112" t="str">
        <f ca="1">IFERROR(CONCATENATE(BJ103,BJ104,BJ105,BJ106,BJ107,BJ108,BJ109,BJ110),"¿A/B/C/D/E/F/G/H/I/J/K/L?")</f>
        <v>ABDEFGIL</v>
      </c>
    </row>
    <row r="113" spans="1:59" ht="16" customHeight="1" thickBot="1" x14ac:dyDescent="0.25">
      <c r="A113" s="16" t="s">
        <v>659</v>
      </c>
      <c r="B113" s="16" t="s">
        <v>739</v>
      </c>
      <c r="C113" s="16"/>
      <c r="D113" s="16" t="str">
        <f t="shared" ca="1" si="289"/>
        <v>Bosnia y Herzegovina</v>
      </c>
      <c r="E113" s="16" t="s">
        <v>1</v>
      </c>
      <c r="F113" s="16" t="s">
        <v>732</v>
      </c>
      <c r="G113" s="16" t="s">
        <v>732</v>
      </c>
      <c r="H113" s="16">
        <f ca="1">+IF($AJ$99&lt;&gt;144,SUM(H101:H112),$AJ$99)</f>
        <v>144</v>
      </c>
      <c r="I113" s="16"/>
      <c r="J113" s="16">
        <v>85</v>
      </c>
      <c r="K113" s="16">
        <v>46205.75</v>
      </c>
      <c r="L113" s="16" t="s">
        <v>708</v>
      </c>
      <c r="M113" s="16" t="str">
        <f t="shared" ca="1" si="291"/>
        <v>Bosnia y Herzegovina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Bosnia y Herzegovina</v>
      </c>
      <c r="AB113" s="89"/>
      <c r="AC113" s="92">
        <v>2</v>
      </c>
      <c r="AD113" s="92">
        <v>1</v>
      </c>
      <c r="AE113" s="90"/>
      <c r="AF113" s="91" t="str">
        <f t="shared" ca="1" si="293"/>
        <v>Egipto</v>
      </c>
      <c r="AG113" s="327">
        <f t="shared" ca="1" si="294"/>
        <v>1</v>
      </c>
      <c r="AH113" s="195">
        <v>85</v>
      </c>
      <c r="AI113" s="182">
        <v>12</v>
      </c>
      <c r="AJ113" s="44">
        <v>12</v>
      </c>
      <c r="AK113" s="604" t="e" cm="1" vm="12">
        <f t="array" aca="1" ref="AK113" ca="1">Ver_flag_visit</f>
        <v>#VALUE!</v>
      </c>
      <c r="AL113" s="45" t="str">
        <f t="shared" ca="1" si="297"/>
        <v>Haití</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30">
        <f t="shared" ca="1" si="299"/>
        <v>1</v>
      </c>
      <c r="AV113" s="182" t="str">
        <f t="shared" ca="1" si="300"/>
        <v>Haití</v>
      </c>
      <c r="AW113" s="215"/>
      <c r="AX113" s="170"/>
      <c r="AY113" s="154"/>
      <c r="AZ113" s="155"/>
      <c r="BA113" s="176"/>
    </row>
    <row r="114" spans="1:59" ht="16" customHeight="1" x14ac:dyDescent="0.2">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2</v>
      </c>
      <c r="AD114" s="92">
        <v>0</v>
      </c>
      <c r="AE114" s="89"/>
      <c r="AF114" s="91" t="str">
        <f t="shared" ca="1" si="293"/>
        <v>Nueva Zelanda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2</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4</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México</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v>1</v>
      </c>
      <c r="AC120" s="96">
        <v>2</v>
      </c>
      <c r="AD120" s="96">
        <v>2</v>
      </c>
      <c r="AE120" s="89">
        <v>0</v>
      </c>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México</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República Checa</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República Checa</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0</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 customHeight="1" x14ac:dyDescent="0.2">
      <c r="A125" s="16" t="s">
        <v>751</v>
      </c>
      <c r="B125" s="16" t="s">
        <v>752</v>
      </c>
      <c r="C125" s="16"/>
      <c r="D125" s="16" t="str">
        <f t="shared" ca="1" si="317"/>
        <v>Sudáfrica</v>
      </c>
      <c r="E125" s="16">
        <v>81</v>
      </c>
      <c r="F125" s="16">
        <v>82</v>
      </c>
      <c r="G125" s="16"/>
      <c r="H125" s="16"/>
      <c r="I125" s="16"/>
      <c r="J125" s="16">
        <v>94</v>
      </c>
      <c r="K125" s="16">
        <v>46209.875</v>
      </c>
      <c r="L125" s="16" t="s">
        <v>717</v>
      </c>
      <c r="M125" s="16" t="str">
        <f t="shared" ca="1" si="318"/>
        <v>Turquía</v>
      </c>
      <c r="N125" s="16" t="str">
        <f t="shared" ca="1" si="318"/>
        <v>Sudáfrica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1</v>
      </c>
      <c r="AD125" s="99">
        <v>2</v>
      </c>
      <c r="AE125" s="89"/>
      <c r="AF125" s="91" t="str">
        <f t="shared" ca="1" si="321"/>
        <v>Sudáfrica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0</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Bosnia y Herzegovina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Bosnia y Herzegovina</v>
      </c>
      <c r="AB127" s="94"/>
      <c r="AC127" s="100">
        <v>0</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México</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México</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Sudáfrica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4</v>
      </c>
      <c r="AD132" s="99">
        <v>0</v>
      </c>
      <c r="AE132" s="89"/>
      <c r="AF132" s="116" t="str">
        <f ca="1">+INDEX($N$101:$N$147,MATCH(AH132,$J$101:$J$147,0))</f>
        <v>Sudáfrica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2</v>
      </c>
      <c r="AD133" s="99">
        <v>3</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3</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v>1</v>
      </c>
      <c r="AC139" s="100">
        <v>1</v>
      </c>
      <c r="AD139" s="100">
        <v>1</v>
      </c>
      <c r="AE139" s="140">
        <v>0</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0</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Inglaterra</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2</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Inglaterra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1519</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x14ac:dyDescent="0.3">
      <c r="A2" s="290"/>
      <c r="B2" s="291"/>
      <c r="C2" s="291"/>
      <c r="D2" s="368"/>
      <c r="E2" s="701"/>
      <c r="F2" s="701"/>
      <c r="G2" s="701"/>
      <c r="H2" s="701"/>
      <c r="I2" s="701"/>
      <c r="J2" s="701"/>
      <c r="K2" s="701"/>
      <c r="L2" s="701"/>
      <c r="M2" s="701"/>
      <c r="N2" s="701"/>
    </row>
    <row r="3" spans="1:14" ht="35" customHeight="1" thickBot="1" x14ac:dyDescent="0.3">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x14ac:dyDescent="0.25">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x14ac:dyDescent="0.2">
      <c r="A5" s="353"/>
      <c r="B5" s="354" t="str">
        <f>Idiomas!D125</f>
        <v>FASE DE GRUPOS</v>
      </c>
      <c r="C5" s="346" t="str">
        <f>Home!C10</f>
        <v>Marco</v>
      </c>
      <c r="E5" s="706" t="str">
        <f>Idiomas!D109</f>
        <v>·Si haceis jornada a jornada seguir las instrucciones de cada jornada</v>
      </c>
      <c r="F5" s="706"/>
      <c r="G5" s="706"/>
      <c r="H5" s="706"/>
      <c r="I5" s="706"/>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2|1-3</v>
      </c>
      <c r="D7" s="697"/>
      <c r="E7" s="686"/>
      <c r="F7" s="686"/>
      <c r="G7" s="686"/>
      <c r="H7" s="686"/>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2|1-3</v>
      </c>
      <c r="D8" s="697"/>
      <c r="E8" s="686"/>
      <c r="F8" s="686"/>
      <c r="G8" s="686"/>
      <c r="H8" s="686"/>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1|2-0</v>
      </c>
      <c r="D9" s="697"/>
      <c r="E9" s="686"/>
      <c r="F9" s="686"/>
      <c r="G9" s="686"/>
      <c r="H9" s="686"/>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X|0-0</v>
      </c>
      <c r="D11" s="697"/>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1|3-0</v>
      </c>
      <c r="D16" s="697"/>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1|2-0</v>
      </c>
      <c r="D18" s="697"/>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2|0-1</v>
      </c>
      <c r="D19" s="697"/>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7"/>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1|3-0</v>
      </c>
      <c r="D22" s="697"/>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X|0-0</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1|2-1</v>
      </c>
      <c r="D25" s="697"/>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2|0-1</v>
      </c>
      <c r="D27" s="697"/>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X|2-2</v>
      </c>
      <c r="D28" s="697"/>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X|2-2</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X|2-2</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X|1-1</v>
      </c>
      <c r="D33" s="699"/>
      <c r="E33" s="686"/>
      <c r="F33" s="686"/>
      <c r="G33" s="686"/>
      <c r="H33" s="686"/>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2|0-3</v>
      </c>
      <c r="D34" s="699"/>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9"/>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X|2-2</v>
      </c>
      <c r="D37" s="699"/>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X|1-1</v>
      </c>
      <c r="D39" s="699"/>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9"/>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X|1-1</v>
      </c>
      <c r="D41" s="699"/>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1|2-1</v>
      </c>
      <c r="D42" s="699"/>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99"/>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1|4-0</v>
      </c>
      <c r="D46" s="699"/>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1|1-0</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X|1-1</v>
      </c>
      <c r="D51" s="699"/>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1|2-1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X|2-2</v>
      </c>
      <c r="D55" s="693"/>
      <c r="E55" s="686"/>
      <c r="F55" s="686"/>
      <c r="G55" s="686"/>
      <c r="H55" s="686"/>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693"/>
      <c r="E57" s="686"/>
      <c r="F57" s="686"/>
      <c r="G57" s="686"/>
      <c r="H57" s="686"/>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2|0-4</v>
      </c>
      <c r="D58" s="693"/>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1|3-1</v>
      </c>
      <c r="D59" s="693"/>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1|3-1</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1|3-2</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2|0-2</v>
      </c>
      <c r="D63" s="693"/>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2|1-3</v>
      </c>
      <c r="D64" s="693"/>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2|1-2</v>
      </c>
      <c r="D65" s="693"/>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1|2-0</v>
      </c>
      <c r="D66" s="693"/>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X|1-1</v>
      </c>
      <c r="D67" s="693"/>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693"/>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2|0-1</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1|1-0</v>
      </c>
      <c r="D71" s="693"/>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X|2-2</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93"/>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9" customHeight="1" x14ac:dyDescent="0.25">
      <c r="A79" s="353"/>
      <c r="B79" s="358" t="str">
        <f>Idiomas!D126</f>
        <v>POSICIÓN GRUPOS</v>
      </c>
      <c r="C79" s="350"/>
      <c r="D79" s="693"/>
      <c r="E79" s="370"/>
      <c r="F79" s="370"/>
      <c r="G79" s="370"/>
      <c r="H79" s="370"/>
      <c r="I79" s="381"/>
      <c r="J79" s="370"/>
      <c r="K79" s="370"/>
      <c r="L79" s="370"/>
      <c r="M79" s="379"/>
      <c r="N79" s="377"/>
    </row>
    <row r="80" spans="1:14" ht="15" customHeight="1" x14ac:dyDescent="0.2">
      <c r="A80" s="696" t="s">
        <v>0</v>
      </c>
      <c r="B80" s="359" t="str">
        <f>Idiomas!D140</f>
        <v>1º GRUPO A</v>
      </c>
      <c r="C80" s="349" t="str">
        <f ca="1">IF(OR(SUM(WORLDCUP!$AN$6:$AN$9)=12,WORLDCUP!$AJ$99=144),WORLDCUP!AL6,B80)</f>
        <v>República Checa</v>
      </c>
      <c r="D80" s="693"/>
      <c r="E80" s="370"/>
      <c r="F80" s="370"/>
      <c r="G80" s="370"/>
      <c r="H80" s="370"/>
      <c r="I80" s="381"/>
      <c r="J80" s="370"/>
      <c r="K80" s="370"/>
      <c r="L80" s="370"/>
      <c r="M80" s="379"/>
      <c r="N80" s="377"/>
    </row>
    <row r="81" spans="1:14" ht="15" customHeight="1" x14ac:dyDescent="0.2">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x14ac:dyDescent="0.2">
      <c r="A82" s="696"/>
      <c r="B82" s="359" t="str">
        <f>Idiomas!D142</f>
        <v>3º GRUPO A</v>
      </c>
      <c r="C82" s="349" t="str">
        <f ca="1">IF(OR(SUM(WORLDCUP!$AN$6:$AN$9)=12,WORLDCUP!$AJ$99=144),WORLDCUP!AL8,B82)</f>
        <v>Sudáfrica</v>
      </c>
      <c r="D82" s="693"/>
      <c r="E82" s="370"/>
      <c r="F82" s="370"/>
      <c r="G82" s="370"/>
      <c r="H82" s="370"/>
      <c r="I82" s="381"/>
      <c r="J82" s="370"/>
      <c r="K82" s="370"/>
      <c r="L82" s="370"/>
      <c r="M82" s="379"/>
      <c r="N82" s="377"/>
    </row>
    <row r="83" spans="1:14" ht="15" customHeight="1" x14ac:dyDescent="0.2">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x14ac:dyDescent="0.2">
      <c r="A84" s="695" t="s">
        <v>1</v>
      </c>
      <c r="B84" s="357" t="str">
        <f>Idiomas!D144</f>
        <v>1º GRUPO B</v>
      </c>
      <c r="C84" s="349" t="str">
        <f ca="1">IF(OR(SUM(WORLDCUP!$AN$14:$AN$17)=12,WORLDCUP!$AJ$99=144),WORLDCUP!AL14,B84)</f>
        <v>Bosnia y Herzegovina</v>
      </c>
      <c r="D84" s="693"/>
      <c r="E84" s="370"/>
      <c r="F84" s="370"/>
      <c r="G84" s="370"/>
      <c r="H84" s="370"/>
      <c r="I84" s="381"/>
      <c r="J84" s="370"/>
      <c r="K84" s="370"/>
      <c r="L84" s="370"/>
      <c r="M84" s="379"/>
      <c r="N84" s="377"/>
    </row>
    <row r="85" spans="1:14" ht="15" customHeight="1" x14ac:dyDescent="0.2">
      <c r="A85" s="695"/>
      <c r="B85" s="357" t="str">
        <f>Idiomas!D145</f>
        <v>2º GRUPO B</v>
      </c>
      <c r="C85" s="349" t="str">
        <f ca="1">IF(OR(SUM(WORLDCUP!$AN$14:$AN$17)=12,WORLDCUP!$AJ$99=144),WORLDCUP!AL15,B85)</f>
        <v>Catar</v>
      </c>
      <c r="D85" s="693"/>
      <c r="E85" s="370"/>
      <c r="F85" s="370"/>
      <c r="G85" s="370"/>
      <c r="H85" s="370"/>
      <c r="I85" s="381"/>
      <c r="J85" s="370"/>
      <c r="K85" s="370"/>
      <c r="L85" s="370"/>
      <c r="M85" s="379"/>
      <c r="N85" s="377"/>
    </row>
    <row r="86" spans="1:14" ht="15" customHeight="1" x14ac:dyDescent="0.2">
      <c r="A86" s="695"/>
      <c r="B86" s="357" t="str">
        <f>Idiomas!D146</f>
        <v>3º GRUPO B</v>
      </c>
      <c r="C86" s="349" t="str">
        <f ca="1">IF(OR(SUM(WORLDCUP!$AN$14:$AN$17)=12,WORLDCUP!$AJ$99=144),WORLDCUP!AL16,B86)</f>
        <v>Canadá</v>
      </c>
      <c r="D86" s="693"/>
      <c r="E86" s="370"/>
      <c r="F86" s="370"/>
      <c r="G86" s="370"/>
      <c r="H86" s="370"/>
      <c r="I86" s="381"/>
      <c r="J86" s="370"/>
      <c r="K86" s="370"/>
      <c r="L86" s="370"/>
      <c r="M86" s="379"/>
      <c r="N86" s="377"/>
    </row>
    <row r="87" spans="1:14" ht="15" customHeight="1" x14ac:dyDescent="0.2">
      <c r="A87" s="695"/>
      <c r="B87" s="357" t="str">
        <f>Idiomas!D147</f>
        <v>4º GRUPO B</v>
      </c>
      <c r="C87" s="349" t="str">
        <f ca="1">IF(OR(SUM(WORLDCUP!$AN$14:$AN$17)=12,WORLDCUP!$AJ$99=144),WORLDCUP!AL17,B87)</f>
        <v>Suiza</v>
      </c>
      <c r="D87" s="693"/>
      <c r="E87" s="370"/>
      <c r="F87" s="370"/>
      <c r="G87" s="370"/>
      <c r="H87" s="370"/>
      <c r="I87" s="381"/>
      <c r="J87" s="370"/>
      <c r="K87" s="370"/>
      <c r="L87" s="370"/>
      <c r="M87" s="379"/>
      <c r="N87" s="377"/>
    </row>
    <row r="88" spans="1:14" ht="15" customHeight="1" x14ac:dyDescent="0.2">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x14ac:dyDescent="0.2">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x14ac:dyDescent="0.2">
      <c r="A90" s="696"/>
      <c r="B90" s="359" t="str">
        <f>Idiomas!D150</f>
        <v>3º GRUPO C</v>
      </c>
      <c r="C90" s="349" t="str">
        <f ca="1">IF(OR(SUM(WORLDCUP!$AN$22:$AN$25)=12,WORLDCUP!$AJ$99=144),WORLDCUP!AL24,B90)</f>
        <v>Haití</v>
      </c>
      <c r="D90" s="693"/>
      <c r="E90" s="370"/>
      <c r="F90" s="370"/>
      <c r="G90" s="370"/>
      <c r="H90" s="370"/>
      <c r="I90" s="381"/>
      <c r="J90" s="370"/>
      <c r="K90" s="370"/>
      <c r="L90" s="370"/>
      <c r="M90" s="379"/>
      <c r="N90" s="377"/>
    </row>
    <row r="91" spans="1:14" ht="15" customHeight="1" x14ac:dyDescent="0.2">
      <c r="A91" s="696"/>
      <c r="B91" s="359" t="str">
        <f>Idiomas!D151</f>
        <v>4º GRUPO C</v>
      </c>
      <c r="C91" s="349" t="str">
        <f ca="1">IF(OR(SUM(WORLDCUP!$AN$22:$AN$25)=12,WORLDCUP!$AJ$99=144),WORLDCUP!AL25,B91)</f>
        <v>Escocia</v>
      </c>
      <c r="D91" s="693"/>
      <c r="E91" s="370"/>
      <c r="F91" s="370"/>
      <c r="G91" s="370"/>
      <c r="H91" s="370"/>
      <c r="I91" s="381"/>
      <c r="J91" s="370"/>
      <c r="K91" s="370"/>
      <c r="L91" s="370"/>
      <c r="M91" s="379"/>
      <c r="N91" s="377"/>
    </row>
    <row r="92" spans="1:14" ht="15" customHeight="1" x14ac:dyDescent="0.2">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x14ac:dyDescent="0.2">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x14ac:dyDescent="0.2">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x14ac:dyDescent="0.2">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x14ac:dyDescent="0.2">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x14ac:dyDescent="0.2">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x14ac:dyDescent="0.2">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x14ac:dyDescent="0.2">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x14ac:dyDescent="0.2">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x14ac:dyDescent="0.2">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x14ac:dyDescent="0.2">
      <c r="A102" s="695"/>
      <c r="B102" s="357" t="str">
        <f>Idiomas!D162</f>
        <v>3º GRUPO F</v>
      </c>
      <c r="C102" s="349" t="str">
        <f ca="1">IF(OR(SUM(WORLDCUP!$AN$46:$AN$49)=12,WORLDCUP!$AJ$99=144),WORLDCUP!AL48,B102)</f>
        <v>Túnez</v>
      </c>
      <c r="D102" s="693"/>
      <c r="E102" s="370"/>
      <c r="F102" s="370"/>
      <c r="G102" s="370"/>
      <c r="H102" s="370"/>
      <c r="I102" s="381"/>
      <c r="J102" s="370"/>
      <c r="K102" s="370"/>
      <c r="L102" s="370"/>
      <c r="M102" s="379"/>
      <c r="N102" s="377"/>
    </row>
    <row r="103" spans="1:14" ht="15" customHeight="1" x14ac:dyDescent="0.2">
      <c r="A103" s="695"/>
      <c r="B103" s="357" t="str">
        <f>Idiomas!D163</f>
        <v>4º GRUPO F</v>
      </c>
      <c r="C103" s="349" t="str">
        <f ca="1">IF(OR(SUM(WORLDCUP!$AN$46:$AN$49)=12,WORLDCUP!$AJ$99=144),WORLDCUP!AL49,B103)</f>
        <v>Japón</v>
      </c>
      <c r="D103" s="693"/>
      <c r="E103" s="370"/>
      <c r="F103" s="370"/>
      <c r="G103" s="370"/>
      <c r="H103" s="370"/>
      <c r="I103" s="381"/>
      <c r="J103" s="370"/>
      <c r="K103" s="370"/>
      <c r="L103" s="370"/>
      <c r="M103" s="379"/>
      <c r="N103" s="377"/>
    </row>
    <row r="104" spans="1:14" ht="15" customHeight="1" x14ac:dyDescent="0.2">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x14ac:dyDescent="0.2">
      <c r="A105" s="696"/>
      <c r="B105" s="359" t="str">
        <f>Idiomas!D165</f>
        <v>2º GRUPO G</v>
      </c>
      <c r="C105" s="349" t="str">
        <f ca="1">IF(OR(SUM(WORLDCUP!$AN$54:$AN$57)=12,WORLDCUP!$AJ$99=144),WORLDCUP!AL55,B105)</f>
        <v>Nueva Zelanda</v>
      </c>
      <c r="D105" s="693"/>
      <c r="E105" s="370"/>
      <c r="F105" s="370"/>
      <c r="G105" s="370"/>
      <c r="H105" s="370"/>
      <c r="I105" s="381"/>
      <c r="J105" s="370"/>
      <c r="K105" s="370"/>
      <c r="L105" s="370"/>
      <c r="M105" s="379"/>
      <c r="N105" s="377"/>
    </row>
    <row r="106" spans="1:14" ht="15" customHeight="1" x14ac:dyDescent="0.2">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x14ac:dyDescent="0.2">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x14ac:dyDescent="0.2">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x14ac:dyDescent="0.2">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x14ac:dyDescent="0.2">
      <c r="A110" s="695"/>
      <c r="B110" s="357" t="str">
        <f>Idiomas!D170</f>
        <v>3º GRUPO H</v>
      </c>
      <c r="C110" s="349" t="str">
        <f ca="1">IF(OR(SUM(WORLDCUP!$AN$62:$AN$65)=12,WORLDCUP!$AJ$99=144),WORLDCUP!AL64,B110)</f>
        <v>Cabo Verde</v>
      </c>
      <c r="D110" s="693"/>
      <c r="E110" s="370"/>
      <c r="F110" s="370"/>
      <c r="G110" s="370"/>
      <c r="H110" s="370"/>
      <c r="I110" s="381"/>
      <c r="J110" s="370"/>
      <c r="K110" s="370"/>
      <c r="L110" s="370"/>
      <c r="M110" s="379"/>
      <c r="N110" s="377"/>
    </row>
    <row r="111" spans="1:14" ht="15" customHeight="1" x14ac:dyDescent="0.2">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x14ac:dyDescent="0.2">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x14ac:dyDescent="0.2">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x14ac:dyDescent="0.2">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x14ac:dyDescent="0.2">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x14ac:dyDescent="0.2">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x14ac:dyDescent="0.2">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x14ac:dyDescent="0.2">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x14ac:dyDescent="0.2">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x14ac:dyDescent="0.2">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x14ac:dyDescent="0.2">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x14ac:dyDescent="0.2">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x14ac:dyDescent="0.2">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x14ac:dyDescent="0.2">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x14ac:dyDescent="0.2">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x14ac:dyDescent="0.2">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x14ac:dyDescent="0.2">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693"/>
      <c r="E129" s="370"/>
      <c r="F129" s="370"/>
      <c r="G129" s="370"/>
      <c r="H129" s="370"/>
      <c r="I129" s="381"/>
      <c r="J129" s="370"/>
      <c r="K129" s="370"/>
      <c r="L129" s="370"/>
      <c r="M129" s="379"/>
      <c r="N129" s="377"/>
    </row>
    <row r="130" spans="1:14" ht="15" customHeight="1" x14ac:dyDescent="0.2">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x14ac:dyDescent="0.2">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x14ac:dyDescent="0.2">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x14ac:dyDescent="0.2">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x14ac:dyDescent="0.2">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x14ac:dyDescent="0.2">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x14ac:dyDescent="0.2">
      <c r="A136" s="690"/>
      <c r="B136" s="360" t="str">
        <f t="shared" si="0"/>
        <v>Dieciseisavofinalista</v>
      </c>
      <c r="C136" s="349" t="str">
        <f ca="1">WORLDCUP!AA107</f>
        <v>República Checa</v>
      </c>
      <c r="D136" s="693"/>
      <c r="E136" s="370"/>
      <c r="F136" s="370"/>
      <c r="G136" s="370"/>
      <c r="H136" s="370"/>
      <c r="I136" s="381"/>
      <c r="J136" s="370"/>
      <c r="K136" s="370"/>
      <c r="L136" s="370"/>
      <c r="M136" s="379"/>
      <c r="N136" s="377"/>
    </row>
    <row r="137" spans="1:14" ht="15" customHeight="1" x14ac:dyDescent="0.2">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x14ac:dyDescent="0.2">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x14ac:dyDescent="0.2">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x14ac:dyDescent="0.2">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x14ac:dyDescent="0.2">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x14ac:dyDescent="0.2">
      <c r="A142" s="690"/>
      <c r="B142" s="360" t="str">
        <f t="shared" si="0"/>
        <v>Dieciseisavofinalista</v>
      </c>
      <c r="C142" s="349" t="str">
        <f ca="1">WORLDCUP!AA113</f>
        <v>Bosnia y Herzegovina</v>
      </c>
      <c r="D142" s="693"/>
      <c r="E142" s="370"/>
      <c r="F142" s="370"/>
      <c r="G142" s="370"/>
      <c r="H142" s="370"/>
      <c r="I142" s="381"/>
      <c r="J142" s="370"/>
      <c r="K142" s="370"/>
      <c r="L142" s="370"/>
      <c r="M142" s="379"/>
      <c r="N142" s="377"/>
    </row>
    <row r="143" spans="1:14" ht="15" customHeight="1" x14ac:dyDescent="0.2">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x14ac:dyDescent="0.2">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x14ac:dyDescent="0.2">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x14ac:dyDescent="0.2">
      <c r="A146" s="690"/>
      <c r="B146" s="360" t="str">
        <f>Idiomas!$D$188</f>
        <v>Dieciseisavofinalista</v>
      </c>
      <c r="C146" s="349" t="str">
        <f ca="1">WORLDCUP!AF101</f>
        <v>Catar</v>
      </c>
      <c r="D146" s="693"/>
      <c r="E146" s="370"/>
      <c r="F146" s="370"/>
      <c r="G146" s="370"/>
      <c r="H146" s="370"/>
      <c r="I146" s="381"/>
      <c r="J146" s="370"/>
      <c r="K146" s="370"/>
      <c r="L146" s="370"/>
      <c r="M146" s="379"/>
      <c r="N146" s="377"/>
    </row>
    <row r="147" spans="1:14" ht="15" customHeight="1" x14ac:dyDescent="0.2">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x14ac:dyDescent="0.2">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x14ac:dyDescent="0.2">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x14ac:dyDescent="0.2">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x14ac:dyDescent="0.2">
      <c r="A151" s="690"/>
      <c r="B151" s="360" t="str">
        <f t="shared" si="1"/>
        <v>Dieciseisavofinalista</v>
      </c>
      <c r="C151" s="349" t="str">
        <f ca="1">WORLDCUP!AF106</f>
        <v>Túnez</v>
      </c>
      <c r="D151" s="693"/>
      <c r="E151" s="370"/>
      <c r="F151" s="370"/>
      <c r="G151" s="370"/>
      <c r="H151" s="370"/>
      <c r="I151" s="381"/>
      <c r="J151" s="370"/>
      <c r="K151" s="370"/>
      <c r="L151" s="370"/>
      <c r="M151" s="379"/>
      <c r="N151" s="377"/>
    </row>
    <row r="152" spans="1:14" ht="15" customHeight="1" x14ac:dyDescent="0.2">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x14ac:dyDescent="0.2">
      <c r="A153" s="690"/>
      <c r="B153" s="360" t="str">
        <f t="shared" si="1"/>
        <v>Dieciseisavofinalista</v>
      </c>
      <c r="C153" s="349" t="str">
        <f ca="1">WORLDCUP!AF108</f>
        <v>Noruega</v>
      </c>
      <c r="D153" s="693"/>
      <c r="E153" s="370"/>
      <c r="F153" s="370"/>
      <c r="G153" s="370"/>
      <c r="H153" s="370"/>
      <c r="I153" s="381"/>
      <c r="J153" s="370"/>
      <c r="K153" s="370"/>
      <c r="L153" s="370"/>
      <c r="M153" s="379"/>
      <c r="N153" s="377"/>
    </row>
    <row r="154" spans="1:14" ht="15" customHeight="1" x14ac:dyDescent="0.2">
      <c r="A154" s="690"/>
      <c r="B154" s="360" t="str">
        <f t="shared" si="1"/>
        <v>Dieciseisavofinalista</v>
      </c>
      <c r="C154" s="349" t="str">
        <f ca="1">WORLDCUP!AF109</f>
        <v>Sudáfrica</v>
      </c>
      <c r="D154" s="693"/>
      <c r="E154" s="370"/>
      <c r="F154" s="370"/>
      <c r="G154" s="370"/>
      <c r="H154" s="370"/>
      <c r="I154" s="381"/>
      <c r="J154" s="370"/>
      <c r="K154" s="370"/>
      <c r="L154" s="370"/>
      <c r="M154" s="379"/>
      <c r="N154" s="377"/>
    </row>
    <row r="155" spans="1:14" ht="15" customHeight="1" x14ac:dyDescent="0.2">
      <c r="A155" s="690"/>
      <c r="B155" s="360" t="str">
        <f t="shared" si="1"/>
        <v>Dieciseisavofinalista</v>
      </c>
      <c r="C155" s="349" t="str">
        <f ca="1">WORLDCUP!AF110</f>
        <v>Canadá</v>
      </c>
      <c r="D155" s="693"/>
      <c r="E155" s="370"/>
      <c r="F155" s="370"/>
      <c r="G155" s="370"/>
      <c r="H155" s="370"/>
      <c r="I155" s="381"/>
      <c r="J155" s="370"/>
      <c r="K155" s="370"/>
      <c r="L155" s="370"/>
      <c r="M155" s="379"/>
      <c r="N155" s="377"/>
    </row>
    <row r="156" spans="1:14" ht="15" customHeight="1" x14ac:dyDescent="0.2">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x14ac:dyDescent="0.2">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x14ac:dyDescent="0.2">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x14ac:dyDescent="0.2">
      <c r="A159" s="690"/>
      <c r="B159" s="360" t="str">
        <f t="shared" si="1"/>
        <v>Dieciseisavofinalista</v>
      </c>
      <c r="C159" s="349" t="str">
        <f ca="1">WORLDCUP!AF114</f>
        <v>Nueva Zelanda</v>
      </c>
      <c r="D159" s="693"/>
      <c r="E159" s="370"/>
      <c r="F159" s="370"/>
      <c r="G159" s="370"/>
      <c r="H159" s="370"/>
      <c r="I159" s="381"/>
      <c r="J159" s="370"/>
      <c r="K159" s="370"/>
      <c r="L159" s="370"/>
      <c r="M159" s="379"/>
      <c r="N159" s="377"/>
    </row>
    <row r="160" spans="1:14" ht="15" customHeight="1" x14ac:dyDescent="0.2">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x14ac:dyDescent="0.2">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 customHeight="1" x14ac:dyDescent="0.2">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x14ac:dyDescent="0.25">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x14ac:dyDescent="0.2">
      <c r="A164" s="690" t="s">
        <v>493</v>
      </c>
      <c r="B164" s="360" t="str">
        <f ca="1">CONCATENATE(WORLDCUP!AA101,"-",WORLDCUP!AF101)</f>
        <v>México-Catar</v>
      </c>
      <c r="C164" s="349" t="str">
        <f ca="1">CONCATENATE(WORLDCUP!AA101,"-",WORLDCUP!AF101,"·",IF(WORLDCUP!AC101&gt;WORLDCUP!AD101,1,IF(WORLDCUP!AC101&lt;WORLDCUP!AD101,2,IF(AND(WORLDCUP!AC101=WORLDCUP!AD101,WORLDCUP!AC101&lt;&gt;"",WORLDCUP!AD101&lt;&gt;""),"X",0))),"|",WORLDCUP!AC101,"-",WORLDCUP!AD101)</f>
        <v>México-Catar·1|2-0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x14ac:dyDescent="0.2">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Brasil-Suecia·1|3-0</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Alemania-Paraguay·1|3-1</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Ecuador-Senegal</v>
      </c>
      <c r="C168" s="349" t="str">
        <f ca="1">CONCATENATE(WORLDCUP!AA105,"-",WORLDCUP!AF105,"·",IF(WORLDCUP!AC105&gt;WORLDCUP!AD105,1,IF(WORLDCUP!AC105&lt;WORLDCUP!AD105,2,IF(AND(WORLDCUP!AC105=WORLDCUP!AD105,WORLDCUP!AC105&lt;&gt;"",WORLDCUP!AD105&lt;&gt;""),"X",0))),"|",WORLDCUP!AC105,"-",WORLDCUP!AD105)</f>
        <v>Ecuador-Senegal·X|1-1</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Francia-Túnez</v>
      </c>
      <c r="C169" s="349" t="str">
        <f ca="1">CONCATENATE(WORLDCUP!AA106,"-",WORLDCUP!AF106,"·",IF(WORLDCUP!AC106&gt;WORLDCUP!AD106,1,IF(WORLDCUP!AC106&lt;WORLDCUP!AD106,2,IF(AND(WORLDCUP!AC106=WORLDCUP!AD106,WORLDCUP!AC106&lt;&gt;"",WORLDCUP!AD106&lt;&gt;""),"X",0))),"|",WORLDCUP!AC106,"-",WORLDCUP!AD106)</f>
        <v>Francia-Túnez·1|4-0</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República Checa-Costa de Marfil</v>
      </c>
      <c r="C170" s="349" t="str">
        <f ca="1">CONCATENATE(WORLDCUP!AA107,"-",WORLDCUP!AF107,"·",IF(WORLDCUP!AC107&gt;WORLDCUP!AD107,1,IF(WORLDCUP!AC107&lt;WORLDCUP!AD107,2,IF(AND(WORLDCUP!AC107=WORLDCUP!AD107,WORLDCUP!AC107&lt;&gt;"",WORLDCUP!AD107&lt;&gt;""),"X",0))),"|",WORLDCUP!AC107,"-",WORLDCUP!AD107)</f>
        <v>República Checa-Costa de Marfil·1|1-0</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Inglaterra-Noruega·1|3-0</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Bélgica-Sudáfrica</v>
      </c>
      <c r="C172" s="349" t="str">
        <f ca="1">CONCATENATE(WORLDCUP!AA109,"-",WORLDCUP!AF109,"·",IF(WORLDCUP!AC109&gt;WORLDCUP!AD109,1,IF(WORLDCUP!AC109&lt;WORLDCUP!AD109,2,IF(AND(WORLDCUP!AC109=WORLDCUP!AD109,WORLDCUP!AC109&lt;&gt;"",WORLDCUP!AD109&lt;&gt;""),"X",0))),"|",WORLDCUP!AC109,"-",WORLDCUP!AD109)</f>
        <v>Bélgica-Sudáfrica·2|0-1</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Turquía-Canadá</v>
      </c>
      <c r="C173" s="349" t="str">
        <f ca="1">CONCATENATE(WORLDCUP!AA110,"-",WORLDCUP!AF110,"·",IF(WORLDCUP!AC110&gt;WORLDCUP!AD110,1,IF(WORLDCUP!AC110&lt;WORLDCUP!AD110,2,IF(AND(WORLDCUP!AC110=WORLDCUP!AD110,WORLDCUP!AC110&lt;&gt;"",WORLDCUP!AD110&lt;&gt;""),"X",0))),"|",WORLDCUP!AC110,"-",WORLDCUP!AD110)</f>
        <v>Turquía-Canadá·1|1-0</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Colombia-Croacia·2|1-2</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Bosnia y Herzegovina-Egipto</v>
      </c>
      <c r="C176" s="349" t="str">
        <f ca="1">CONCATENATE(WORLDCUP!AA113,"-",WORLDCUP!AF113,"·",IF(WORLDCUP!AC113&gt;WORLDCUP!AD113,1,IF(WORLDCUP!AC113&lt;WORLDCUP!AD113,2,IF(AND(WORLDCUP!AC113=WORLDCUP!AD113,WORLDCUP!AC113&lt;&gt;"",WORLDCUP!AD113&lt;&gt;""),"X",0))),"|",WORLDCUP!AC113,"-",WORLDCUP!AD113)</f>
        <v>Bosnia y Herzegovina-Egipto·1|2-1</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Estados Unidos-Nueva Zelanda</v>
      </c>
      <c r="C177" s="349" t="str">
        <f ca="1">CONCATENATE(WORLDCUP!AA114,"-",WORLDCUP!AF114,"·",IF(WORLDCUP!AC114&gt;WORLDCUP!AD114,1,IF(WORLDCUP!AC114&lt;WORLDCUP!AD114,2,IF(AND(WORLDCUP!AC114=WORLDCUP!AD114,WORLDCUP!AC114&lt;&gt;"",WORLDCUP!AD114&lt;&gt;""),"X",0))),"|",WORLDCUP!AC114,"-",WORLDCUP!AD114)</f>
        <v>Estados Unidos-Nueva Zelanda·1|2-0</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Argentina-Uruguay·1|3-2</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Portugal-Ghana·1|4-0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692"/>
      <c r="E181" s="370"/>
      <c r="F181" s="370"/>
      <c r="G181" s="370"/>
      <c r="H181" s="370"/>
      <c r="I181" s="352"/>
      <c r="J181" s="370"/>
      <c r="K181" s="370"/>
      <c r="L181" s="370"/>
      <c r="M181" s="386"/>
      <c r="N181" s="377"/>
    </row>
    <row r="182" spans="1:14" ht="15" customHeight="1" x14ac:dyDescent="0.2">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x14ac:dyDescent="0.2">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x14ac:dyDescent="0.2">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x14ac:dyDescent="0.2">
      <c r="A185" s="690"/>
      <c r="B185" s="360" t="str">
        <f t="shared" si="2"/>
        <v>Octavofinalista</v>
      </c>
      <c r="C185" s="349" t="str">
        <f ca="1">WORLDCUP!AA123</f>
        <v>República Checa</v>
      </c>
      <c r="D185" s="692"/>
      <c r="E185" s="370"/>
      <c r="F185" s="370"/>
      <c r="G185" s="370"/>
      <c r="H185" s="370"/>
      <c r="I185" s="352"/>
      <c r="J185" s="370"/>
      <c r="K185" s="370"/>
      <c r="L185" s="370"/>
      <c r="M185" s="386"/>
      <c r="N185" s="377"/>
    </row>
    <row r="186" spans="1:14" ht="15" customHeight="1" x14ac:dyDescent="0.2">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x14ac:dyDescent="0.2">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x14ac:dyDescent="0.2">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x14ac:dyDescent="0.2">
      <c r="A189" s="690"/>
      <c r="B189" s="360" t="str">
        <f t="shared" si="2"/>
        <v>Octavofinalista</v>
      </c>
      <c r="C189" s="349" t="str">
        <f ca="1">WORLDCUP!AA127</f>
        <v>Bosnia y Herzegovina</v>
      </c>
      <c r="D189" s="692"/>
      <c r="E189" s="370"/>
      <c r="F189" s="370"/>
      <c r="G189" s="370"/>
      <c r="H189" s="370"/>
      <c r="I189" s="352"/>
      <c r="J189" s="370"/>
      <c r="K189" s="370"/>
      <c r="L189" s="370"/>
      <c r="M189" s="386"/>
      <c r="N189" s="377"/>
    </row>
    <row r="190" spans="1:14" ht="15" customHeight="1" x14ac:dyDescent="0.2">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x14ac:dyDescent="0.2">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x14ac:dyDescent="0.2">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x14ac:dyDescent="0.2">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x14ac:dyDescent="0.2">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x14ac:dyDescent="0.2">
      <c r="A195" s="690"/>
      <c r="B195" s="360" t="str">
        <f t="shared" si="2"/>
        <v>Octavofinalista</v>
      </c>
      <c r="C195" s="349" t="str">
        <f ca="1">WORLDCUP!AF125</f>
        <v>Sudáfrica</v>
      </c>
      <c r="D195" s="692"/>
      <c r="E195" s="370"/>
      <c r="F195" s="370"/>
      <c r="G195" s="370"/>
      <c r="H195" s="370"/>
      <c r="I195" s="352"/>
      <c r="J195" s="370"/>
      <c r="K195" s="370"/>
      <c r="L195" s="370"/>
      <c r="M195" s="386"/>
      <c r="N195" s="377"/>
    </row>
    <row r="196" spans="1:14" ht="15" customHeight="1" x14ac:dyDescent="0.2">
      <c r="A196" s="690"/>
      <c r="B196" s="360" t="str">
        <f t="shared" si="2"/>
        <v>Octavofinalista</v>
      </c>
      <c r="C196" s="349" t="str">
        <f ca="1">WORLDCUP!AF126</f>
        <v>Estados Unidos</v>
      </c>
      <c r="D196" s="692"/>
      <c r="E196" s="370"/>
      <c r="F196" s="370"/>
      <c r="G196" s="370"/>
      <c r="H196" s="370"/>
      <c r="I196" s="352"/>
      <c r="J196" s="370"/>
      <c r="K196" s="370"/>
      <c r="L196" s="370"/>
      <c r="M196" s="386"/>
      <c r="N196" s="377"/>
    </row>
    <row r="197" spans="1:14" ht="15" customHeight="1" x14ac:dyDescent="0.2">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90" t="s">
        <v>89</v>
      </c>
      <c r="B200" s="361" t="str">
        <f ca="1">CONCATENATE(WORLDCUP!AA120,"-",WORLDCUP!AF120)</f>
        <v>México-Países Bajos</v>
      </c>
      <c r="C200" s="351" t="str">
        <f ca="1">CONCATENATE(WORLDCUP!AA120,"-",WORLDCUP!AF120,"·",IF(WORLDCUP!AC120&gt;WORLDCUP!AD120,1,IF(WORLDCUP!AC120&lt;WORLDCUP!AD120,2,IF(AND(WORLDCUP!AC120=WORLDCUP!AD120,WORLDCUP!AC120&lt;&gt;"",WORLDCUP!AD120&lt;&gt;""),"X",0))),"|",WORLDCUP!AC120,"-",WORLDCUP!AD120)</f>
        <v>México-Países Bajos·X|2-2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x14ac:dyDescent="0.2">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Alemania-Francia·2|1-3</v>
      </c>
      <c r="D201" s="691"/>
      <c r="E201" s="686"/>
      <c r="F201" s="686"/>
      <c r="G201" s="686"/>
      <c r="H201" s="686"/>
      <c r="I201" s="352"/>
      <c r="J201" s="370"/>
      <c r="K201" s="370"/>
      <c r="L201" s="370"/>
      <c r="M201" s="386"/>
      <c r="N201" s="377"/>
    </row>
    <row r="202" spans="1:14" ht="15" customHeight="1" x14ac:dyDescent="0.2">
      <c r="A202" s="690"/>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Brasil-Ecuador·1|2-0</v>
      </c>
      <c r="D202" s="691"/>
      <c r="E202" s="686"/>
      <c r="F202" s="686"/>
      <c r="G202" s="686"/>
      <c r="H202" s="686"/>
      <c r="I202" s="352"/>
      <c r="J202" s="370"/>
      <c r="K202" s="370"/>
      <c r="L202" s="370"/>
      <c r="M202" s="386"/>
      <c r="N202" s="377"/>
    </row>
    <row r="203" spans="1:14" ht="15" customHeight="1" x14ac:dyDescent="0.2">
      <c r="A203" s="690"/>
      <c r="B203" s="361" t="str">
        <f ca="1">CONCATENATE(WORLDCUP!AA123,"-",WORLDCUP!AF123)</f>
        <v>República Checa-Inglaterra</v>
      </c>
      <c r="C203" s="351" t="str">
        <f ca="1">CONCATENATE(WORLDCUP!AA123,"-",WORLDCUP!AF123,"·",IF(WORLDCUP!AC123&gt;WORLDCUP!AD123,1,IF(WORLDCUP!AC123&lt;WORLDCUP!AD123,2,IF(AND(WORLDCUP!AC123=WORLDCUP!AD123,WORLDCUP!AC123&lt;&gt;"",WORLDCUP!AD123&lt;&gt;""),"X",0))),"|",WORLDCUP!AC123,"-",WORLDCUP!AD123)</f>
        <v>República Checa-Inglaterra·2|1-2</v>
      </c>
      <c r="D203" s="691"/>
      <c r="E203" s="686"/>
      <c r="F203" s="686"/>
      <c r="G203" s="686"/>
      <c r="H203" s="686"/>
      <c r="I203" s="352"/>
      <c r="J203" s="370"/>
      <c r="K203" s="370"/>
      <c r="L203" s="370"/>
      <c r="M203" s="386"/>
      <c r="N203" s="377"/>
    </row>
    <row r="204" spans="1:14" ht="15" customHeight="1" x14ac:dyDescent="0.2">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Croacia-España·2|0-3</v>
      </c>
      <c r="D204" s="691"/>
      <c r="E204" s="352"/>
      <c r="F204" s="352"/>
      <c r="G204" s="352"/>
      <c r="H204" s="352"/>
      <c r="I204" s="352"/>
      <c r="J204" s="370"/>
      <c r="K204" s="370"/>
      <c r="L204" s="370"/>
      <c r="M204" s="386"/>
      <c r="N204" s="377"/>
    </row>
    <row r="205" spans="1:14" ht="15" customHeight="1" x14ac:dyDescent="0.2">
      <c r="A205" s="690"/>
      <c r="B205" s="361" t="str">
        <f ca="1">CONCATENATE(WORLDCUP!AA125,"-",WORLDCUP!AF125)</f>
        <v>Turquía-Sudáfrica</v>
      </c>
      <c r="C205" s="351" t="str">
        <f ca="1">CONCATENATE(WORLDCUP!AA125,"-",WORLDCUP!AF125,"·",IF(WORLDCUP!AC125&gt;WORLDCUP!AD125,1,IF(WORLDCUP!AC125&lt;WORLDCUP!AD125,2,IF(AND(WORLDCUP!AC125=WORLDCUP!AD125,WORLDCUP!AC125&lt;&gt;"",WORLDCUP!AD125&lt;&gt;""),"X",0))),"|",WORLDCUP!AC125,"-",WORLDCUP!AD125)</f>
        <v>Turquía-Sudáfrica·2|1-2</v>
      </c>
      <c r="D205" s="691"/>
      <c r="E205" s="352"/>
      <c r="F205" s="352"/>
      <c r="G205" s="352"/>
      <c r="H205" s="352"/>
      <c r="I205" s="352"/>
      <c r="J205" s="370"/>
      <c r="K205" s="370"/>
      <c r="L205" s="370"/>
      <c r="M205" s="386"/>
      <c r="N205" s="377"/>
    </row>
    <row r="206" spans="1:14" ht="15" customHeight="1" x14ac:dyDescent="0.2">
      <c r="A206" s="690"/>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Unidos·1|3-0</v>
      </c>
      <c r="D206" s="691"/>
      <c r="E206" s="352"/>
      <c r="F206" s="352"/>
      <c r="G206" s="352"/>
      <c r="H206" s="352"/>
      <c r="I206" s="352"/>
      <c r="J206" s="370"/>
      <c r="K206" s="370"/>
      <c r="L206" s="370"/>
      <c r="M206" s="386"/>
      <c r="N206" s="377"/>
    </row>
    <row r="207" spans="1:14" ht="15" customHeight="1" x14ac:dyDescent="0.2">
      <c r="A207" s="690"/>
      <c r="B207" s="361" t="str">
        <f ca="1">CONCATENATE(WORLDCUP!AA127,"-",WORLDCUP!AF127)</f>
        <v>Bosnia y Herzegovina-Portugal</v>
      </c>
      <c r="C207" s="351" t="str">
        <f ca="1">CONCATENATE(WORLDCUP!AA127,"-",WORLDCUP!AF127,"·",IF(WORLDCUP!AC127&gt;WORLDCUP!AD127,1,IF(WORLDCUP!AC127&lt;WORLDCUP!AD127,2,IF(AND(WORLDCUP!AC127=WORLDCUP!AD127,WORLDCUP!AC127&lt;&gt;"",WORLDCUP!AD127&lt;&gt;""),"X",0))),"|",WORLDCUP!AC127,"-",WORLDCUP!AD127)</f>
        <v>Bosnia y Herzegovina-Portugal·2|0-3</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91"/>
      <c r="E209" s="370"/>
      <c r="F209" s="370"/>
      <c r="G209" s="370"/>
      <c r="H209" s="370"/>
      <c r="I209" s="352"/>
      <c r="J209" s="370"/>
      <c r="K209" s="370"/>
      <c r="L209" s="370"/>
      <c r="M209" s="386"/>
      <c r="N209" s="377"/>
    </row>
    <row r="210" spans="1:14" ht="15" customHeight="1" x14ac:dyDescent="0.2">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x14ac:dyDescent="0.2">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x14ac:dyDescent="0.2">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x14ac:dyDescent="0.2">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x14ac:dyDescent="0.2">
      <c r="A214" s="690"/>
      <c r="B214" s="360" t="str">
        <f t="shared" si="3"/>
        <v>Cuartofinalista</v>
      </c>
      <c r="C214" s="349" t="str">
        <f ca="1">WORLDCUP!AF131</f>
        <v>México</v>
      </c>
      <c r="D214" s="691"/>
      <c r="E214" s="370"/>
      <c r="F214" s="370"/>
      <c r="G214" s="370"/>
      <c r="H214" s="370"/>
      <c r="I214" s="352"/>
      <c r="J214" s="370"/>
      <c r="K214" s="370"/>
      <c r="L214" s="370"/>
      <c r="M214" s="386"/>
      <c r="N214" s="377"/>
    </row>
    <row r="215" spans="1:14" ht="15" customHeight="1" x14ac:dyDescent="0.2">
      <c r="A215" s="690"/>
      <c r="B215" s="360" t="str">
        <f t="shared" si="3"/>
        <v>Cuartofinalista</v>
      </c>
      <c r="C215" s="349" t="str">
        <f ca="1">WORLDCUP!AF132</f>
        <v>Sudáfrica</v>
      </c>
      <c r="D215" s="691"/>
      <c r="E215" s="370"/>
      <c r="F215" s="370"/>
      <c r="G215" s="370"/>
      <c r="H215" s="370"/>
      <c r="I215" s="352"/>
      <c r="J215" s="370"/>
      <c r="K215" s="370"/>
      <c r="L215" s="370"/>
      <c r="M215" s="386"/>
      <c r="N215" s="377"/>
    </row>
    <row r="216" spans="1:14" ht="15" customHeight="1" x14ac:dyDescent="0.2">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x14ac:dyDescent="0.2">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90" t="s">
        <v>36</v>
      </c>
      <c r="B220" s="360" t="str">
        <f ca="1">CONCATENATE(WORLDCUP!AA131,"-",WORLDCUP!AF131)</f>
        <v>Francia-México</v>
      </c>
      <c r="C220" s="349" t="str">
        <f ca="1">CONCATENATE(WORLDCUP!AA131,"-",WORLDCUP!AF131,"·",IF(WORLDCUP!AC131&gt;WORLDCUP!AD131,1,IF(WORLDCUP!AC131&lt;WORLDCUP!AD131,2,IF(AND(WORLDCUP!AC131=WORLDCUP!AD131,WORLDCUP!AC131&lt;&gt;"",WORLDCUP!AD131&lt;&gt;""),"X",0))),"|",WORLDCUP!AC131,"-",WORLDCUP!AD131)</f>
        <v>Francia-México·1|2-0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x14ac:dyDescent="0.2">
      <c r="A221" s="690"/>
      <c r="B221" s="360" t="str">
        <f ca="1">CONCATENATE(WORLDCUP!AA132,"-",WORLDCUP!AF132)</f>
        <v>España-Sudáfrica</v>
      </c>
      <c r="C221" s="349" t="str">
        <f ca="1">CONCATENATE(WORLDCUP!AA132,"-",WORLDCUP!AF132,"·",IF(WORLDCUP!AC132&gt;WORLDCUP!AD132,1,IF(WORLDCUP!AC132&lt;WORLDCUP!AD132,2,IF(AND(WORLDCUP!AC132=WORLDCUP!AD132,WORLDCUP!AC132&lt;&gt;"",WORLDCUP!AD132&lt;&gt;""),"X",0))),"|",WORLDCUP!AC132,"-",WORLDCUP!AD132)</f>
        <v>España-Sudáfrica·1|4-0</v>
      </c>
      <c r="D221" s="692"/>
      <c r="E221" s="686"/>
      <c r="F221" s="686"/>
      <c r="G221" s="686"/>
      <c r="H221" s="686"/>
      <c r="I221" s="352"/>
      <c r="J221" s="370"/>
      <c r="K221" s="370"/>
      <c r="L221" s="370"/>
      <c r="M221" s="386"/>
      <c r="N221" s="377"/>
    </row>
    <row r="222" spans="1:14" ht="15" customHeight="1" x14ac:dyDescent="0.2">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Brasil-Inglaterra·2|2-3</v>
      </c>
      <c r="D222" s="692"/>
      <c r="E222" s="686"/>
      <c r="F222" s="686"/>
      <c r="G222" s="686"/>
      <c r="H222" s="686"/>
      <c r="I222" s="352"/>
      <c r="J222" s="370"/>
      <c r="K222" s="370"/>
      <c r="L222" s="370"/>
      <c r="M222" s="386"/>
      <c r="N222" s="377"/>
    </row>
    <row r="223" spans="1:14" ht="15" customHeight="1" x14ac:dyDescent="0.2">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Argentina-Portugal·1|3-1</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9" x14ac:dyDescent="0.25">
      <c r="A225" s="353"/>
      <c r="B225" s="358" t="str">
        <f>Idiomas!D133</f>
        <v>CLASIFICADOS PARA SEMIFINALES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x14ac:dyDescent="0.2">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x14ac:dyDescent="0.2">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x14ac:dyDescent="0.2">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x14ac:dyDescent="0.2">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Inglaterra-Argentina·X|1-1</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9" x14ac:dyDescent="0.2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x14ac:dyDescent="0.2">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x14ac:dyDescent="0.2">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x14ac:dyDescent="0.2">
      <c r="A241" s="688"/>
      <c r="B241" s="360" t="str">
        <f>B240</f>
        <v>Finalista</v>
      </c>
      <c r="C241" s="349" t="str">
        <f ca="1">WORLDCUP!AF147</f>
        <v>Inglaterra</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Francia-Argentina</v>
      </c>
      <c r="C244" s="349" t="str">
        <f ca="1">CONCATENATE(WORLDCUP!AA143,"-",WORLDCUP!AF143,"·",IF(WORLDCUP!AC143&gt;WORLDCUP!AD143,1,IF(WORLDCUP!AC143&lt;WORLDCUP!AD143,2,IF(AND(WORLDCUP!AC143=WORLDCUP!AD143,WORLDCUP!AC143&lt;&gt;"",WORLDCUP!AD143&lt;&gt;""),"X",0))),"|",WORLDCUP!AC143,"-",WORLDCUP!AD143)</f>
        <v>Francia-Argentina·1|1-0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ENFRENTAMIENTO FINAL</v>
      </c>
      <c r="C246" s="350"/>
      <c r="D246" s="689"/>
      <c r="E246" s="687"/>
      <c r="F246" s="687"/>
      <c r="G246" s="687"/>
      <c r="H246" s="687"/>
      <c r="I246" s="381"/>
      <c r="J246" s="370"/>
      <c r="K246" s="370"/>
      <c r="L246" s="370"/>
      <c r="M246" s="386"/>
      <c r="N246" s="377"/>
    </row>
    <row r="247" spans="1:14" ht="15" customHeight="1" x14ac:dyDescent="0.2">
      <c r="A247" s="362" t="s">
        <v>4</v>
      </c>
      <c r="B247" s="360" t="str">
        <f ca="1">CONCATENATE(WORLDCUP!AA147,"-",WORLDCUP!AF147)</f>
        <v>España-Inglaterra</v>
      </c>
      <c r="C247" s="351" t="str">
        <f ca="1">CONCATENATE(WORLDCUP!AA147,"-",WORLDCUP!AF147,"·",IF(WORLDCUP!AC147&gt;WORLDCUP!AD147,1,IF(WORLDCUP!AC147&lt;WORLDCUP!AD147,2,IF(AND(WORLDCUP!AC147=WORLDCUP!AD147,WORLDCUP!AC147&lt;&gt;"",WORLDCUP!AD147&lt;&gt;""),"X",0))),"|",WORLDCUP!AC147,"-",WORLDCUP!AD147)</f>
        <v>España-Inglaterra·2|1-2</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9" customHeight="1" x14ac:dyDescent="0.25">
      <c r="A249" s="353"/>
      <c r="B249" s="358" t="str">
        <f>Idiomas!D139</f>
        <v>CUADRO DE HONOR</v>
      </c>
      <c r="C249" s="350"/>
      <c r="D249" s="689"/>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Inglaterra</v>
      </c>
      <c r="D250" s="689"/>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España</v>
      </c>
      <c r="D251" s="689"/>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Lamine Yamal</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x14ac:dyDescent="0.2">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x14ac:dyDescent="0.2">
      <c r="A255" s="366"/>
      <c r="B255" s="360" t="str">
        <f>WORLDCUP!W156</f>
        <v>Bota de Bronce (3º máximo goleador)</v>
      </c>
      <c r="C255" s="349" t="str">
        <f>WORLDCUP!AA156</f>
        <v>Dembele</v>
      </c>
      <c r="D255" s="371"/>
      <c r="E255" s="685"/>
      <c r="F255" s="685"/>
      <c r="G255" s="685"/>
      <c r="H255" s="685"/>
      <c r="I255" s="392"/>
      <c r="J255" s="392"/>
      <c r="K255" s="392"/>
      <c r="L255" s="393"/>
      <c r="M255" s="393"/>
      <c r="N255" s="377"/>
    </row>
    <row r="256" spans="1:14" ht="15" customHeight="1" x14ac:dyDescent="0.2">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x14ac:dyDescent="0.2">
      <c r="A257" s="364"/>
      <c r="B257" s="360" t="str">
        <f>WORLDCUP!W159</f>
        <v>Balón de Plata (2º mejor jugador)</v>
      </c>
      <c r="C257" s="349" t="str">
        <f>WORLDCUP!AA159</f>
        <v>Mbappe</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3</v>
      </c>
      <c r="F4" s="446" t="str">
        <f ca="1">+MID(INDEX(WORLDCUP!$AF$4:$AF$147,MATCH(A4,WORLDCUP!$AH$4:$AH$147,0)),1,3)</f>
        <v>Rep</v>
      </c>
      <c r="G4" s="447">
        <v>1</v>
      </c>
      <c r="H4" s="448" t="str">
        <f ca="1">+MID(INDEX(WORLDCUP!$AL$6:$AL$97,MATCH(L4,WORLDCUP!$AI$6:$AI$97,0)),1,3)</f>
        <v>Rep</v>
      </c>
      <c r="I4" s="449">
        <f ca="1">+INDEX(WORLDCUP!$AM$6:$AM$97,MATCH(L4,WORLDCUP!$AI$6:$AI$97,0))</f>
        <v>7</v>
      </c>
      <c r="J4" s="450">
        <f ca="1">+INDEX(WORLDCUP!$AT$6:$AT$97,MATCH(L4,WORLDCUP!$AI$6:$AI$97,0))</f>
        <v>3</v>
      </c>
      <c r="K4" s="451" t="str">
        <f ca="1">+INDEX(WORLDCUP!$AR$6:$AR$97,MATCH(L4,WORLDCUP!$AI$6:$AI$97,0))&amp;"-"&amp;INDEX(WORLDCUP!$AS$6:$AS$97,MATCH(L4,WORLDCUP!$AI$6:$AI$97,0))</f>
        <v>7-4</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3</v>
      </c>
      <c r="W4" s="451" t="str">
        <f ca="1">+INDEX(WORLDCUP!$AR$6:$AR$97,MATCH(X4,WORLDCUP!$AI$6:$AI$97,0))&amp;"-"&amp;INDEX(WORLDCUP!$AS$6:$AS$97,MATCH(X4,WORLDCUP!$AI$6:$AI$97,0))</f>
        <v>5-2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2</v>
      </c>
      <c r="F5" s="446" t="str">
        <f ca="1">+MID(INDEX(WORLDCUP!$AF$4:$AF$147,MATCH(A5,WORLDCUP!$AH$4:$AH$147,0)),1,3)</f>
        <v>Sud</v>
      </c>
      <c r="G5" s="467">
        <v>2</v>
      </c>
      <c r="H5" s="468" t="str">
        <f ca="1">+MID(INDEX(WORLDCUP!$AL$6:$AL$97,MATCH(L5,WORLDCUP!$AI$6:$AI$97,0)),1,3)</f>
        <v>Méx</v>
      </c>
      <c r="I5" s="38">
        <f ca="1">+INDEX(WORLDCUP!$AM$6:$AM$97,MATCH(L5,WORLDCUP!$AI$6:$AI$97,0))</f>
        <v>6</v>
      </c>
      <c r="J5" s="39">
        <f ca="1">+INDEX(WORLDCUP!$AT$6:$AT$97,MATCH(L5,WORLDCUP!$AI$6:$AI$97,0))</f>
        <v>2</v>
      </c>
      <c r="K5" s="43" t="str">
        <f ca="1">+INDEX(WORLDCUP!$AR$6:$AR$97,MATCH(L5,WORLDCUP!$AI$6:$AI$97,0))&amp;"-"&amp;INDEX(WORLDCUP!$AS$6:$AS$97,MATCH(L5,WORLDCUP!$AI$6:$AI$97,0))</f>
        <v>4-2</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Nue</v>
      </c>
      <c r="U5" s="38">
        <f ca="1">+INDEX(WORLDCUP!$AM$6:$AM$97,MATCH(X5,WORLDCUP!$AI$6:$AI$97,0))</f>
        <v>5</v>
      </c>
      <c r="V5" s="39">
        <f ca="1">+INDEX(WORLDCUP!$AT$6:$AT$97,MATCH(X5,WORLDCUP!$AI$6:$AI$97,0))</f>
        <v>1</v>
      </c>
      <c r="W5" s="43" t="str">
        <f ca="1">+INDEX(WORLDCUP!$AR$6:$AR$97,MATCH(X5,WORLDCUP!$AI$6:$AI$97,0))&amp;"-"&amp;INDEX(WORLDCUP!$AS$6:$AS$97,MATCH(X5,WORLDCUP!$AI$6:$AI$97,0))</f>
        <v>3-2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Sud</v>
      </c>
      <c r="I6" s="38">
        <f ca="1">+INDEX(WORLDCUP!$AM$6:$AM$97,MATCH(L6,WORLDCUP!$AI$6:$AI$97,0))</f>
        <v>2</v>
      </c>
      <c r="J6" s="39">
        <f ca="1">+INDEX(WORLDCUP!$AT$6:$AT$97,MATCH(L6,WORLDCUP!$AI$6:$AI$97,0))</f>
        <v>-2</v>
      </c>
      <c r="K6" s="43" t="str">
        <f ca="1">+INDEX(WORLDCUP!$AR$6:$AR$97,MATCH(L6,WORLDCUP!$AI$6:$AI$97,0))&amp;"-"&amp;INDEX(WORLDCUP!$AS$6:$AS$97,MATCH(L6,WORLDCUP!$AI$6:$AI$97,0))</f>
        <v>4-6</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4</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2</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Cor</v>
      </c>
      <c r="I7" s="477">
        <f ca="1">+INDEX(WORLDCUP!$AM$6:$AM$97,MATCH(L7,WORLDCUP!$AI$6:$AI$97,0))</f>
        <v>1</v>
      </c>
      <c r="J7" s="478">
        <f ca="1">+INDEX(WORLDCUP!$AT$6:$AT$97,MATCH(L7,WORLDCUP!$AI$6:$AI$97,0))</f>
        <v>-3</v>
      </c>
      <c r="K7" s="479" t="str">
        <f ca="1">+INDEX(WORLDCUP!$AR$6:$AR$97,MATCH(L7,WORLDCUP!$AI$6:$AI$97,0))&amp;"-"&amp;INDEX(WORLDCUP!$AS$6:$AS$97,MATCH(L7,WORLDCUP!$AI$6:$AI$97,0))</f>
        <v>3-6</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0</v>
      </c>
      <c r="V7" s="478">
        <f ca="1">+INDEX(WORLDCUP!$AT$6:$AT$97,MATCH(X7,WORLDCUP!$AI$6:$AI$97,0))</f>
        <v>-4</v>
      </c>
      <c r="W7" s="479" t="str">
        <f ca="1">+INDEX(WORLDCUP!$AR$6:$AR$97,MATCH(X7,WORLDCUP!$AI$6:$AI$97,0))&amp;"-"&amp;INDEX(WORLDCUP!$AS$6:$AS$97,MATCH(X7,WORLDCUP!$AI$6:$AI$97,0))</f>
        <v>1-5</v>
      </c>
      <c r="X7" s="181" t="s">
        <v>680</v>
      </c>
      <c r="Y7" s="181">
        <v>77</v>
      </c>
      <c r="Z7" s="425" t="s">
        <v>734</v>
      </c>
      <c r="AA7" s="480" t="str">
        <f ca="1">+MID(INDEX(WORLDCUP!$AF$101:$AF$147,MATCH(Y7,WORLDCUP!$Z$101:$Z$147,0)),1,IF(WORLDCUP!$H$113&lt;144,6,3))</f>
        <v>Tún</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2</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Méx</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Cat</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2</v>
      </c>
      <c r="AG10" s="501" t="str">
        <f>+IF(ISBLANK(INDEX(WORLDCUP!$AB$101:$AB$147,MATCH(AD10,WORLDCUP!$Z$101:$Z$147,0))),"","( "&amp;INDEX(WORLDCUP!$AB$101:$AB$147,MATCH(AD10,WORLDCUP!$Z$101:$Z$147,0))&amp;" )")</f>
        <v>( 1 )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3</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( 0 )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2</v>
      </c>
      <c r="E12" s="445">
        <f>IF(ISBLANK(INDEX(WORLDCUP!$AD$4:$AD$147,MATCH(A12,WORLDCUP!$AH$4:$AH$147,0))),"",INDEX(WORLDCUP!$AD$4:$AD$147,MATCH(A12,WORLDCUP!$AH$4:$AH$147,0)))</f>
        <v>0</v>
      </c>
      <c r="F12" s="446" t="str">
        <f ca="1">+MID(INDEX(WORLDCUP!$AF$4:$AF$147,MATCH(A12,WORLDCUP!$AH$4:$AH$147,0)),1,3)</f>
        <v>Sui</v>
      </c>
      <c r="G12" s="447">
        <v>1</v>
      </c>
      <c r="H12" s="448" t="str">
        <f ca="1">+MID(INDEX(WORLDCUP!$AL$6:$AL$97,MATCH(L12,WORLDCUP!$AI$6:$AI$97,0)),1,3)</f>
        <v>Bos</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8-1</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2</v>
      </c>
      <c r="F13" s="446" t="str">
        <f ca="1">+MID(INDEX(WORLDCUP!$AF$4:$AF$147,MATCH(A13,WORLDCUP!$AH$4:$AH$147,0)),1,3)</f>
        <v>Bos</v>
      </c>
      <c r="G13" s="467">
        <v>2</v>
      </c>
      <c r="H13" s="468" t="str">
        <f ca="1">+MID(INDEX(WORLDCUP!$AL$6:$AL$97,MATCH(L13,WORLDCUP!$AI$6:$AI$97,0)),1,3)</f>
        <v>Cat</v>
      </c>
      <c r="I13" s="38">
        <f ca="1">+INDEX(WORLDCUP!$AM$6:$AM$97,MATCH(L13,WORLDCUP!$AI$6:$AI$97,0))</f>
        <v>4</v>
      </c>
      <c r="J13" s="39">
        <f ca="1">+INDEX(WORLDCUP!$AT$6:$AT$97,MATCH(L13,WORLDCUP!$AI$6:$AI$97,0))</f>
        <v>0</v>
      </c>
      <c r="K13" s="43" t="str">
        <f ca="1">+INDEX(WORLDCUP!$AR$6:$AR$97,MATCH(L13,WORLDCUP!$AI$6:$AI$97,0))&amp;"-"&amp;INDEX(WORLDCUP!$AS$6:$AS$97,MATCH(L13,WORLDCUP!$AI$6:$AI$97,0))</f>
        <v>3-3</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Can</v>
      </c>
      <c r="I14" s="38">
        <f ca="1">+INDEX(WORLDCUP!$AM$6:$AM$97,MATCH(L14,WORLDCUP!$AI$6:$AI$97,0))</f>
        <v>2</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Cab</v>
      </c>
      <c r="U14" s="38">
        <f ca="1">+INDEX(WORLDCUP!$AM$6:$AM$97,MATCH(X14,WORLDCUP!$AI$6:$AI$97,0))</f>
        <v>1</v>
      </c>
      <c r="V14" s="39">
        <f ca="1">+INDEX(WORLDCUP!$AT$6:$AT$97,MATCH(X14,WORLDCUP!$AI$6:$AI$97,0))</f>
        <v>-4</v>
      </c>
      <c r="W14" s="43" t="str">
        <f ca="1">+INDEX(WORLDCUP!$AR$6:$AR$97,MATCH(X14,WORLDCUP!$AI$6:$AI$97,0))&amp;"-"&amp;INDEX(WORLDCUP!$AS$6:$AS$97,MATCH(X14,WORLDCUP!$AI$6:$AI$97,0))</f>
        <v>1-5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Sui</v>
      </c>
      <c r="I15" s="477">
        <f ca="1">+INDEX(WORLDCUP!$AM$6:$AM$97,MATCH(L15,WORLDCUP!$AI$6:$AI$97,0))</f>
        <v>2</v>
      </c>
      <c r="J15" s="478">
        <f ca="1">+INDEX(WORLDCUP!$AT$6:$AT$97,MATCH(L15,WORLDCUP!$AI$6:$AI$97,0))</f>
        <v>-2</v>
      </c>
      <c r="K15" s="479" t="str">
        <f ca="1">+INDEX(WORLDCUP!$AR$6:$AR$97,MATCH(L15,WORLDCUP!$AI$6:$AI$97,0))&amp;"-"&amp;INDEX(WORLDCUP!$AS$6:$AS$97,MATCH(L15,WORLDCUP!$AI$6:$AI$97,0))</f>
        <v>3-5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Ara</v>
      </c>
      <c r="U15" s="477">
        <f ca="1">+INDEX(WORLDCUP!$AM$6:$AM$97,MATCH(X15,WORLDCUP!$AI$6:$AI$97,0))</f>
        <v>1</v>
      </c>
      <c r="V15" s="478">
        <f ca="1">+INDEX(WORLDCUP!$AT$6:$AT$97,MATCH(X15,WORLDCUP!$AI$6:$AI$97,0))</f>
        <v>-6</v>
      </c>
      <c r="W15" s="479" t="str">
        <f ca="1">+INDEX(WORLDCUP!$AR$6:$AR$97,MATCH(X15,WORLDCUP!$AI$6:$AI$97,0))&amp;"-"&amp;INDEX(WORLDCUP!$AS$6:$AS$97,MATCH(X15,WORLDCUP!$AI$6:$AI$97,0))</f>
        <v>1-7</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1</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4</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0</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7</v>
      </c>
      <c r="K20" s="451" t="str">
        <f ca="1">+INDEX(WORLDCUP!$AR$6:$AR$97,MATCH(L20,WORLDCUP!$AI$6:$AI$97,0))&amp;"-"&amp;INDEX(WORLDCUP!$AS$6:$AS$97,MATCH(L20,WORLDCUP!$AI$6:$AI$97,0))</f>
        <v>8-1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0</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8-0</v>
      </c>
      <c r="X20" s="181" t="s">
        <v>684</v>
      </c>
      <c r="Y20" s="181"/>
      <c r="Z20" s="425"/>
      <c r="AA20" s="494"/>
      <c r="AB20" s="494"/>
      <c r="AC20" s="494"/>
      <c r="AD20" s="181"/>
      <c r="AE20" s="429"/>
      <c r="AF20" s="429"/>
      <c r="AG20" s="475"/>
      <c r="AH20" s="181">
        <v>98</v>
      </c>
      <c r="AI20" s="483" t="str">
        <f ca="1">+MID(INDEX(WORLDCUP!$AF$101:$AF$147,MATCH(AH20,WORLDCUP!$Z$101:$Z$147,0)),1,3)</f>
        <v>Sud</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7-2</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-2</v>
      </c>
      <c r="W21" s="43" t="str">
        <f ca="1">+INDEX(WORLDCUP!$AR$6:$AR$97,MATCH(X21,WORLDCUP!$AI$6:$AI$97,0))&amp;"-"&amp;INDEX(WORLDCUP!$AS$6:$AS$97,MATCH(X21,WORLDCUP!$AI$6:$AI$97,0))</f>
        <v>3-5</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Inglaterra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Hai</v>
      </c>
      <c r="I22" s="38">
        <f ca="1">+INDEX(WORLDCUP!$AM$6:$AM$97,MATCH(L22,WORLDCUP!$AI$6:$AI$97,0))</f>
        <v>1</v>
      </c>
      <c r="J22" s="39">
        <f ca="1">+INDEX(WORLDCUP!$AT$6:$AT$97,MATCH(L22,WORLDCUP!$AI$6:$AI$97,0))</f>
        <v>-5</v>
      </c>
      <c r="K22" s="43" t="str">
        <f ca="1">+INDEX(WORLDCUP!$AR$6:$AR$97,MATCH(L22,WORLDCUP!$AI$6:$AI$97,0))&amp;"-"&amp;INDEX(WORLDCUP!$AS$6:$AS$97,MATCH(L22,WORLDCUP!$AI$6:$AI$97,0))</f>
        <v>1-6</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2</v>
      </c>
      <c r="V22" s="39">
        <f ca="1">+INDEX(WORLDCUP!$AT$6:$AT$97,MATCH(X22,WORLDCUP!$AI$6:$AI$97,0))</f>
        <v>-1</v>
      </c>
      <c r="W22" s="43" t="str">
        <f ca="1">+INDEX(WORLDCUP!$AR$6:$AR$97,MATCH(X22,WORLDCUP!$AI$6:$AI$97,0))&amp;"-"&amp;INDEX(WORLDCUP!$AS$6:$AS$97,MATCH(X22,WORLDCUP!$AI$6:$AI$97,0))</f>
        <v>2-3</v>
      </c>
      <c r="X22" s="181" t="s">
        <v>450</v>
      </c>
      <c r="Y22" s="181">
        <v>81</v>
      </c>
      <c r="Z22" s="425" t="s">
        <v>737</v>
      </c>
      <c r="AA22" s="426" t="str">
        <f ca="1">+MID(INDEX(WORLDCUP!$AF$101:$AF$147,MATCH(Y22,WORLDCUP!$Z$101:$Z$147,0)),1,IF(WORLDCUP!$H$113&lt;144,6,3))</f>
        <v>Can</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4</v>
      </c>
      <c r="F23" s="446" t="str">
        <f ca="1">+MID(INDEX(WORLDCUP!$AF$4:$AF$147,MATCH(A23,WORLDCUP!$AH$4:$AH$147,0)),1,3)</f>
        <v>Bra</v>
      </c>
      <c r="G23" s="467">
        <v>4</v>
      </c>
      <c r="H23" s="476" t="str">
        <f ca="1">+MID(INDEX(WORLDCUP!$AL$6:$AL$97,MATCH(L23,WORLDCUP!$AI$6:$AI$97,0)),1,3)</f>
        <v>Esc</v>
      </c>
      <c r="I23" s="477">
        <f ca="1">+INDEX(WORLDCUP!$AM$6:$AM$97,MATCH(L23,WORLDCUP!$AI$6:$AI$97,0))</f>
        <v>1</v>
      </c>
      <c r="J23" s="478">
        <f ca="1">+INDEX(WORLDCUP!$AT$6:$AT$97,MATCH(L23,WORLDCUP!$AI$6:$AI$97,0))</f>
        <v>-7</v>
      </c>
      <c r="K23" s="479" t="str">
        <f ca="1">+INDEX(WORLDCUP!$AR$6:$AR$97,MATCH(L23,WORLDCUP!$AI$6:$AI$97,0))&amp;"-"&amp;INDEX(WORLDCUP!$AS$6:$AS$97,MATCH(L23,WORLDCUP!$AI$6:$AI$97,0))</f>
        <v>0-7</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-5</v>
      </c>
      <c r="W23" s="479" t="str">
        <f ca="1">+INDEX(WORLDCUP!$AR$6:$AR$97,MATCH(X23,WORLDCUP!$AI$6:$AI$97,0))&amp;"-"&amp;INDEX(WORLDCUP!$AS$6:$AS$97,MATCH(X23,WORLDCUP!$AI$6:$AI$97,0))</f>
        <v>0-5</v>
      </c>
      <c r="X23" s="181" t="s">
        <v>686</v>
      </c>
      <c r="Y23" s="181"/>
      <c r="Z23" s="425"/>
      <c r="AA23" s="469"/>
      <c r="AB23" s="469"/>
      <c r="AC23" s="470"/>
      <c r="AD23" s="181">
        <v>94</v>
      </c>
      <c r="AE23" s="456" t="str">
        <f ca="1">+MID(INDEX(WORLDCUP!$AF$101:$AF$147,MATCH(AD23,WORLDCUP!$Z$101:$Z$147,0)),1,3)</f>
        <v>Sud</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0</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Sud</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3</v>
      </c>
      <c r="K28" s="451" t="str">
        <f ca="1">+INDEX(WORLDCUP!$AR$6:$AR$97,MATCH(L28,WORLDCUP!$AI$6:$AI$97,0))&amp;"-"&amp;INDEX(WORLDCUP!$AS$6:$AS$97,MATCH(L28,WORLDCUP!$AI$6:$AI$97,0))</f>
        <v>7-4</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7-0</v>
      </c>
      <c r="X28" s="181" t="s">
        <v>687</v>
      </c>
      <c r="Y28" s="181">
        <v>76</v>
      </c>
      <c r="Z28" s="425" t="s">
        <v>676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1</v>
      </c>
      <c r="K29" s="43" t="str">
        <f ca="1">+INDEX(WORLDCUP!$AR$6:$AR$97,MATCH(L29,WORLDCUP!$AI$6:$AI$97,0))&amp;"-"&amp;INDEX(WORLDCUP!$AS$6:$AS$97,MATCH(L29,WORLDCUP!$AI$6:$AI$97,0))</f>
        <v>4-3</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4-4</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1</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-1</v>
      </c>
      <c r="K30" s="43" t="str">
        <f ca="1">+INDEX(WORLDCUP!$AR$6:$AR$97,MATCH(L30,WORLDCUP!$AI$6:$AI$97,0))&amp;"-"&amp;INDEX(WORLDCUP!$AS$6:$AS$97,MATCH(L30,WORLDCUP!$AI$6:$AI$97,0))</f>
        <v>5-6</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2</v>
      </c>
      <c r="V30" s="39">
        <f ca="1">+INDEX(WORLDCUP!$AT$6:$AT$97,MATCH(X30,WORLDCUP!$AI$6:$AI$97,0))</f>
        <v>-3</v>
      </c>
      <c r="W30" s="43" t="str">
        <f ca="1">+INDEX(WORLDCUP!$AR$6:$AR$97,MATCH(X30,WORLDCUP!$AI$6:$AI$97,0))&amp;"-"&amp;INDEX(WORLDCUP!$AS$6:$AS$97,MATCH(X30,WORLDCUP!$AI$6:$AI$97,0))</f>
        <v>2-5</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( 1 )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-3</v>
      </c>
      <c r="K31" s="479" t="str">
        <f ca="1">+INDEX(WORLDCUP!$AR$6:$AR$97,MATCH(L31,WORLDCUP!$AI$6:$AI$97,0))&amp;"-"&amp;INDEX(WORLDCUP!$AS$6:$AS$97,MATCH(L31,WORLDCUP!$AI$6:$AI$97,0))</f>
        <v>3-6</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-4</v>
      </c>
      <c r="W31" s="479" t="str">
        <f ca="1">+INDEX(WORLDCUP!$AR$6:$AR$97,MATCH(X31,WORLDCUP!$AI$6:$AI$97,0))&amp;"-"&amp;INDEX(WORLDCUP!$AS$6:$AS$97,MATCH(X31,WORLDCUP!$AI$6:$AI$97,0))</f>
        <v>1-5</v>
      </c>
      <c r="X31" s="181" t="s">
        <v>689</v>
      </c>
      <c r="Y31" s="181">
        <v>78</v>
      </c>
      <c r="Z31" s="425" t="s">
        <v>685</v>
      </c>
      <c r="AA31" s="480" t="str">
        <f ca="1">+MID(INDEX(WORLDCUP!$AF$101:$AF$147,MATCH(Y31,WORLDCUP!$Z$101:$Z$147,0)),1,3)</f>
        <v>Sen</v>
      </c>
      <c r="AB31" s="481">
        <f>+IF(ISBLANK(INDEX(WORLDCUP!$AD$101:$AD$147,MATCH(Y31,WORLDCUP!$Z$101:$Z$147,0))),"",INDEX(WORLDCUP!$AD$101:$AD$147,MATCH(Y31,WORLDCUP!$Z$101:$Z$147,0)))</f>
        <v>1</v>
      </c>
      <c r="AC31" s="507" t="str">
        <f>+IF(ISBLANK(INDEX(WORLDCUP!$AE$101:$AE$147,MATCH(Y31,WORLDCUP!$Z$101:$Z$147,0))),"","( "&amp;INDEX(WORLDCUP!$AE$101:$AE$147,MATCH(Y31,WORLDCUP!$Z$101:$Z$147,0))&amp;" )")</f>
        <v>( 0 )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3</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3</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Rep</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Rep</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8-1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7-1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4</v>
      </c>
      <c r="J37" s="39">
        <f ca="1">+INDEX(WORLDCUP!$AT$6:$AT$97,MATCH(L37,WORLDCUP!$AI$6:$AI$97,0))</f>
        <v>-1</v>
      </c>
      <c r="K37" s="43" t="str">
        <f ca="1">+INDEX(WORLDCUP!$AR$6:$AR$97,MATCH(L37,WORLDCUP!$AI$6:$AI$97,0))&amp;"-"&amp;INDEX(WORLDCUP!$AS$6:$AS$97,MATCH(L37,WORLDCUP!$AI$6:$AI$97,0))</f>
        <v>3-4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4</v>
      </c>
      <c r="V37" s="39">
        <f ca="1">+INDEX(WORLDCUP!$AT$6:$AT$97,MATCH(X37,WORLDCUP!$AI$6:$AI$97,0))</f>
        <v>0</v>
      </c>
      <c r="W37" s="43" t="str">
        <f ca="1">+INDEX(WORLDCUP!$AR$6:$AR$97,MATCH(X37,WORLDCUP!$AI$6:$AI$97,0))&amp;"-"&amp;INDEX(WORLDCUP!$AS$6:$AS$97,MATCH(X37,WORLDCUP!$AI$6:$AI$97,0))</f>
        <v>3-3</v>
      </c>
      <c r="X37" s="181" t="s">
        <v>691</v>
      </c>
      <c r="Y37" s="181">
        <v>80</v>
      </c>
      <c r="Z37" s="425" t="s">
        <v>736</v>
      </c>
      <c r="AA37" s="480" t="str">
        <f ca="1">+MID(INDEX(WORLDCUP!$AF$101:$AF$147,MATCH(Y37,WORLDCUP!$Z$101:$Z$147,0)),1,IF(WORLDCUP!$H$113&lt;144,6,3))</f>
        <v>Nor</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( 1 )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1</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4-6</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2</v>
      </c>
      <c r="V38" s="39">
        <f ca="1">+INDEX(WORLDCUP!$AT$6:$AT$97,MATCH(X38,WORLDCUP!$AI$6:$AI$97,0))</f>
        <v>-2</v>
      </c>
      <c r="W38" s="43" t="str">
        <f ca="1">+INDEX(WORLDCUP!$AR$6:$AR$97,MATCH(X38,WORLDCUP!$AI$6:$AI$97,0))&amp;"-"&amp;INDEX(WORLDCUP!$AS$6:$AS$97,MATCH(X38,WORLDCUP!$AI$6:$AI$97,0))</f>
        <v>2-4</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( 0 )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1</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-4</v>
      </c>
      <c r="K39" s="479" t="str">
        <f ca="1">+INDEX(WORLDCUP!$AR$6:$AR$97,MATCH(L39,WORLDCUP!$AI$6:$AI$97,0))&amp;"-"&amp;INDEX(WORLDCUP!$AS$6:$AS$97,MATCH(L39,WORLDCUP!$AI$6:$AI$97,0))</f>
        <v>2-6</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-4</v>
      </c>
      <c r="W39" s="479" t="str">
        <f ca="1">+INDEX(WORLDCUP!$AR$6:$AR$97,MATCH(X39,WORLDCUP!$AI$6:$AI$97,0))&amp;"-"&amp;INDEX(WORLDCUP!$AS$6:$AS$97,MATCH(X39,WORLDCUP!$AI$6:$AI$97,0))</f>
        <v>1-5</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2</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Nue</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3</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1</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6</v>
      </c>
      <c r="K44" s="451" t="str">
        <f ca="1">+INDEX(WORLDCUP!$AR$6:$AR$97,MATCH(L44,WORLDCUP!$AI$6:$AI$97,0))&amp;"-"&amp;INDEX(WORLDCUP!$AS$6:$AS$97,MATCH(L44,WORLDCUP!$AI$6:$AI$97,0))</f>
        <v>7-1</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5</v>
      </c>
      <c r="V45" s="39">
        <f ca="1">+INDEX(WORLDCUP!$AT$6:$AT$97,MATCH(X45,WORLDCUP!$AI$6:$AI$97,0))</f>
        <v>2</v>
      </c>
      <c r="W45" s="43" t="str">
        <f ca="1">+INDEX(WORLDCUP!$AR$6:$AR$97,MATCH(X45,WORLDCUP!$AI$6:$AI$97,0))&amp;"-"&amp;INDEX(WORLDCUP!$AS$6:$AS$97,MATCH(X45,WORLDCUP!$AI$6:$AI$97,0))</f>
        <v>5-3</v>
      </c>
      <c r="X45" s="181" t="s">
        <v>694</v>
      </c>
      <c r="Y45" s="181">
        <v>85</v>
      </c>
      <c r="Z45" s="425" t="s">
        <v>659</v>
      </c>
      <c r="AA45" s="426" t="str">
        <f ca="1">+MID(INDEX(WORLDCUP!$AA$101:$AA$147,MATCH(Y45,WORLDCUP!$Z$101:$Z$147,0)),1,3)</f>
        <v>Bos</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0</v>
      </c>
      <c r="BJ45" s="464">
        <f ca="1">COUNTIF(Pool!$C$182:$C$197,Fixture!BG45)-BK45-BL45-BM45-BN45-BO45</f>
        <v>0</v>
      </c>
      <c r="BK45" s="465">
        <f ca="1">COUNTIF(Pool!$C$210:$C$217,Fixture!BG45)-BL45-BM45-BN45-BO45</f>
        <v>1</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Tún</v>
      </c>
      <c r="I46" s="38">
        <f ca="1">+INDEX(WORLDCUP!$AM$6:$AM$97,MATCH(L46,WORLDCUP!$AI$6:$AI$97,0))</f>
        <v>2</v>
      </c>
      <c r="J46" s="39">
        <f ca="1">+INDEX(WORLDCUP!$AT$6:$AT$97,MATCH(L46,WORLDCUP!$AI$6:$AI$97,0))</f>
        <v>-1</v>
      </c>
      <c r="K46" s="43" t="str">
        <f ca="1">+INDEX(WORLDCUP!$AR$6:$AR$97,MATCH(L46,WORLDCUP!$AI$6:$AI$97,0))&amp;"-"&amp;INDEX(WORLDCUP!$AS$6:$AS$97,MATCH(L46,WORLDCUP!$AI$6:$AI$97,0))</f>
        <v>3-4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2</v>
      </c>
      <c r="V46" s="39">
        <f ca="1">+INDEX(WORLDCUP!$AT$6:$AT$97,MATCH(X46,WORLDCUP!$AI$6:$AI$97,0))</f>
        <v>-2</v>
      </c>
      <c r="W46" s="43" t="str">
        <f ca="1">+INDEX(WORLDCUP!$AR$6:$AR$97,MATCH(X46,WORLDCUP!$AI$6:$AI$97,0))&amp;"-"&amp;INDEX(WORLDCUP!$AS$6:$AS$97,MATCH(X46,WORLDCUP!$AI$6:$AI$97,0))</f>
        <v>2-4</v>
      </c>
      <c r="X46" s="181" t="s">
        <v>453</v>
      </c>
      <c r="Y46" s="181">
        <v>85</v>
      </c>
      <c r="Z46" s="425" t="s">
        <v>739</v>
      </c>
      <c r="AA46" s="426" t="str">
        <f ca="1">+MID(INDEX(WORLDCUP!$AF$101:$AF$147,MATCH(Y46,WORLDCUP!$Z$101:$Z$147,0)),1,IF(WORLDCUP!$H$113&lt;144,6,3))</f>
        <v>Egi</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Bos</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3</v>
      </c>
      <c r="F47" s="446" t="str">
        <f ca="1">+MID(INDEX(WORLDCUP!$AF$4:$AF$147,MATCH(A47,WORLDCUP!$AH$4:$AH$147,0)),1,3)</f>
        <v>Sue</v>
      </c>
      <c r="G47" s="467">
        <v>4</v>
      </c>
      <c r="H47" s="476" t="str">
        <f ca="1">+MID(INDEX(WORLDCUP!$AL$6:$AL$97,MATCH(L47,WORLDCUP!$AI$6:$AI$97,0)),1,3)</f>
        <v>Jap</v>
      </c>
      <c r="I47" s="477">
        <f ca="1">+INDEX(WORLDCUP!$AM$6:$AM$97,MATCH(L47,WORLDCUP!$AI$6:$AI$97,0))</f>
        <v>1</v>
      </c>
      <c r="J47" s="478">
        <f ca="1">+INDEX(WORLDCUP!$AT$6:$AT$97,MATCH(L47,WORLDCUP!$AI$6:$AI$97,0))</f>
        <v>-5</v>
      </c>
      <c r="K47" s="479" t="str">
        <f ca="1">+INDEX(WORLDCUP!$AR$6:$AR$97,MATCH(L47,WORLDCUP!$AI$6:$AI$97,0))&amp;"-"&amp;INDEX(WORLDCUP!$AS$6:$AS$97,MATCH(L47,WORLDCUP!$AI$6:$AI$97,0))</f>
        <v>2-7</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4</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0</v>
      </c>
      <c r="BI48" s="463">
        <f ca="1">COUNTIF(Pool!$C$130:$C$161,Fixture!BG48)-BJ48-BK48-BL48-BM48-BN48-BO48</f>
        <v>1</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Costa de Marfil</v>
      </c>
      <c r="D2" s="9" t="str">
        <f ca="1">+WORLDCUP!BD67</f>
        <v>Argelia</v>
      </c>
      <c r="E2" s="9" t="str">
        <f ca="1">+WORLDCUP!BD66</f>
        <v>Noruega</v>
      </c>
      <c r="F2" s="9" t="str">
        <f ca="1">+WORLDCUP!BD63</f>
        <v>Túnez</v>
      </c>
      <c r="G2" s="9" t="str">
        <f ca="1">+WORLDCUP!BD65</f>
        <v>Cabo Verde</v>
      </c>
      <c r="H2" s="9" t="str">
        <f ca="1">+WORLDCUP!BD64</f>
        <v>Egipto</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Cabo Verde</v>
      </c>
      <c r="D3" s="9" t="str">
        <f ca="1">+WORLDCUP!BD64</f>
        <v>Egipto</v>
      </c>
      <c r="E3" s="9" t="str">
        <f ca="1">+WORLDCUP!BD66</f>
        <v>Noruega</v>
      </c>
      <c r="F3" s="9" t="str">
        <f ca="1">+WORLDCUP!BD61</f>
        <v>Paraguay</v>
      </c>
      <c r="G3" s="9" t="str">
        <f ca="1">+WORLDCUP!BD67</f>
        <v>Argelia</v>
      </c>
      <c r="H3" s="9" t="str">
        <f ca="1">+WORLDCUP!BD63</f>
        <v>Túnez</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Costa de Marfil</v>
      </c>
      <c r="D4" s="9" t="str">
        <f ca="1">+WORLDCUP!BD67</f>
        <v>Argelia</v>
      </c>
      <c r="E4" s="9" t="str">
        <f ca="1">+WORLDCUP!BD66</f>
        <v>Noruega</v>
      </c>
      <c r="F4" s="9" t="str">
        <f ca="1">+WORLDCUP!BD61</f>
        <v>Paraguay</v>
      </c>
      <c r="G4" s="9" t="str">
        <f ca="1">+WORLDCUP!BD65</f>
        <v>Cabo Verde</v>
      </c>
      <c r="H4" s="9" t="str">
        <f ca="1">+WORLDCUP!BD64</f>
        <v>Egipto</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Costa de Marfil</v>
      </c>
      <c r="D5" s="9" t="str">
        <f ca="1">+WORLDCUP!BD67</f>
        <v>Argelia</v>
      </c>
      <c r="E5" s="9" t="str">
        <f ca="1">+WORLDCUP!BD66</f>
        <v>Noruega</v>
      </c>
      <c r="F5" s="9" t="str">
        <f ca="1">+WORLDCUP!BD61</f>
        <v>Paraguay</v>
      </c>
      <c r="G5" s="9" t="str">
        <f ca="1">+WORLDCUP!BD65</f>
        <v>Cabo Verde</v>
      </c>
      <c r="H5" s="9" t="str">
        <f ca="1">+WORLDCUP!BD63</f>
        <v>Túnez</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Costa de Marfil</v>
      </c>
      <c r="D6" s="9" t="str">
        <f ca="1">+WORLDCUP!BD64</f>
        <v>Egipto</v>
      </c>
      <c r="E6" s="9" t="str">
        <f ca="1">+WORLDCUP!BD66</f>
        <v>Noruega</v>
      </c>
      <c r="F6" s="9" t="str">
        <f ca="1">+WORLDCUP!BD61</f>
        <v>Paraguay</v>
      </c>
      <c r="G6" s="9" t="str">
        <f ca="1">+WORLDCUP!BD67</f>
        <v>Argelia</v>
      </c>
      <c r="H6" s="9" t="str">
        <f ca="1">+WORLDCUP!BD63</f>
        <v>Túnez</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Costa de Marfil</v>
      </c>
      <c r="D7" s="9" t="str">
        <f ca="1">+WORLDCUP!BD64</f>
        <v>Egipto</v>
      </c>
      <c r="E7" s="9" t="str">
        <f ca="1">+WORLDCUP!BD67</f>
        <v>Argelia</v>
      </c>
      <c r="F7" s="9" t="str">
        <f ca="1">+WORLDCUP!BD61</f>
        <v>Paraguay</v>
      </c>
      <c r="G7" s="9" t="str">
        <f ca="1">+WORLDCUP!BD65</f>
        <v>Cabo Verde</v>
      </c>
      <c r="H7" s="9" t="str">
        <f ca="1">+WORLDCUP!BD63</f>
        <v>Túnez</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Egipto</v>
      </c>
      <c r="E8" s="9" t="str">
        <f ca="1">+WORLDCUP!BD66</f>
        <v>Noruega</v>
      </c>
      <c r="F8" s="9" t="str">
        <f ca="1">+WORLDCUP!BD61</f>
        <v>Paraguay</v>
      </c>
      <c r="G8" s="9" t="str">
        <f ca="1">+WORLDCUP!BD65</f>
        <v>Cabo Verde</v>
      </c>
      <c r="H8" s="9" t="str">
        <f ca="1">+WORLDCUP!BD63</f>
        <v>Túnez</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Egipto</v>
      </c>
      <c r="E9" s="9" t="str">
        <f ca="1">+WORLDCUP!BD67</f>
        <v>Argelia</v>
      </c>
      <c r="F9" s="9" t="str">
        <f ca="1">+WORLDCUP!BD61</f>
        <v>Paraguay</v>
      </c>
      <c r="G9" s="9" t="str">
        <f ca="1">+WORLDCUP!BD65</f>
        <v>Cabo Verde</v>
      </c>
      <c r="H9" s="9" t="str">
        <f ca="1">+WORLDCUP!BD63</f>
        <v>Túnez</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Egipto</v>
      </c>
      <c r="E10" s="9" t="str">
        <f ca="1">+WORLDCUP!BD67</f>
        <v>Argelia</v>
      </c>
      <c r="F10" s="9" t="str">
        <f ca="1">+WORLDCUP!BD61</f>
        <v>Paraguay</v>
      </c>
      <c r="G10" s="9" t="str">
        <f ca="1">+WORLDCUP!BD65</f>
        <v>Cabo Verde</v>
      </c>
      <c r="H10" s="9" t="str">
        <f ca="1">+WORLDCUP!BD63</f>
        <v>Túnez</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Cabo Verde</v>
      </c>
      <c r="D11" s="9" t="str">
        <f ca="1">+WORLDCUP!BD64</f>
        <v>Egipto</v>
      </c>
      <c r="E11" s="9" t="str">
        <f ca="1">+WORLDCUP!BD66</f>
        <v>Noruega</v>
      </c>
      <c r="F11" s="9" t="str">
        <f ca="1">+WORLDCUP!BD60</f>
        <v>Haití</v>
      </c>
      <c r="G11" s="9" t="str">
        <f ca="1">+WORLDCUP!BD67</f>
        <v>Argelia</v>
      </c>
      <c r="H11" s="9" t="str">
        <f ca="1">+WORLDCUP!BD63</f>
        <v>Túnez</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Costa de Marfil</v>
      </c>
      <c r="D12" s="9" t="str">
        <f ca="1">+WORLDCUP!BD67</f>
        <v>Argelia</v>
      </c>
      <c r="E12" s="9" t="str">
        <f ca="1">+WORLDCUP!BD66</f>
        <v>Noruega</v>
      </c>
      <c r="F12" s="9" t="str">
        <f ca="1">+WORLDCUP!BD60</f>
        <v>Haití</v>
      </c>
      <c r="G12" s="9" t="str">
        <f ca="1">+WORLDCUP!BD65</f>
        <v>Cabo Verde</v>
      </c>
      <c r="H12" s="9" t="str">
        <f ca="1">+WORLDCUP!BD64</f>
        <v>Egipto</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Costa de Marfil</v>
      </c>
      <c r="D13" s="9" t="str">
        <f ca="1">+WORLDCUP!BD67</f>
        <v>Argelia</v>
      </c>
      <c r="E13" s="9" t="str">
        <f ca="1">+WORLDCUP!BD66</f>
        <v>Noruega</v>
      </c>
      <c r="F13" s="9" t="str">
        <f ca="1">+WORLDCUP!BD60</f>
        <v>Haití</v>
      </c>
      <c r="G13" s="9" t="str">
        <f ca="1">+WORLDCUP!BD65</f>
        <v>Cabo Verde</v>
      </c>
      <c r="H13" s="9" t="str">
        <f ca="1">+WORLDCUP!BD63</f>
        <v>Túnez</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Costa de Marfil</v>
      </c>
      <c r="D14" s="9" t="str">
        <f ca="1">+WORLDCUP!BD64</f>
        <v>Egipto</v>
      </c>
      <c r="E14" s="9" t="str">
        <f ca="1">+WORLDCUP!BD66</f>
        <v>Noruega</v>
      </c>
      <c r="F14" s="9" t="str">
        <f ca="1">+WORLDCUP!BD60</f>
        <v>Haití</v>
      </c>
      <c r="G14" s="9" t="str">
        <f ca="1">+WORLDCUP!BD67</f>
        <v>Argelia</v>
      </c>
      <c r="H14" s="9" t="str">
        <f ca="1">+WORLDCUP!BD63</f>
        <v>Túnez</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Costa de Marfil</v>
      </c>
      <c r="D15" s="9" t="str">
        <f ca="1">+WORLDCUP!BD64</f>
        <v>Egipto</v>
      </c>
      <c r="E15" s="9" t="str">
        <f ca="1">+WORLDCUP!BD67</f>
        <v>Argelia</v>
      </c>
      <c r="F15" s="9" t="str">
        <f ca="1">+WORLDCUP!BD60</f>
        <v>Haití</v>
      </c>
      <c r="G15" s="9" t="str">
        <f ca="1">+WORLDCUP!BD65</f>
        <v>Cabo Verde</v>
      </c>
      <c r="H15" s="9" t="str">
        <f ca="1">+WORLDCUP!BD63</f>
        <v>Túnez</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Costa de Marfil</v>
      </c>
      <c r="D16" s="9" t="str">
        <f ca="1">+WORLDCUP!BD64</f>
        <v>Egipto</v>
      </c>
      <c r="E16" s="9" t="str">
        <f ca="1">+WORLDCUP!BD66</f>
        <v>Noruega</v>
      </c>
      <c r="F16" s="9" t="str">
        <f ca="1">+WORLDCUP!BD60</f>
        <v>Haití</v>
      </c>
      <c r="G16" s="9" t="str">
        <f ca="1">+WORLDCUP!BD65</f>
        <v>Cabo Verde</v>
      </c>
      <c r="H16" s="9" t="str">
        <f ca="1">+WORLDCUP!BD63</f>
        <v>Túnez</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Costa de Marfil</v>
      </c>
      <c r="D17" s="9" t="str">
        <f ca="1">+WORLDCUP!BD64</f>
        <v>Egipto</v>
      </c>
      <c r="E17" s="9" t="str">
        <f ca="1">+WORLDCUP!BD67</f>
        <v>Argelia</v>
      </c>
      <c r="F17" s="9" t="str">
        <f ca="1">+WORLDCUP!BD60</f>
        <v>Haití</v>
      </c>
      <c r="G17" s="9" t="str">
        <f ca="1">+WORLDCUP!BD65</f>
        <v>Cabo Verde</v>
      </c>
      <c r="H17" s="9" t="str">
        <f ca="1">+WORLDCUP!BD63</f>
        <v>Túnez</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Costa de Marfil</v>
      </c>
      <c r="D18" s="9" t="str">
        <f ca="1">+WORLDCUP!BD64</f>
        <v>Egipto</v>
      </c>
      <c r="E18" s="9" t="str">
        <f ca="1">+WORLDCUP!BD67</f>
        <v>Argelia</v>
      </c>
      <c r="F18" s="9" t="str">
        <f ca="1">+WORLDCUP!BD60</f>
        <v>Haití</v>
      </c>
      <c r="G18" s="9" t="str">
        <f ca="1">+WORLDCUP!BD65</f>
        <v>Cabo Verde</v>
      </c>
      <c r="H18" s="9" t="str">
        <f ca="1">+WORLDCUP!BD63</f>
        <v>Túnez</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Cabo Verde</v>
      </c>
      <c r="D19" s="9" t="str">
        <f ca="1">+WORLDCUP!BD64</f>
        <v>Egipto</v>
      </c>
      <c r="E19" s="9" t="str">
        <f ca="1">+WORLDCUP!BD66</f>
        <v>Noruega</v>
      </c>
      <c r="F19" s="9" t="str">
        <f ca="1">+WORLDCUP!BD60</f>
        <v>Haití</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Haití</v>
      </c>
      <c r="D20" s="9" t="str">
        <f ca="1">+WORLDCUP!BD67</f>
        <v>Argelia</v>
      </c>
      <c r="E20" s="9" t="str">
        <f ca="1">+WORLDCUP!BD66</f>
        <v>Noruega</v>
      </c>
      <c r="F20" s="9" t="str">
        <f ca="1">+WORLDCUP!BD61</f>
        <v>Paraguay</v>
      </c>
      <c r="G20" s="9" t="str">
        <f ca="1">+WORLDCUP!BD65</f>
        <v>Cabo Verde</v>
      </c>
      <c r="H20" s="9" t="str">
        <f ca="1">+WORLDCUP!BD63</f>
        <v>Túnez</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Haití</v>
      </c>
      <c r="D21" s="9" t="str">
        <f ca="1">+WORLDCUP!BD64</f>
        <v>Egipto</v>
      </c>
      <c r="E21" s="9" t="str">
        <f ca="1">+WORLDCUP!BD66</f>
        <v>Noruega</v>
      </c>
      <c r="F21" s="9" t="str">
        <f ca="1">+WORLDCUP!BD61</f>
        <v>Paraguay</v>
      </c>
      <c r="G21" s="9" t="str">
        <f ca="1">+WORLDCUP!BD67</f>
        <v>Argelia</v>
      </c>
      <c r="H21" s="9" t="str">
        <f ca="1">+WORLDCUP!BD63</f>
        <v>Túnez</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Haití</v>
      </c>
      <c r="D22" s="9" t="str">
        <f ca="1">+WORLDCUP!BD64</f>
        <v>Egipto</v>
      </c>
      <c r="E22" s="9" t="str">
        <f ca="1">+WORLDCUP!BD67</f>
        <v>Argelia</v>
      </c>
      <c r="F22" s="9" t="str">
        <f ca="1">+WORLDCUP!BD61</f>
        <v>Paraguay</v>
      </c>
      <c r="G22" s="9" t="str">
        <f ca="1">+WORLDCUP!BD65</f>
        <v>Cabo Verde</v>
      </c>
      <c r="H22" s="9" t="str">
        <f ca="1">+WORLDCUP!BD63</f>
        <v>Túnez</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Haití</v>
      </c>
      <c r="D23" s="9" t="str">
        <f ca="1">+WORLDCUP!BD64</f>
        <v>Egipto</v>
      </c>
      <c r="E23" s="9" t="str">
        <f ca="1">+WORLDCUP!BD66</f>
        <v>Noruega</v>
      </c>
      <c r="F23" s="9" t="str">
        <f ca="1">+WORLDCUP!BD61</f>
        <v>Paraguay</v>
      </c>
      <c r="G23" s="9" t="str">
        <f ca="1">+WORLDCUP!BD65</f>
        <v>Cabo Verde</v>
      </c>
      <c r="H23" s="9" t="str">
        <f ca="1">+WORLDCUP!BD63</f>
        <v>Túnez</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Haití</v>
      </c>
      <c r="D24" s="9" t="str">
        <f ca="1">+WORLDCUP!BD64</f>
        <v>Egipto</v>
      </c>
      <c r="E24" s="9" t="str">
        <f ca="1">+WORLDCUP!BD67</f>
        <v>Argelia</v>
      </c>
      <c r="F24" s="9" t="str">
        <f ca="1">+WORLDCUP!BD61</f>
        <v>Paraguay</v>
      </c>
      <c r="G24" s="9" t="str">
        <f ca="1">+WORLDCUP!BD65</f>
        <v>Cabo Verde</v>
      </c>
      <c r="H24" s="9" t="str">
        <f ca="1">+WORLDCUP!BD63</f>
        <v>Túnez</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Haití</v>
      </c>
      <c r="D25" s="9" t="str">
        <f ca="1">+WORLDCUP!BD64</f>
        <v>Egipto</v>
      </c>
      <c r="E25" s="9" t="str">
        <f ca="1">+WORLDCUP!BD67</f>
        <v>Argelia</v>
      </c>
      <c r="F25" s="9" t="str">
        <f ca="1">+WORLDCUP!BD61</f>
        <v>Paraguay</v>
      </c>
      <c r="G25" s="9" t="str">
        <f ca="1">+WORLDCUP!BD65</f>
        <v>Cabo Verde</v>
      </c>
      <c r="H25" s="9" t="str">
        <f ca="1">+WORLDCUP!BD63</f>
        <v>Túnez</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Costa de Marfil</v>
      </c>
      <c r="D26" s="9" t="str">
        <f ca="1">+WORLDCUP!BD67</f>
        <v>Argelia</v>
      </c>
      <c r="E26" s="9" t="str">
        <f ca="1">+WORLDCUP!BD66</f>
        <v>Noruega</v>
      </c>
      <c r="F26" s="9" t="str">
        <f ca="1">+WORLDCUP!BD60</f>
        <v>Haití</v>
      </c>
      <c r="G26" s="9" t="str">
        <f ca="1">+WORLDCUP!BD65</f>
        <v>Cabo Verde</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Costa de Marfil</v>
      </c>
      <c r="D27" s="9" t="str">
        <f ca="1">+WORLDCUP!BD64</f>
        <v>Egipto</v>
      </c>
      <c r="E27" s="9" t="str">
        <f ca="1">+WORLDCUP!BD66</f>
        <v>Noruega</v>
      </c>
      <c r="F27" s="9" t="str">
        <f ca="1">+WORLDCUP!BD60</f>
        <v>Haití</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Costa de Marfil</v>
      </c>
      <c r="D28" s="9" t="str">
        <f ca="1">+WORLDCUP!BD64</f>
        <v>Egipto</v>
      </c>
      <c r="E28" s="9" t="str">
        <f ca="1">+WORLDCUP!BD67</f>
        <v>Argelia</v>
      </c>
      <c r="F28" s="9" t="str">
        <f ca="1">+WORLDCUP!BD60</f>
        <v>Haití</v>
      </c>
      <c r="G28" s="9" t="str">
        <f ca="1">+WORLDCUP!BD65</f>
        <v>Cabo Verde</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Costa de Marfil</v>
      </c>
      <c r="D29" s="9" t="str">
        <f ca="1">+WORLDCUP!BD64</f>
        <v>Egipto</v>
      </c>
      <c r="E29" s="9" t="str">
        <f ca="1">+WORLDCUP!BD66</f>
        <v>Noruega</v>
      </c>
      <c r="F29" s="9" t="str">
        <f ca="1">+WORLDCUP!BD60</f>
        <v>Haití</v>
      </c>
      <c r="G29" s="9" t="str">
        <f ca="1">+WORLDCUP!BD65</f>
        <v>Cabo Verde</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Costa de Marfil</v>
      </c>
      <c r="D30" s="9" t="str">
        <f ca="1">+WORLDCUP!BD64</f>
        <v>Egipto</v>
      </c>
      <c r="E30" s="9" t="str">
        <f ca="1">+WORLDCUP!BD67</f>
        <v>Argelia</v>
      </c>
      <c r="F30" s="9" t="str">
        <f ca="1">+WORLDCUP!BD60</f>
        <v>Haití</v>
      </c>
      <c r="G30" s="9" t="str">
        <f ca="1">+WORLDCUP!BD65</f>
        <v>Cabo Verde</v>
      </c>
      <c r="H30" s="9" t="str">
        <f ca="1">+WORLDCUP!BD61</f>
        <v>Paraguay</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Costa de Marfil</v>
      </c>
      <c r="D31" s="9" t="str">
        <f ca="1">+WORLDCUP!BD64</f>
        <v>Egipto</v>
      </c>
      <c r="E31" s="9" t="str">
        <f ca="1">+WORLDCUP!BD67</f>
        <v>Argelia</v>
      </c>
      <c r="F31" s="9" t="str">
        <f ca="1">+WORLDCUP!BD60</f>
        <v>Haití</v>
      </c>
      <c r="G31" s="9" t="str">
        <f ca="1">+WORLDCUP!BD65</f>
        <v>Cabo Verde</v>
      </c>
      <c r="H31" s="9" t="str">
        <f ca="1">+WORLDCUP!BD61</f>
        <v>Paraguay</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Haití</v>
      </c>
      <c r="D32" s="9" t="str">
        <f ca="1">+WORLDCUP!BD67</f>
        <v>Argelia</v>
      </c>
      <c r="E32" s="9" t="str">
        <f ca="1">+WORLDCUP!BD62</f>
        <v>Costa de Marfil</v>
      </c>
      <c r="F32" s="9" t="str">
        <f ca="1">+WORLDCUP!BD61</f>
        <v>Paraguay</v>
      </c>
      <c r="G32" s="9" t="str">
        <f ca="1">+WORLDCUP!BD66</f>
        <v>Noruega</v>
      </c>
      <c r="H32" s="9" t="str">
        <f ca="1">+WORLDCUP!BD63</f>
        <v>Túnez</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Haití</v>
      </c>
      <c r="D33" s="9" t="str">
        <f ca="1">+WORLDCUP!BD67</f>
        <v>Argelia</v>
      </c>
      <c r="E33" s="9" t="str">
        <f ca="1">+WORLDCUP!BD62</f>
        <v>Costa de Marfil</v>
      </c>
      <c r="F33" s="9" t="str">
        <f ca="1">+WORLDCUP!BD61</f>
        <v>Paraguay</v>
      </c>
      <c r="G33" s="9" t="str">
        <f ca="1">+WORLDCUP!BD65</f>
        <v>Cabo Verde</v>
      </c>
      <c r="H33" s="9" t="str">
        <f ca="1">+WORLDCUP!BD63</f>
        <v>Túnez</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Haití</v>
      </c>
      <c r="D34" s="9" t="str">
        <f ca="1">+WORLDCUP!BD62</f>
        <v>Costa de Marfil</v>
      </c>
      <c r="E34" s="9" t="str">
        <f ca="1">+WORLDCUP!BD66</f>
        <v>Noruega</v>
      </c>
      <c r="F34" s="9" t="str">
        <f ca="1">+WORLDCUP!BD61</f>
        <v>Paraguay</v>
      </c>
      <c r="G34" s="9" t="str">
        <f ca="1">+WORLDCUP!BD65</f>
        <v>Cabo Verde</v>
      </c>
      <c r="H34" s="9" t="str">
        <f ca="1">+WORLDCUP!BD63</f>
        <v>Túnez</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Haití</v>
      </c>
      <c r="D35" s="9" t="str">
        <f ca="1">+WORLDCUP!BD67</f>
        <v>Argelia</v>
      </c>
      <c r="E35" s="9" t="str">
        <f ca="1">+WORLDCUP!BD62</f>
        <v>Costa de Marfil</v>
      </c>
      <c r="F35" s="9" t="str">
        <f ca="1">+WORLDCUP!BD61</f>
        <v>Paraguay</v>
      </c>
      <c r="G35" s="9" t="str">
        <f ca="1">+WORLDCUP!BD65</f>
        <v>Cabo Verde</v>
      </c>
      <c r="H35" s="9" t="str">
        <f ca="1">+WORLDCUP!BD63</f>
        <v>Túnez</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Haití</v>
      </c>
      <c r="D36" s="9" t="str">
        <f ca="1">+WORLDCUP!BD67</f>
        <v>Argelia</v>
      </c>
      <c r="E36" s="9" t="str">
        <f ca="1">+WORLDCUP!BD62</f>
        <v>Costa de Marfil</v>
      </c>
      <c r="F36" s="9" t="str">
        <f ca="1">+WORLDCUP!BD61</f>
        <v>Paraguay</v>
      </c>
      <c r="G36" s="9" t="str">
        <f ca="1">+WORLDCUP!BD65</f>
        <v>Cabo Verde</v>
      </c>
      <c r="H36" s="9" t="str">
        <f ca="1">+WORLDCUP!BD63</f>
        <v>Túnez</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Haití</v>
      </c>
      <c r="D37" s="9" t="str">
        <f ca="1">+WORLDCUP!BD64</f>
        <v>Egipto</v>
      </c>
      <c r="E37" s="9" t="str">
        <f ca="1">+WORLDCUP!BD62</f>
        <v>Costa de Marfil</v>
      </c>
      <c r="F37" s="9" t="str">
        <f ca="1">+WORLDCUP!BD61</f>
        <v>Paraguay</v>
      </c>
      <c r="G37" s="9" t="str">
        <f ca="1">+WORLDCUP!BD67</f>
        <v>Argelia</v>
      </c>
      <c r="H37" s="9" t="str">
        <f ca="1">+WORLDCUP!BD63</f>
        <v>Túnez</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Haití</v>
      </c>
      <c r="D38" s="9" t="str">
        <f ca="1">+WORLDCUP!BD64</f>
        <v>Egipto</v>
      </c>
      <c r="E38" s="9" t="str">
        <f ca="1">+WORLDCUP!BD62</f>
        <v>Costa de Marfil</v>
      </c>
      <c r="F38" s="9" t="str">
        <f ca="1">+WORLDCUP!BD61</f>
        <v>Paraguay</v>
      </c>
      <c r="G38" s="9" t="str">
        <f ca="1">+WORLDCUP!BD66</f>
        <v>Noruega</v>
      </c>
      <c r="H38" s="9" t="str">
        <f ca="1">+WORLDCUP!BD63</f>
        <v>Túnez</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Haití</v>
      </c>
      <c r="D39" s="9" t="str">
        <f ca="1">+WORLDCUP!BD64</f>
        <v>Egipto</v>
      </c>
      <c r="E39" s="9" t="str">
        <f ca="1">+WORLDCUP!BD62</f>
        <v>Costa de Marfil</v>
      </c>
      <c r="F39" s="9" t="str">
        <f ca="1">+WORLDCUP!BD61</f>
        <v>Paraguay</v>
      </c>
      <c r="G39" s="9" t="str">
        <f ca="1">+WORLDCUP!BD67</f>
        <v>Argelia</v>
      </c>
      <c r="H39" s="9" t="str">
        <f ca="1">+WORLDCUP!BD63</f>
        <v>Túnez</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Haití</v>
      </c>
      <c r="D40" s="9" t="str">
        <f ca="1">+WORLDCUP!BD64</f>
        <v>Egipto</v>
      </c>
      <c r="E40" s="9" t="str">
        <f ca="1">+WORLDCUP!BD62</f>
        <v>Costa de Marfil</v>
      </c>
      <c r="F40" s="9" t="str">
        <f ca="1">+WORLDCUP!BD61</f>
        <v>Paraguay</v>
      </c>
      <c r="G40" s="9" t="str">
        <f ca="1">+WORLDCUP!BD67</f>
        <v>Argelia</v>
      </c>
      <c r="H40" s="9" t="str">
        <f ca="1">+WORLDCUP!BD63</f>
        <v>Túnez</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Haití</v>
      </c>
      <c r="D41" s="9" t="str">
        <f ca="1">+WORLDCUP!BD64</f>
        <v>Egipto</v>
      </c>
      <c r="E41" s="9" t="str">
        <f ca="1">+WORLDCUP!BD62</f>
        <v>Costa de Marfil</v>
      </c>
      <c r="F41" s="9" t="str">
        <f ca="1">+WORLDCUP!BD61</f>
        <v>Paraguay</v>
      </c>
      <c r="G41" s="9" t="str">
        <f ca="1">+WORLDCUP!BD65</f>
        <v>Cabo Verde</v>
      </c>
      <c r="H41" s="9" t="str">
        <f ca="1">+WORLDCUP!BD63</f>
        <v>Túnez</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Haití</v>
      </c>
      <c r="D42" s="9" t="str">
        <f ca="1">+WORLDCUP!BD64</f>
        <v>Egipto</v>
      </c>
      <c r="E42" s="9" t="str">
        <f ca="1">+WORLDCUP!BD67</f>
        <v>Argelia</v>
      </c>
      <c r="F42" s="9" t="str">
        <f ca="1">+WORLDCUP!BD61</f>
        <v>Paraguay</v>
      </c>
      <c r="G42" s="9" t="str">
        <f ca="1">+WORLDCUP!BD65</f>
        <v>Cabo Verde</v>
      </c>
      <c r="H42" s="9" t="str">
        <f ca="1">+WORLDCUP!BD63</f>
        <v>Túnez</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Haití</v>
      </c>
      <c r="D43" s="9" t="str">
        <f ca="1">+WORLDCUP!BD64</f>
        <v>Egipto</v>
      </c>
      <c r="E43" s="9" t="str">
        <f ca="1">+WORLDCUP!BD67</f>
        <v>Argelia</v>
      </c>
      <c r="F43" s="9" t="str">
        <f ca="1">+WORLDCUP!BD61</f>
        <v>Paraguay</v>
      </c>
      <c r="G43" s="9" t="str">
        <f ca="1">+WORLDCUP!BD65</f>
        <v>Cabo Verde</v>
      </c>
      <c r="H43" s="9" t="str">
        <f ca="1">+WORLDCUP!BD63</f>
        <v>Túnez</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Haití</v>
      </c>
      <c r="D44" s="9" t="str">
        <f ca="1">+WORLDCUP!BD64</f>
        <v>Egipto</v>
      </c>
      <c r="E44" s="9" t="str">
        <f ca="1">+WORLDCUP!BD62</f>
        <v>Costa de Marfil</v>
      </c>
      <c r="F44" s="9" t="str">
        <f ca="1">+WORLDCUP!BD61</f>
        <v>Paraguay</v>
      </c>
      <c r="G44" s="9" t="str">
        <f ca="1">+WORLDCUP!BD65</f>
        <v>Cabo Verde</v>
      </c>
      <c r="H44" s="9" t="str">
        <f ca="1">+WORLDCUP!BD63</f>
        <v>Túnez</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Haití</v>
      </c>
      <c r="D45" s="9" t="str">
        <f ca="1">+WORLDCUP!BD64</f>
        <v>Egipto</v>
      </c>
      <c r="E45" s="9" t="str">
        <f ca="1">+WORLDCUP!BD62</f>
        <v>Costa de Marfil</v>
      </c>
      <c r="F45" s="9" t="str">
        <f ca="1">+WORLDCUP!BD61</f>
        <v>Paraguay</v>
      </c>
      <c r="G45" s="9" t="str">
        <f ca="1">+WORLDCUP!BD65</f>
        <v>Cabo Verde</v>
      </c>
      <c r="H45" s="9" t="str">
        <f ca="1">+WORLDCUP!BD63</f>
        <v>Túnez</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Haití</v>
      </c>
      <c r="D46" s="9" t="str">
        <f ca="1">+WORLDCUP!BD64</f>
        <v>Egipto</v>
      </c>
      <c r="E46" s="9" t="str">
        <f ca="1">+WORLDCUP!BD67</f>
        <v>Argelia</v>
      </c>
      <c r="F46" s="9" t="str">
        <f ca="1">+WORLDCUP!BD61</f>
        <v>Paraguay</v>
      </c>
      <c r="G46" s="9" t="str">
        <f ca="1">+WORLDCUP!BD65</f>
        <v>Cabo Verde</v>
      </c>
      <c r="H46" s="9" t="str">
        <f ca="1">+WORLDCUP!BD63</f>
        <v>Túnez</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Cabo Verde</v>
      </c>
      <c r="D47" s="9" t="str">
        <f ca="1">+WORLDCUP!BD67</f>
        <v>Argelia</v>
      </c>
      <c r="E47" s="9" t="str">
        <f ca="1">+WORLDCUP!BD59</f>
        <v>Canadá</v>
      </c>
      <c r="F47" s="9" t="str">
        <f ca="1">+WORLDCUP!BD63</f>
        <v>Túnez</v>
      </c>
      <c r="G47" s="9" t="str">
        <f ca="1">+WORLDCUP!BD66</f>
        <v>Noruega</v>
      </c>
      <c r="H47" s="9" t="str">
        <f ca="1">+WORLDCUP!BD64</f>
        <v>Egipto</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Costa de Marfil</v>
      </c>
      <c r="D48" s="9" t="str">
        <f ca="1">+WORLDCUP!BD67</f>
        <v>Argelia</v>
      </c>
      <c r="E48" s="9" t="str">
        <f ca="1">+WORLDCUP!BD66</f>
        <v>Noruega</v>
      </c>
      <c r="F48" s="9" t="str">
        <f ca="1">+WORLDCUP!BD59</f>
        <v>Canadá</v>
      </c>
      <c r="G48" s="9" t="str">
        <f ca="1">+WORLDCUP!BD65</f>
        <v>Cabo Verde</v>
      </c>
      <c r="H48" s="9" t="str">
        <f ca="1">+WORLDCUP!BD64</f>
        <v>Egipto</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Costa de Marfil</v>
      </c>
      <c r="D49" s="9" t="str">
        <f ca="1">+WORLDCUP!BD67</f>
        <v>Argelia</v>
      </c>
      <c r="E49" s="9" t="str">
        <f ca="1">+WORLDCUP!BD59</f>
        <v>Canadá</v>
      </c>
      <c r="F49" s="9" t="str">
        <f ca="1">+WORLDCUP!BD63</f>
        <v>Túnez</v>
      </c>
      <c r="G49" s="9" t="str">
        <f ca="1">+WORLDCUP!BD66</f>
        <v>Noruega</v>
      </c>
      <c r="H49" s="9" t="str">
        <f ca="1">+WORLDCUP!BD65</f>
        <v>Cabo Verde</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Costa de Marfil</v>
      </c>
      <c r="D50" s="9" t="str">
        <f ca="1">+WORLDCUP!BD67</f>
        <v>Argelia</v>
      </c>
      <c r="E50" s="9" t="str">
        <f ca="1">+WORLDCUP!BD59</f>
        <v>Canadá</v>
      </c>
      <c r="F50" s="9" t="str">
        <f ca="1">+WORLDCUP!BD63</f>
        <v>Túnez</v>
      </c>
      <c r="G50" s="9" t="str">
        <f ca="1">+WORLDCUP!BD66</f>
        <v>Noruega</v>
      </c>
      <c r="H50" s="9" t="str">
        <f ca="1">+WORLDCUP!BD64</f>
        <v>Egipto</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Costa de Marfil</v>
      </c>
      <c r="D51" s="9" t="str">
        <f ca="1">+WORLDCUP!BD67</f>
        <v>Argelia</v>
      </c>
      <c r="E51" s="9" t="str">
        <f ca="1">+WORLDCUP!BD59</f>
        <v>Canadá</v>
      </c>
      <c r="F51" s="9" t="str">
        <f ca="1">+WORLDCUP!BD63</f>
        <v>Túnez</v>
      </c>
      <c r="G51" s="9" t="str">
        <f ca="1">+WORLDCUP!BD65</f>
        <v>Cabo Verde</v>
      </c>
      <c r="H51" s="9" t="str">
        <f ca="1">+WORLDCUP!BD64</f>
        <v>Egipto</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Costa de Marfil</v>
      </c>
      <c r="D52" s="9" t="str">
        <f ca="1">+WORLDCUP!BD64</f>
        <v>Egipto</v>
      </c>
      <c r="E52" s="9" t="str">
        <f ca="1">+WORLDCUP!BD59</f>
        <v>Canadá</v>
      </c>
      <c r="F52" s="9" t="str">
        <f ca="1">+WORLDCUP!BD63</f>
        <v>Túnez</v>
      </c>
      <c r="G52" s="9" t="str">
        <f ca="1">+WORLDCUP!BD66</f>
        <v>Noruega</v>
      </c>
      <c r="H52" s="9" t="str">
        <f ca="1">+WORLDCUP!BD65</f>
        <v>Cabo Verde</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Costa de Marfil</v>
      </c>
      <c r="D53" s="9" t="str">
        <f ca="1">+WORLDCUP!BD67</f>
        <v>Argelia</v>
      </c>
      <c r="E53" s="9" t="str">
        <f ca="1">+WORLDCUP!BD59</f>
        <v>Canadá</v>
      </c>
      <c r="F53" s="9" t="str">
        <f ca="1">+WORLDCUP!BD63</f>
        <v>Túnez</v>
      </c>
      <c r="G53" s="9" t="str">
        <f ca="1">+WORLDCUP!BD65</f>
        <v>Cabo Verde</v>
      </c>
      <c r="H53" s="9" t="str">
        <f ca="1">+WORLDCUP!BD64</f>
        <v>Egipto</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Costa de Marfil</v>
      </c>
      <c r="D54" s="9" t="str">
        <f ca="1">+WORLDCUP!BD67</f>
        <v>Argelia</v>
      </c>
      <c r="E54" s="9" t="str">
        <f ca="1">+WORLDCUP!BD59</f>
        <v>Canadá</v>
      </c>
      <c r="F54" s="9" t="str">
        <f ca="1">+WORLDCUP!BD63</f>
        <v>Túnez</v>
      </c>
      <c r="G54" s="9" t="str">
        <f ca="1">+WORLDCUP!BD65</f>
        <v>Cabo Verde</v>
      </c>
      <c r="H54" s="9" t="str">
        <f ca="1">+WORLDCUP!BD64</f>
        <v>Egipto</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Cabo Verde</v>
      </c>
      <c r="D55" s="9" t="str">
        <f ca="1">+WORLDCUP!BD67</f>
        <v>Argelia</v>
      </c>
      <c r="E55" s="9" t="str">
        <f ca="1">+WORLDCUP!BD59</f>
        <v>Canadá</v>
      </c>
      <c r="F55" s="9" t="str">
        <f ca="1">+WORLDCUP!BD61</f>
        <v>Paraguay</v>
      </c>
      <c r="G55" s="9" t="str">
        <f ca="1">+WORLDCUP!BD66</f>
        <v>Noruega</v>
      </c>
      <c r="H55" s="9" t="str">
        <f ca="1">+WORLDCUP!BD64</f>
        <v>Egipto</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Cabo Verde</v>
      </c>
      <c r="D56" s="9" t="str">
        <f ca="1">+WORLDCUP!BD67</f>
        <v>Argelia</v>
      </c>
      <c r="E56" s="9" t="str">
        <f ca="1">+WORLDCUP!BD59</f>
        <v>Canadá</v>
      </c>
      <c r="F56" s="9" t="str">
        <f ca="1">+WORLDCUP!BD61</f>
        <v>Paraguay</v>
      </c>
      <c r="G56" s="9" t="str">
        <f ca="1">+WORLDCUP!BD66</f>
        <v>Noruega</v>
      </c>
      <c r="H56" s="9" t="str">
        <f ca="1">+WORLDCUP!BD63</f>
        <v>Túnez</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Noruega</v>
      </c>
      <c r="D57" s="9" t="str">
        <f ca="1">+WORLDCUP!BD64</f>
        <v>Egipto</v>
      </c>
      <c r="E57" s="9" t="str">
        <f ca="1">+WORLDCUP!BD59</f>
        <v>Canadá</v>
      </c>
      <c r="F57" s="9" t="str">
        <f ca="1">+WORLDCUP!BD61</f>
        <v>Paraguay</v>
      </c>
      <c r="G57" s="9" t="str">
        <f ca="1">+WORLDCUP!BD67</f>
        <v>Argelia</v>
      </c>
      <c r="H57" s="9" t="str">
        <f ca="1">+WORLDCUP!BD63</f>
        <v>Túnez</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Cabo Verde</v>
      </c>
      <c r="D58" s="9" t="str">
        <f ca="1">+WORLDCUP!BD64</f>
        <v>Egipto</v>
      </c>
      <c r="E58" s="9" t="str">
        <f ca="1">+WORLDCUP!BD59</f>
        <v>Canadá</v>
      </c>
      <c r="F58" s="9" t="str">
        <f ca="1">+WORLDCUP!BD61</f>
        <v>Paraguay</v>
      </c>
      <c r="G58" s="9" t="str">
        <f ca="1">+WORLDCUP!BD67</f>
        <v>Argelia</v>
      </c>
      <c r="H58" s="9" t="str">
        <f ca="1">+WORLDCUP!BD63</f>
        <v>Túnez</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Cabo Verde</v>
      </c>
      <c r="D59" s="9" t="str">
        <f ca="1">+WORLDCUP!BD64</f>
        <v>Egipto</v>
      </c>
      <c r="E59" s="9" t="str">
        <f ca="1">+WORLDCUP!BD59</f>
        <v>Canadá</v>
      </c>
      <c r="F59" s="9" t="str">
        <f ca="1">+WORLDCUP!BD61</f>
        <v>Paraguay</v>
      </c>
      <c r="G59" s="9" t="str">
        <f ca="1">+WORLDCUP!BD66</f>
        <v>Noruega</v>
      </c>
      <c r="H59" s="9" t="str">
        <f ca="1">+WORLDCUP!BD63</f>
        <v>Túnez</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Cabo Verde</v>
      </c>
      <c r="D60" s="9" t="str">
        <f ca="1">+WORLDCUP!BD64</f>
        <v>Egipto</v>
      </c>
      <c r="E60" s="9" t="str">
        <f ca="1">+WORLDCUP!BD59</f>
        <v>Canadá</v>
      </c>
      <c r="F60" s="9" t="str">
        <f ca="1">+WORLDCUP!BD61</f>
        <v>Paraguay</v>
      </c>
      <c r="G60" s="9" t="str">
        <f ca="1">+WORLDCUP!BD67</f>
        <v>Argelia</v>
      </c>
      <c r="H60" s="9" t="str">
        <f ca="1">+WORLDCUP!BD63</f>
        <v>Túnez</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Cabo Verde</v>
      </c>
      <c r="D61" s="9" t="str">
        <f ca="1">+WORLDCUP!BD64</f>
        <v>Egipto</v>
      </c>
      <c r="E61" s="9" t="str">
        <f ca="1">+WORLDCUP!BD59</f>
        <v>Canadá</v>
      </c>
      <c r="F61" s="9" t="str">
        <f ca="1">+WORLDCUP!BD61</f>
        <v>Paraguay</v>
      </c>
      <c r="G61" s="9" t="str">
        <f ca="1">+WORLDCUP!BD67</f>
        <v>Argelia</v>
      </c>
      <c r="H61" s="9" t="str">
        <f ca="1">+WORLDCUP!BD63</f>
        <v>Túnez</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Costa de Marfil</v>
      </c>
      <c r="D62" s="9" t="str">
        <f ca="1">+WORLDCUP!BD67</f>
        <v>Argelia</v>
      </c>
      <c r="E62" s="9" t="str">
        <f ca="1">+WORLDCUP!BD59</f>
        <v>Canadá</v>
      </c>
      <c r="F62" s="9" t="str">
        <f ca="1">+WORLDCUP!BD61</f>
        <v>Paraguay</v>
      </c>
      <c r="G62" s="9" t="str">
        <f ca="1">+WORLDCUP!BD66</f>
        <v>Noruega</v>
      </c>
      <c r="H62" s="9" t="str">
        <f ca="1">+WORLDCUP!BD65</f>
        <v>Cabo Verde</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Costa de Marfil</v>
      </c>
      <c r="D63" s="9" t="str">
        <f ca="1">+WORLDCUP!BD67</f>
        <v>Argelia</v>
      </c>
      <c r="E63" s="9" t="str">
        <f ca="1">+WORLDCUP!BD59</f>
        <v>Canadá</v>
      </c>
      <c r="F63" s="9" t="str">
        <f ca="1">+WORLDCUP!BD61</f>
        <v>Paraguay</v>
      </c>
      <c r="G63" s="9" t="str">
        <f ca="1">+WORLDCUP!BD66</f>
        <v>Noruega</v>
      </c>
      <c r="H63" s="9" t="str">
        <f ca="1">+WORLDCUP!BD64</f>
        <v>Egipto</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Costa de Marfil</v>
      </c>
      <c r="D64" s="9" t="str">
        <f ca="1">+WORLDCUP!BD67</f>
        <v>Argelia</v>
      </c>
      <c r="E64" s="9" t="str">
        <f ca="1">+WORLDCUP!BD59</f>
        <v>Canadá</v>
      </c>
      <c r="F64" s="9" t="str">
        <f ca="1">+WORLDCUP!BD61</f>
        <v>Paraguay</v>
      </c>
      <c r="G64" s="9" t="str">
        <f ca="1">+WORLDCUP!BD65</f>
        <v>Cabo Verde</v>
      </c>
      <c r="H64" s="9" t="str">
        <f ca="1">+WORLDCUP!BD64</f>
        <v>Egipto</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Costa de Marfil</v>
      </c>
      <c r="D65" s="9" t="str">
        <f ca="1">+WORLDCUP!BD64</f>
        <v>Egipto</v>
      </c>
      <c r="E65" s="9" t="str">
        <f ca="1">+WORLDCUP!BD59</f>
        <v>Canadá</v>
      </c>
      <c r="F65" s="9" t="str">
        <f ca="1">+WORLDCUP!BD61</f>
        <v>Paraguay</v>
      </c>
      <c r="G65" s="9" t="str">
        <f ca="1">+WORLDCUP!BD66</f>
        <v>Noruega</v>
      </c>
      <c r="H65" s="9" t="str">
        <f ca="1">+WORLDCUP!BD65</f>
        <v>Cabo Verde</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Costa de Marfil</v>
      </c>
      <c r="D66" s="9" t="str">
        <f ca="1">+WORLDCUP!BD67</f>
        <v>Argelia</v>
      </c>
      <c r="E66" s="9" t="str">
        <f ca="1">+WORLDCUP!BD59</f>
        <v>Canadá</v>
      </c>
      <c r="F66" s="9" t="str">
        <f ca="1">+WORLDCUP!BD61</f>
        <v>Paraguay</v>
      </c>
      <c r="G66" s="9" t="str">
        <f ca="1">+WORLDCUP!BD65</f>
        <v>Cabo Verde</v>
      </c>
      <c r="H66" s="9" t="str">
        <f ca="1">+WORLDCUP!BD64</f>
        <v>Egipto</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Costa de Marfil</v>
      </c>
      <c r="D67" s="9" t="str">
        <f ca="1">+WORLDCUP!BD67</f>
        <v>Argelia</v>
      </c>
      <c r="E67" s="9" t="str">
        <f ca="1">+WORLDCUP!BD59</f>
        <v>Canadá</v>
      </c>
      <c r="F67" s="9" t="str">
        <f ca="1">+WORLDCUP!BD61</f>
        <v>Paraguay</v>
      </c>
      <c r="G67" s="9" t="str">
        <f ca="1">+WORLDCUP!BD65</f>
        <v>Cabo Verde</v>
      </c>
      <c r="H67" s="9" t="str">
        <f ca="1">+WORLDCUP!BD64</f>
        <v>Egipto</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0</v>
      </c>
      <c r="C68" s="9" t="str">
        <f ca="1">+WORLDCUP!BD62</f>
        <v>Costa de Marfil</v>
      </c>
      <c r="D68" s="9" t="str">
        <f ca="1">+WORLDCUP!BD67</f>
        <v>Argelia</v>
      </c>
      <c r="E68" s="9" t="str">
        <f ca="1">+WORLDCUP!BD59</f>
        <v>Canadá</v>
      </c>
      <c r="F68" s="9" t="str">
        <f ca="1">+WORLDCUP!BD61</f>
        <v>Paraguay</v>
      </c>
      <c r="G68" s="9" t="str">
        <f ca="1">+WORLDCUP!BD66</f>
        <v>Noruega</v>
      </c>
      <c r="H68" s="9" t="str">
        <f ca="1">+WORLDCUP!BD63</f>
        <v>Túnez</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Costa de Marfil</v>
      </c>
      <c r="D69" s="9" t="str">
        <f ca="1">+WORLDCUP!BD67</f>
        <v>Argelia</v>
      </c>
      <c r="E69" s="9" t="str">
        <f ca="1">+WORLDCUP!BD59</f>
        <v>Canadá</v>
      </c>
      <c r="F69" s="9" t="str">
        <f ca="1">+WORLDCUP!BD61</f>
        <v>Paraguay</v>
      </c>
      <c r="G69" s="9" t="str">
        <f ca="1">+WORLDCUP!BD65</f>
        <v>Cabo Verde</v>
      </c>
      <c r="H69" s="9" t="str">
        <f ca="1">+WORLDCUP!BD63</f>
        <v>Túnez</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Costa de Marfil</v>
      </c>
      <c r="D70" s="9" t="str">
        <f ca="1">+WORLDCUP!BD66</f>
        <v>Noruega</v>
      </c>
      <c r="E70" s="9" t="str">
        <f ca="1">+WORLDCUP!BD59</f>
        <v>Canadá</v>
      </c>
      <c r="F70" s="9" t="str">
        <f ca="1">+WORLDCUP!BD61</f>
        <v>Paraguay</v>
      </c>
      <c r="G70" s="9" t="str">
        <f ca="1">+WORLDCUP!BD65</f>
        <v>Cabo Verde</v>
      </c>
      <c r="H70" s="9" t="str">
        <f ca="1">+WORLDCUP!BD63</f>
        <v>Túnez</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Costa de Marfil</v>
      </c>
      <c r="D71" s="9" t="str">
        <f ca="1">+WORLDCUP!BD67</f>
        <v>Argelia</v>
      </c>
      <c r="E71" s="9" t="str">
        <f ca="1">+WORLDCUP!BD59</f>
        <v>Canadá</v>
      </c>
      <c r="F71" s="9" t="str">
        <f ca="1">+WORLDCUP!BD61</f>
        <v>Paraguay</v>
      </c>
      <c r="G71" s="9" t="str">
        <f ca="1">+WORLDCUP!BD65</f>
        <v>Cabo Verde</v>
      </c>
      <c r="H71" s="9" t="str">
        <f ca="1">+WORLDCUP!BD63</f>
        <v>Túnez</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Costa de Marfil</v>
      </c>
      <c r="D72" s="9" t="str">
        <f ca="1">+WORLDCUP!BD67</f>
        <v>Argelia</v>
      </c>
      <c r="E72" s="9" t="str">
        <f ca="1">+WORLDCUP!BD59</f>
        <v>Canadá</v>
      </c>
      <c r="F72" s="9" t="str">
        <f ca="1">+WORLDCUP!BD61</f>
        <v>Paraguay</v>
      </c>
      <c r="G72" s="9" t="str">
        <f ca="1">+WORLDCUP!BD65</f>
        <v>Cabo Verde</v>
      </c>
      <c r="H72" s="9" t="str">
        <f ca="1">+WORLDCUP!BD63</f>
        <v>Túnez</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Costa de Marfil</v>
      </c>
      <c r="D73" s="9" t="str">
        <f ca="1">+WORLDCUP!BD64</f>
        <v>Egipto</v>
      </c>
      <c r="E73" s="9" t="str">
        <f ca="1">+WORLDCUP!BD59</f>
        <v>Canadá</v>
      </c>
      <c r="F73" s="9" t="str">
        <f ca="1">+WORLDCUP!BD61</f>
        <v>Paraguay</v>
      </c>
      <c r="G73" s="9" t="str">
        <f ca="1">+WORLDCUP!BD67</f>
        <v>Argelia</v>
      </c>
      <c r="H73" s="9" t="str">
        <f ca="1">+WORLDCUP!BD63</f>
        <v>Túnez</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Costa de Marfil</v>
      </c>
      <c r="D74" s="9" t="str">
        <f ca="1">+WORLDCUP!BD64</f>
        <v>Egipto</v>
      </c>
      <c r="E74" s="9" t="str">
        <f ca="1">+WORLDCUP!BD59</f>
        <v>Canadá</v>
      </c>
      <c r="F74" s="9" t="str">
        <f ca="1">+WORLDCUP!BD61</f>
        <v>Paraguay</v>
      </c>
      <c r="G74" s="9" t="str">
        <f ca="1">+WORLDCUP!BD66</f>
        <v>Noruega</v>
      </c>
      <c r="H74" s="9" t="str">
        <f ca="1">+WORLDCUP!BD63</f>
        <v>Túnez</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Costa de Marfil</v>
      </c>
      <c r="D75" s="9" t="str">
        <f ca="1">+WORLDCUP!BD64</f>
        <v>Egipto</v>
      </c>
      <c r="E75" s="9" t="str">
        <f ca="1">+WORLDCUP!BD59</f>
        <v>Canadá</v>
      </c>
      <c r="F75" s="9" t="str">
        <f ca="1">+WORLDCUP!BD61</f>
        <v>Paraguay</v>
      </c>
      <c r="G75" s="9" t="str">
        <f ca="1">+WORLDCUP!BD67</f>
        <v>Argelia</v>
      </c>
      <c r="H75" s="9" t="str">
        <f ca="1">+WORLDCUP!BD63</f>
        <v>Túnez</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Costa de Marfil</v>
      </c>
      <c r="D76" s="9" t="str">
        <f ca="1">+WORLDCUP!BD64</f>
        <v>Egipto</v>
      </c>
      <c r="E76" s="9" t="str">
        <f ca="1">+WORLDCUP!BD59</f>
        <v>Canadá</v>
      </c>
      <c r="F76" s="9" t="str">
        <f ca="1">+WORLDCUP!BD61</f>
        <v>Paraguay</v>
      </c>
      <c r="G76" s="9" t="str">
        <f ca="1">+WORLDCUP!BD67</f>
        <v>Argelia</v>
      </c>
      <c r="H76" s="9" t="str">
        <f ca="1">+WORLDCUP!BD63</f>
        <v>Túnez</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Costa de Marfil</v>
      </c>
      <c r="D77" s="9" t="str">
        <f ca="1">+WORLDCUP!BD64</f>
        <v>Egipto</v>
      </c>
      <c r="E77" s="9" t="str">
        <f ca="1">+WORLDCUP!BD59</f>
        <v>Canadá</v>
      </c>
      <c r="F77" s="9" t="str">
        <f ca="1">+WORLDCUP!BD61</f>
        <v>Paraguay</v>
      </c>
      <c r="G77" s="9" t="str">
        <f ca="1">+WORLDCUP!BD65</f>
        <v>Cabo Verde</v>
      </c>
      <c r="H77" s="9" t="str">
        <f ca="1">+WORLDCUP!BD63</f>
        <v>Túnez</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Cabo Verde</v>
      </c>
      <c r="D78" s="9" t="str">
        <f ca="1">+WORLDCUP!BD64</f>
        <v>Egipto</v>
      </c>
      <c r="E78" s="9" t="str">
        <f ca="1">+WORLDCUP!BD59</f>
        <v>Canadá</v>
      </c>
      <c r="F78" s="9" t="str">
        <f ca="1">+WORLDCUP!BD61</f>
        <v>Paraguay</v>
      </c>
      <c r="G78" s="9" t="str">
        <f ca="1">+WORLDCUP!BD67</f>
        <v>Argelia</v>
      </c>
      <c r="H78" s="9" t="str">
        <f ca="1">+WORLDCUP!BD63</f>
        <v>Túnez</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Cabo Verde</v>
      </c>
      <c r="D79" s="9" t="str">
        <f ca="1">+WORLDCUP!BD64</f>
        <v>Egipto</v>
      </c>
      <c r="E79" s="9" t="str">
        <f ca="1">+WORLDCUP!BD59</f>
        <v>Canadá</v>
      </c>
      <c r="F79" s="9" t="str">
        <f ca="1">+WORLDCUP!BD61</f>
        <v>Paraguay</v>
      </c>
      <c r="G79" s="9" t="str">
        <f ca="1">+WORLDCUP!BD67</f>
        <v>Argelia</v>
      </c>
      <c r="H79" s="9" t="str">
        <f ca="1">+WORLDCUP!BD63</f>
        <v>Túnez</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Costa de Marfil</v>
      </c>
      <c r="D80" s="9" t="str">
        <f ca="1">+WORLDCUP!BD64</f>
        <v>Egipto</v>
      </c>
      <c r="E80" s="9" t="str">
        <f ca="1">+WORLDCUP!BD59</f>
        <v>Canadá</v>
      </c>
      <c r="F80" s="9" t="str">
        <f ca="1">+WORLDCUP!BD61</f>
        <v>Paraguay</v>
      </c>
      <c r="G80" s="9" t="str">
        <f ca="1">+WORLDCUP!BD65</f>
        <v>Cabo Verde</v>
      </c>
      <c r="H80" s="9" t="str">
        <f ca="1">+WORLDCUP!BD63</f>
        <v>Túnez</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Costa de Marfil</v>
      </c>
      <c r="D81" s="9" t="str">
        <f ca="1">+WORLDCUP!BD64</f>
        <v>Egipto</v>
      </c>
      <c r="E81" s="9" t="str">
        <f ca="1">+WORLDCUP!BD59</f>
        <v>Canadá</v>
      </c>
      <c r="F81" s="9" t="str">
        <f ca="1">+WORLDCUP!BD61</f>
        <v>Paraguay</v>
      </c>
      <c r="G81" s="9" t="str">
        <f ca="1">+WORLDCUP!BD65</f>
        <v>Cabo Verde</v>
      </c>
      <c r="H81" s="9" t="str">
        <f ca="1">+WORLDCUP!BD63</f>
        <v>Túnez</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Cabo Verde</v>
      </c>
      <c r="D82" s="9" t="str">
        <f ca="1">+WORLDCUP!BD64</f>
        <v>Egipto</v>
      </c>
      <c r="E82" s="9" t="str">
        <f ca="1">+WORLDCUP!BD59</f>
        <v>Canadá</v>
      </c>
      <c r="F82" s="9" t="str">
        <f ca="1">+WORLDCUP!BD61</f>
        <v>Paraguay</v>
      </c>
      <c r="G82" s="9" t="str">
        <f ca="1">+WORLDCUP!BD67</f>
        <v>Argelia</v>
      </c>
      <c r="H82" s="9" t="str">
        <f ca="1">+WORLDCUP!BD63</f>
        <v>Túnez</v>
      </c>
      <c r="I82" s="9" t="str">
        <f ca="1">+WORLDCUP!BD62</f>
        <v>Costa de Marfil</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Cabo Verde</v>
      </c>
      <c r="D83" s="9" t="str">
        <f ca="1">+WORLDCUP!BD67</f>
        <v>Argelia</v>
      </c>
      <c r="E83" s="9" t="str">
        <f ca="1">+WORLDCUP!BD59</f>
        <v>Canadá</v>
      </c>
      <c r="F83" s="9" t="str">
        <f ca="1">+WORLDCUP!BD60</f>
        <v>Haití</v>
      </c>
      <c r="G83" s="9" t="str">
        <f ca="1">+WORLDCUP!BD66</f>
        <v>Noruega</v>
      </c>
      <c r="H83" s="9" t="str">
        <f ca="1">+WORLDCUP!BD64</f>
        <v>Egipto</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Cabo Verde</v>
      </c>
      <c r="D84" s="9" t="str">
        <f ca="1">+WORLDCUP!BD67</f>
        <v>Argelia</v>
      </c>
      <c r="E84" s="9" t="str">
        <f ca="1">+WORLDCUP!BD59</f>
        <v>Canadá</v>
      </c>
      <c r="F84" s="9" t="str">
        <f ca="1">+WORLDCUP!BD60</f>
        <v>Haití</v>
      </c>
      <c r="G84" s="9" t="str">
        <f ca="1">+WORLDCUP!BD66</f>
        <v>Noruega</v>
      </c>
      <c r="H84" s="9" t="str">
        <f ca="1">+WORLDCUP!BD63</f>
        <v>Túnez</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Noruega</v>
      </c>
      <c r="D85" s="9" t="str">
        <f ca="1">+WORLDCUP!BD64</f>
        <v>Egipto</v>
      </c>
      <c r="E85" s="9" t="str">
        <f ca="1">+WORLDCUP!BD59</f>
        <v>Canadá</v>
      </c>
      <c r="F85" s="9" t="str">
        <f ca="1">+WORLDCUP!BD60</f>
        <v>Haití</v>
      </c>
      <c r="G85" s="9" t="str">
        <f ca="1">+WORLDCUP!BD67</f>
        <v>Argelia</v>
      </c>
      <c r="H85" s="9" t="str">
        <f ca="1">+WORLDCUP!BD63</f>
        <v>Túnez</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Cabo Verde</v>
      </c>
      <c r="D86" s="9" t="str">
        <f ca="1">+WORLDCUP!BD64</f>
        <v>Egipto</v>
      </c>
      <c r="E86" s="9" t="str">
        <f ca="1">+WORLDCUP!BD59</f>
        <v>Canadá</v>
      </c>
      <c r="F86" s="9" t="str">
        <f ca="1">+WORLDCUP!BD60</f>
        <v>Haití</v>
      </c>
      <c r="G86" s="9" t="str">
        <f ca="1">+WORLDCUP!BD67</f>
        <v>Argelia</v>
      </c>
      <c r="H86" s="9" t="str">
        <f ca="1">+WORLDCUP!BD63</f>
        <v>Túnez</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Cabo Verde</v>
      </c>
      <c r="D87" s="9" t="str">
        <f ca="1">+WORLDCUP!BD64</f>
        <v>Egipto</v>
      </c>
      <c r="E87" s="9" t="str">
        <f ca="1">+WORLDCUP!BD59</f>
        <v>Canadá</v>
      </c>
      <c r="F87" s="9" t="str">
        <f ca="1">+WORLDCUP!BD60</f>
        <v>Haití</v>
      </c>
      <c r="G87" s="9" t="str">
        <f ca="1">+WORLDCUP!BD66</f>
        <v>Noruega</v>
      </c>
      <c r="H87" s="9" t="str">
        <f ca="1">+WORLDCUP!BD63</f>
        <v>Túnez</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Cabo Verde</v>
      </c>
      <c r="D88" s="9" t="str">
        <f ca="1">+WORLDCUP!BD64</f>
        <v>Egipto</v>
      </c>
      <c r="E88" s="9" t="str">
        <f ca="1">+WORLDCUP!BD59</f>
        <v>Canadá</v>
      </c>
      <c r="F88" s="9" t="str">
        <f ca="1">+WORLDCUP!BD60</f>
        <v>Haití</v>
      </c>
      <c r="G88" s="9" t="str">
        <f ca="1">+WORLDCUP!BD67</f>
        <v>Argelia</v>
      </c>
      <c r="H88" s="9" t="str">
        <f ca="1">+WORLDCUP!BD63</f>
        <v>Túnez</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Cabo Verde</v>
      </c>
      <c r="D89" s="9" t="str">
        <f ca="1">+WORLDCUP!BD64</f>
        <v>Egipto</v>
      </c>
      <c r="E89" s="9" t="str">
        <f ca="1">+WORLDCUP!BD59</f>
        <v>Canadá</v>
      </c>
      <c r="F89" s="9" t="str">
        <f ca="1">+WORLDCUP!BD60</f>
        <v>Haití</v>
      </c>
      <c r="G89" s="9" t="str">
        <f ca="1">+WORLDCUP!BD67</f>
        <v>Argelia</v>
      </c>
      <c r="H89" s="9" t="str">
        <f ca="1">+WORLDCUP!BD63</f>
        <v>Túnez</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Costa de Marfil</v>
      </c>
      <c r="D90" s="9" t="str">
        <f ca="1">+WORLDCUP!BD67</f>
        <v>Argelia</v>
      </c>
      <c r="E90" s="9" t="str">
        <f ca="1">+WORLDCUP!BD59</f>
        <v>Canadá</v>
      </c>
      <c r="F90" s="9" t="str">
        <f ca="1">+WORLDCUP!BD60</f>
        <v>Haití</v>
      </c>
      <c r="G90" s="9" t="str">
        <f ca="1">+WORLDCUP!BD66</f>
        <v>Noruega</v>
      </c>
      <c r="H90" s="9" t="str">
        <f ca="1">+WORLDCUP!BD65</f>
        <v>Cabo Verde</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Costa de Marfil</v>
      </c>
      <c r="D91" s="9" t="str">
        <f ca="1">+WORLDCUP!BD67</f>
        <v>Argelia</v>
      </c>
      <c r="E91" s="9" t="str">
        <f ca="1">+WORLDCUP!BD59</f>
        <v>Canadá</v>
      </c>
      <c r="F91" s="9" t="str">
        <f ca="1">+WORLDCUP!BD60</f>
        <v>Haití</v>
      </c>
      <c r="G91" s="9" t="str">
        <f ca="1">+WORLDCUP!BD66</f>
        <v>Noruega</v>
      </c>
      <c r="H91" s="9" t="str">
        <f ca="1">+WORLDCUP!BD64</f>
        <v>Egipto</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Costa de Marfil</v>
      </c>
      <c r="D92" s="9" t="str">
        <f ca="1">+WORLDCUP!BD67</f>
        <v>Argelia</v>
      </c>
      <c r="E92" s="9" t="str">
        <f ca="1">+WORLDCUP!BD59</f>
        <v>Canadá</v>
      </c>
      <c r="F92" s="9" t="str">
        <f ca="1">+WORLDCUP!BD60</f>
        <v>Haití</v>
      </c>
      <c r="G92" s="9" t="str">
        <f ca="1">+WORLDCUP!BD65</f>
        <v>Cabo Verde</v>
      </c>
      <c r="H92" s="9" t="str">
        <f ca="1">+WORLDCUP!BD64</f>
        <v>Egipto</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Costa de Marfil</v>
      </c>
      <c r="D93" s="9" t="str">
        <f ca="1">+WORLDCUP!BD64</f>
        <v>Egipto</v>
      </c>
      <c r="E93" s="9" t="str">
        <f ca="1">+WORLDCUP!BD59</f>
        <v>Canadá</v>
      </c>
      <c r="F93" s="9" t="str">
        <f ca="1">+WORLDCUP!BD60</f>
        <v>Haití</v>
      </c>
      <c r="G93" s="9" t="str">
        <f ca="1">+WORLDCUP!BD66</f>
        <v>Noruega</v>
      </c>
      <c r="H93" s="9" t="str">
        <f ca="1">+WORLDCUP!BD65</f>
        <v>Cabo Verde</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Costa de Marfil</v>
      </c>
      <c r="D94" s="9" t="str">
        <f ca="1">+WORLDCUP!BD67</f>
        <v>Argelia</v>
      </c>
      <c r="E94" s="9" t="str">
        <f ca="1">+WORLDCUP!BD59</f>
        <v>Canadá</v>
      </c>
      <c r="F94" s="9" t="str">
        <f ca="1">+WORLDCUP!BD60</f>
        <v>Haití</v>
      </c>
      <c r="G94" s="9" t="str">
        <f ca="1">+WORLDCUP!BD65</f>
        <v>Cabo Verde</v>
      </c>
      <c r="H94" s="9" t="str">
        <f ca="1">+WORLDCUP!BD64</f>
        <v>Egipto</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Costa de Marfil</v>
      </c>
      <c r="D95" s="9" t="str">
        <f ca="1">+WORLDCUP!BD67</f>
        <v>Argelia</v>
      </c>
      <c r="E95" s="9" t="str">
        <f ca="1">+WORLDCUP!BD59</f>
        <v>Canadá</v>
      </c>
      <c r="F95" s="9" t="str">
        <f ca="1">+WORLDCUP!BD60</f>
        <v>Haití</v>
      </c>
      <c r="G95" s="9" t="str">
        <f ca="1">+WORLDCUP!BD65</f>
        <v>Cabo Verde</v>
      </c>
      <c r="H95" s="9" t="str">
        <f ca="1">+WORLDCUP!BD64</f>
        <v>Egipto</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Costa de Marfil</v>
      </c>
      <c r="D96" s="9" t="str">
        <f ca="1">+WORLDCUP!BD67</f>
        <v>Argelia</v>
      </c>
      <c r="E96" s="9" t="str">
        <f ca="1">+WORLDCUP!BD59</f>
        <v>Canadá</v>
      </c>
      <c r="F96" s="9" t="str">
        <f ca="1">+WORLDCUP!BD60</f>
        <v>Haití</v>
      </c>
      <c r="G96" s="9" t="str">
        <f ca="1">+WORLDCUP!BD66</f>
        <v>Noruega</v>
      </c>
      <c r="H96" s="9" t="str">
        <f ca="1">+WORLDCUP!BD63</f>
        <v>Túnez</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Costa de Marfil</v>
      </c>
      <c r="D97" s="9" t="str">
        <f ca="1">+WORLDCUP!BD67</f>
        <v>Argelia</v>
      </c>
      <c r="E97" s="9" t="str">
        <f ca="1">+WORLDCUP!BD59</f>
        <v>Canadá</v>
      </c>
      <c r="F97" s="9" t="str">
        <f ca="1">+WORLDCUP!BD60</f>
        <v>Haití</v>
      </c>
      <c r="G97" s="9" t="str">
        <f ca="1">+WORLDCUP!BD65</f>
        <v>Cabo Verde</v>
      </c>
      <c r="H97" s="9" t="str">
        <f ca="1">+WORLDCUP!BD63</f>
        <v>Túnez</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Costa de Marfil</v>
      </c>
      <c r="D98" s="9" t="str">
        <f ca="1">+WORLDCUP!BD66</f>
        <v>Noruega</v>
      </c>
      <c r="E98" s="9" t="str">
        <f ca="1">+WORLDCUP!BD59</f>
        <v>Canadá</v>
      </c>
      <c r="F98" s="9" t="str">
        <f ca="1">+WORLDCUP!BD60</f>
        <v>Haití</v>
      </c>
      <c r="G98" s="9" t="str">
        <f ca="1">+WORLDCUP!BD65</f>
        <v>Cabo Verde</v>
      </c>
      <c r="H98" s="9" t="str">
        <f ca="1">+WORLDCUP!BD63</f>
        <v>Túnez</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Costa de Marfil</v>
      </c>
      <c r="D99" s="9" t="str">
        <f ca="1">+WORLDCUP!BD67</f>
        <v>Argelia</v>
      </c>
      <c r="E99" s="9" t="str">
        <f ca="1">+WORLDCUP!BD59</f>
        <v>Canadá</v>
      </c>
      <c r="F99" s="9" t="str">
        <f ca="1">+WORLDCUP!BD60</f>
        <v>Haití</v>
      </c>
      <c r="G99" s="9" t="str">
        <f ca="1">+WORLDCUP!BD65</f>
        <v>Cabo Verde</v>
      </c>
      <c r="H99" s="9" t="str">
        <f ca="1">+WORLDCUP!BD63</f>
        <v>Túnez</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Costa de Marfil</v>
      </c>
      <c r="D100" s="9" t="str">
        <f ca="1">+WORLDCUP!BD67</f>
        <v>Argelia</v>
      </c>
      <c r="E100" s="9" t="str">
        <f ca="1">+WORLDCUP!BD59</f>
        <v>Canadá</v>
      </c>
      <c r="F100" s="9" t="str">
        <f ca="1">+WORLDCUP!BD60</f>
        <v>Haití</v>
      </c>
      <c r="G100" s="9" t="str">
        <f ca="1">+WORLDCUP!BD65</f>
        <v>Cabo Verde</v>
      </c>
      <c r="H100" s="9" t="str">
        <f ca="1">+WORLDCUP!BD63</f>
        <v>Túnez</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Costa de Marfil</v>
      </c>
      <c r="D101" s="9" t="str">
        <f ca="1">+WORLDCUP!BD64</f>
        <v>Egipto</v>
      </c>
      <c r="E101" s="9" t="str">
        <f ca="1">+WORLDCUP!BD59</f>
        <v>Canadá</v>
      </c>
      <c r="F101" s="9" t="str">
        <f ca="1">+WORLDCUP!BD60</f>
        <v>Haití</v>
      </c>
      <c r="G101" s="9" t="str">
        <f ca="1">+WORLDCUP!BD67</f>
        <v>Argelia</v>
      </c>
      <c r="H101" s="9" t="str">
        <f ca="1">+WORLDCUP!BD63</f>
        <v>Túnez</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Costa de Marfil</v>
      </c>
      <c r="D102" s="9" t="str">
        <f ca="1">+WORLDCUP!BD64</f>
        <v>Egipto</v>
      </c>
      <c r="E102" s="9" t="str">
        <f ca="1">+WORLDCUP!BD59</f>
        <v>Canadá</v>
      </c>
      <c r="F102" s="9" t="str">
        <f ca="1">+WORLDCUP!BD60</f>
        <v>Haití</v>
      </c>
      <c r="G102" s="9" t="str">
        <f ca="1">+WORLDCUP!BD66</f>
        <v>Noruega</v>
      </c>
      <c r="H102" s="9" t="str">
        <f ca="1">+WORLDCUP!BD63</f>
        <v>Túnez</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Costa de Marfil</v>
      </c>
      <c r="D103" s="9" t="str">
        <f ca="1">+WORLDCUP!BD64</f>
        <v>Egipto</v>
      </c>
      <c r="E103" s="9" t="str">
        <f ca="1">+WORLDCUP!BD59</f>
        <v>Canadá</v>
      </c>
      <c r="F103" s="9" t="str">
        <f ca="1">+WORLDCUP!BD60</f>
        <v>Haití</v>
      </c>
      <c r="G103" s="9" t="str">
        <f ca="1">+WORLDCUP!BD67</f>
        <v>Argelia</v>
      </c>
      <c r="H103" s="9" t="str">
        <f ca="1">+WORLDCUP!BD63</f>
        <v>Túnez</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Costa de Marfil</v>
      </c>
      <c r="D104" s="9" t="str">
        <f ca="1">+WORLDCUP!BD64</f>
        <v>Egipto</v>
      </c>
      <c r="E104" s="9" t="str">
        <f ca="1">+WORLDCUP!BD59</f>
        <v>Canadá</v>
      </c>
      <c r="F104" s="9" t="str">
        <f ca="1">+WORLDCUP!BD60</f>
        <v>Haití</v>
      </c>
      <c r="G104" s="9" t="str">
        <f ca="1">+WORLDCUP!BD67</f>
        <v>Argelia</v>
      </c>
      <c r="H104" s="9" t="str">
        <f ca="1">+WORLDCUP!BD63</f>
        <v>Túnez</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Costa de Marfil</v>
      </c>
      <c r="D105" s="9" t="str">
        <f ca="1">+WORLDCUP!BD64</f>
        <v>Egipto</v>
      </c>
      <c r="E105" s="9" t="str">
        <f ca="1">+WORLDCUP!BD59</f>
        <v>Canadá</v>
      </c>
      <c r="F105" s="9" t="str">
        <f ca="1">+WORLDCUP!BD60</f>
        <v>Haití</v>
      </c>
      <c r="G105" s="9" t="str">
        <f ca="1">+WORLDCUP!BD65</f>
        <v>Cabo Verde</v>
      </c>
      <c r="H105" s="9" t="str">
        <f ca="1">+WORLDCUP!BD63</f>
        <v>Túnez</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Cabo Verde</v>
      </c>
      <c r="D106" s="9" t="str">
        <f ca="1">+WORLDCUP!BD64</f>
        <v>Egipto</v>
      </c>
      <c r="E106" s="9" t="str">
        <f ca="1">+WORLDCUP!BD59</f>
        <v>Canadá</v>
      </c>
      <c r="F106" s="9" t="str">
        <f ca="1">+WORLDCUP!BD60</f>
        <v>Haití</v>
      </c>
      <c r="G106" s="9" t="str">
        <f ca="1">+WORLDCUP!BD67</f>
        <v>Argelia</v>
      </c>
      <c r="H106" s="9" t="str">
        <f ca="1">+WORLDCUP!BD63</f>
        <v>Túnez</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Cabo Verde</v>
      </c>
      <c r="D107" s="9" t="str">
        <f ca="1">+WORLDCUP!BD64</f>
        <v>Egipto</v>
      </c>
      <c r="E107" s="9" t="str">
        <f ca="1">+WORLDCUP!BD59</f>
        <v>Canadá</v>
      </c>
      <c r="F107" s="9" t="str">
        <f ca="1">+WORLDCUP!BD60</f>
        <v>Haití</v>
      </c>
      <c r="G107" s="9" t="str">
        <f ca="1">+WORLDCUP!BD67</f>
        <v>Argelia</v>
      </c>
      <c r="H107" s="9" t="str">
        <f ca="1">+WORLDCUP!BD63</f>
        <v>Túnez</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Costa de Marfil</v>
      </c>
      <c r="D108" s="9" t="str">
        <f ca="1">+WORLDCUP!BD64</f>
        <v>Egipto</v>
      </c>
      <c r="E108" s="9" t="str">
        <f ca="1">+WORLDCUP!BD59</f>
        <v>Canadá</v>
      </c>
      <c r="F108" s="9" t="str">
        <f ca="1">+WORLDCUP!BD60</f>
        <v>Haití</v>
      </c>
      <c r="G108" s="9" t="str">
        <f ca="1">+WORLDCUP!BD65</f>
        <v>Cabo Verde</v>
      </c>
      <c r="H108" s="9" t="str">
        <f ca="1">+WORLDCUP!BD63</f>
        <v>Túnez</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Costa de Marfil</v>
      </c>
      <c r="D109" s="9" t="str">
        <f ca="1">+WORLDCUP!BD64</f>
        <v>Egipto</v>
      </c>
      <c r="E109" s="9" t="str">
        <f ca="1">+WORLDCUP!BD59</f>
        <v>Canadá</v>
      </c>
      <c r="F109" s="9" t="str">
        <f ca="1">+WORLDCUP!BD60</f>
        <v>Haití</v>
      </c>
      <c r="G109" s="9" t="str">
        <f ca="1">+WORLDCUP!BD65</f>
        <v>Cabo Verde</v>
      </c>
      <c r="H109" s="9" t="str">
        <f ca="1">+WORLDCUP!BD63</f>
        <v>Túnez</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Cabo Verde</v>
      </c>
      <c r="D110" s="9" t="str">
        <f ca="1">+WORLDCUP!BD64</f>
        <v>Egipto</v>
      </c>
      <c r="E110" s="9" t="str">
        <f ca="1">+WORLDCUP!BD59</f>
        <v>Canadá</v>
      </c>
      <c r="F110" s="9" t="str">
        <f ca="1">+WORLDCUP!BD60</f>
        <v>Haití</v>
      </c>
      <c r="G110" s="9" t="str">
        <f ca="1">+WORLDCUP!BD67</f>
        <v>Argelia</v>
      </c>
      <c r="H110" s="9" t="str">
        <f ca="1">+WORLDCUP!BD63</f>
        <v>Túnez</v>
      </c>
      <c r="I110" s="9" t="str">
        <f ca="1">+WORLDCUP!BD62</f>
        <v>Costa de Marfil</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Cabo Verde</v>
      </c>
      <c r="D111" s="9" t="str">
        <f ca="1">+WORLDCUP!BD67</f>
        <v>Argelia</v>
      </c>
      <c r="E111" s="9" t="str">
        <f ca="1">+WORLDCUP!BD59</f>
        <v>Canadá</v>
      </c>
      <c r="F111" s="9" t="str">
        <f ca="1">+WORLDCUP!BD60</f>
        <v>Haití</v>
      </c>
      <c r="G111" s="9" t="str">
        <f ca="1">+WORLDCUP!BD66</f>
        <v>Noruega</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Noruega</v>
      </c>
      <c r="D112" s="9" t="str">
        <f ca="1">+WORLDCUP!BD64</f>
        <v>Egipto</v>
      </c>
      <c r="E112" s="9" t="str">
        <f ca="1">+WORLDCUP!BD59</f>
        <v>Canadá</v>
      </c>
      <c r="F112" s="9" t="str">
        <f ca="1">+WORLDCUP!BD60</f>
        <v>Haití</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Cabo Verde</v>
      </c>
      <c r="D113" s="9" t="str">
        <f ca="1">+WORLDCUP!BD64</f>
        <v>Egipto</v>
      </c>
      <c r="E113" s="9" t="str">
        <f ca="1">+WORLDCUP!BD59</f>
        <v>Canadá</v>
      </c>
      <c r="F113" s="9" t="str">
        <f ca="1">+WORLDCUP!BD60</f>
        <v>Haití</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Cabo Verde</v>
      </c>
      <c r="D114" s="9" t="str">
        <f ca="1">+WORLDCUP!BD64</f>
        <v>Egipto</v>
      </c>
      <c r="E114" s="9" t="str">
        <f ca="1">+WORLDCUP!BD59</f>
        <v>Canadá</v>
      </c>
      <c r="F114" s="9" t="str">
        <f ca="1">+WORLDCUP!BD60</f>
        <v>Haití</v>
      </c>
      <c r="G114" s="9" t="str">
        <f ca="1">+WORLDCUP!BD66</f>
        <v>Noruega</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Cabo Verde</v>
      </c>
      <c r="D115" s="9" t="str">
        <f ca="1">+WORLDCUP!BD64</f>
        <v>Egipto</v>
      </c>
      <c r="E115" s="9" t="str">
        <f ca="1">+WORLDCUP!BD59</f>
        <v>Canadá</v>
      </c>
      <c r="F115" s="9" t="str">
        <f ca="1">+WORLDCUP!BD60</f>
        <v>Haití</v>
      </c>
      <c r="G115" s="9" t="str">
        <f ca="1">+WORLDCUP!BD67</f>
        <v>Argelia</v>
      </c>
      <c r="H115" s="9" t="str">
        <f ca="1">+WORLDCUP!BD61</f>
        <v>Paraguay</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Cabo Verde</v>
      </c>
      <c r="D116" s="9" t="str">
        <f ca="1">+WORLDCUP!BD64</f>
        <v>Egipto</v>
      </c>
      <c r="E116" s="9" t="str">
        <f ca="1">+WORLDCUP!BD59</f>
        <v>Canadá</v>
      </c>
      <c r="F116" s="9" t="str">
        <f ca="1">+WORLDCUP!BD60</f>
        <v>Haití</v>
      </c>
      <c r="G116" s="9" t="str">
        <f ca="1">+WORLDCUP!BD67</f>
        <v>Argelia</v>
      </c>
      <c r="H116" s="9" t="str">
        <f ca="1">+WORLDCUP!BD61</f>
        <v>Paraguay</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Haití</v>
      </c>
      <c r="D117" s="9" t="str">
        <f ca="1">+WORLDCUP!BD67</f>
        <v>Argelia</v>
      </c>
      <c r="E117" s="9" t="str">
        <f ca="1">+WORLDCUP!BD59</f>
        <v>Canadá</v>
      </c>
      <c r="F117" s="9" t="str">
        <f ca="1">+WORLDCUP!BD61</f>
        <v>Paraguay</v>
      </c>
      <c r="G117" s="9" t="str">
        <f ca="1">+WORLDCUP!BD66</f>
        <v>Noruega</v>
      </c>
      <c r="H117" s="9" t="str">
        <f ca="1">+WORLDCUP!BD63</f>
        <v>Túnez</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Haití</v>
      </c>
      <c r="D118" s="9" t="str">
        <f ca="1">+WORLDCUP!BD67</f>
        <v>Argelia</v>
      </c>
      <c r="E118" s="9" t="str">
        <f ca="1">+WORLDCUP!BD59</f>
        <v>Canadá</v>
      </c>
      <c r="F118" s="9" t="str">
        <f ca="1">+WORLDCUP!BD61</f>
        <v>Paraguay</v>
      </c>
      <c r="G118" s="9" t="str">
        <f ca="1">+WORLDCUP!BD65</f>
        <v>Cabo Verde</v>
      </c>
      <c r="H118" s="9" t="str">
        <f ca="1">+WORLDCUP!BD63</f>
        <v>Túnez</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Haití</v>
      </c>
      <c r="D119" s="9" t="str">
        <f ca="1">+WORLDCUP!BD66</f>
        <v>Noruega</v>
      </c>
      <c r="E119" s="9" t="str">
        <f ca="1">+WORLDCUP!BD59</f>
        <v>Canadá</v>
      </c>
      <c r="F119" s="9" t="str">
        <f ca="1">+WORLDCUP!BD61</f>
        <v>Paraguay</v>
      </c>
      <c r="G119" s="9" t="str">
        <f ca="1">+WORLDCUP!BD65</f>
        <v>Cabo Verde</v>
      </c>
      <c r="H119" s="9" t="str">
        <f ca="1">+WORLDCUP!BD63</f>
        <v>Túnez</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Haití</v>
      </c>
      <c r="D120" s="9" t="str">
        <f ca="1">+WORLDCUP!BD67</f>
        <v>Argelia</v>
      </c>
      <c r="E120" s="9" t="str">
        <f ca="1">+WORLDCUP!BD59</f>
        <v>Canadá</v>
      </c>
      <c r="F120" s="9" t="str">
        <f ca="1">+WORLDCUP!BD61</f>
        <v>Paraguay</v>
      </c>
      <c r="G120" s="9" t="str">
        <f ca="1">+WORLDCUP!BD65</f>
        <v>Cabo Verde</v>
      </c>
      <c r="H120" s="9" t="str">
        <f ca="1">+WORLDCUP!BD63</f>
        <v>Túnez</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Haití</v>
      </c>
      <c r="D121" s="9" t="str">
        <f ca="1">+WORLDCUP!BD67</f>
        <v>Argelia</v>
      </c>
      <c r="E121" s="9" t="str">
        <f ca="1">+WORLDCUP!BD59</f>
        <v>Canadá</v>
      </c>
      <c r="F121" s="9" t="str">
        <f ca="1">+WORLDCUP!BD61</f>
        <v>Paraguay</v>
      </c>
      <c r="G121" s="9" t="str">
        <f ca="1">+WORLDCUP!BD65</f>
        <v>Cabo Verde</v>
      </c>
      <c r="H121" s="9" t="str">
        <f ca="1">+WORLDCUP!BD63</f>
        <v>Túnez</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Haití</v>
      </c>
      <c r="D122" s="9" t="str">
        <f ca="1">+WORLDCUP!BD64</f>
        <v>Egipto</v>
      </c>
      <c r="E122" s="9" t="str">
        <f ca="1">+WORLDCUP!BD59</f>
        <v>Canadá</v>
      </c>
      <c r="F122" s="9" t="str">
        <f ca="1">+WORLDCUP!BD61</f>
        <v>Paraguay</v>
      </c>
      <c r="G122" s="9" t="str">
        <f ca="1">+WORLDCUP!BD67</f>
        <v>Argelia</v>
      </c>
      <c r="H122" s="9" t="str">
        <f ca="1">+WORLDCUP!BD63</f>
        <v>Túnez</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Haití</v>
      </c>
      <c r="D123" s="9" t="str">
        <f ca="1">+WORLDCUP!BD64</f>
        <v>Egipto</v>
      </c>
      <c r="E123" s="9" t="str">
        <f ca="1">+WORLDCUP!BD59</f>
        <v>Canadá</v>
      </c>
      <c r="F123" s="9" t="str">
        <f ca="1">+WORLDCUP!BD61</f>
        <v>Paraguay</v>
      </c>
      <c r="G123" s="9" t="str">
        <f ca="1">+WORLDCUP!BD66</f>
        <v>Noruega</v>
      </c>
      <c r="H123" s="9" t="str">
        <f ca="1">+WORLDCUP!BD63</f>
        <v>Túnez</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Haití</v>
      </c>
      <c r="D124" s="9" t="str">
        <f ca="1">+WORLDCUP!BD64</f>
        <v>Egipto</v>
      </c>
      <c r="E124" s="9" t="str">
        <f ca="1">+WORLDCUP!BD59</f>
        <v>Canadá</v>
      </c>
      <c r="F124" s="9" t="str">
        <f ca="1">+WORLDCUP!BD61</f>
        <v>Paraguay</v>
      </c>
      <c r="G124" s="9" t="str">
        <f ca="1">+WORLDCUP!BD67</f>
        <v>Argelia</v>
      </c>
      <c r="H124" s="9" t="str">
        <f ca="1">+WORLDCUP!BD63</f>
        <v>Túnez</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Haití</v>
      </c>
      <c r="D125" s="9" t="str">
        <f ca="1">+WORLDCUP!BD64</f>
        <v>Egipto</v>
      </c>
      <c r="E125" s="9" t="str">
        <f ca="1">+WORLDCUP!BD59</f>
        <v>Canadá</v>
      </c>
      <c r="F125" s="9" t="str">
        <f ca="1">+WORLDCUP!BD61</f>
        <v>Paraguay</v>
      </c>
      <c r="G125" s="9" t="str">
        <f ca="1">+WORLDCUP!BD67</f>
        <v>Argelia</v>
      </c>
      <c r="H125" s="9" t="str">
        <f ca="1">+WORLDCUP!BD63</f>
        <v>Túnez</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Haití</v>
      </c>
      <c r="D126" s="9" t="str">
        <f ca="1">+WORLDCUP!BD64</f>
        <v>Egipto</v>
      </c>
      <c r="E126" s="9" t="str">
        <f ca="1">+WORLDCUP!BD59</f>
        <v>Canadá</v>
      </c>
      <c r="F126" s="9" t="str">
        <f ca="1">+WORLDCUP!BD61</f>
        <v>Paraguay</v>
      </c>
      <c r="G126" s="9" t="str">
        <f ca="1">+WORLDCUP!BD65</f>
        <v>Cabo Verde</v>
      </c>
      <c r="H126" s="9" t="str">
        <f ca="1">+WORLDCUP!BD63</f>
        <v>Túnez</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Haití</v>
      </c>
      <c r="D127" s="9" t="str">
        <f ca="1">+WORLDCUP!BD64</f>
        <v>Egipto</v>
      </c>
      <c r="E127" s="9" t="str">
        <f ca="1">+WORLDCUP!BD59</f>
        <v>Canadá</v>
      </c>
      <c r="F127" s="9" t="str">
        <f ca="1">+WORLDCUP!BD61</f>
        <v>Paraguay</v>
      </c>
      <c r="G127" s="9" t="str">
        <f ca="1">+WORLDCUP!BD65</f>
        <v>Cabo Verde</v>
      </c>
      <c r="H127" s="9" t="str">
        <f ca="1">+WORLDCUP!BD63</f>
        <v>Túnez</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Cabo Verde</v>
      </c>
      <c r="D128" s="9" t="str">
        <f ca="1">+WORLDCUP!BD64</f>
        <v>Egipto</v>
      </c>
      <c r="E128" s="9" t="str">
        <f ca="1">+WORLDCUP!BD59</f>
        <v>Canadá</v>
      </c>
      <c r="F128" s="9" t="str">
        <f ca="1">+WORLDCUP!BD60</f>
        <v>Haití</v>
      </c>
      <c r="G128" s="9" t="str">
        <f ca="1">+WORLDCUP!BD67</f>
        <v>Argelia</v>
      </c>
      <c r="H128" s="9" t="str">
        <f ca="1">+WORLDCUP!BD63</f>
        <v>Túnez</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Haití</v>
      </c>
      <c r="D129" s="9" t="str">
        <f ca="1">+WORLDCUP!BD64</f>
        <v>Egipto</v>
      </c>
      <c r="E129" s="9" t="str">
        <f ca="1">+WORLDCUP!BD59</f>
        <v>Canadá</v>
      </c>
      <c r="F129" s="9" t="str">
        <f ca="1">+WORLDCUP!BD61</f>
        <v>Paraguay</v>
      </c>
      <c r="G129" s="9" t="str">
        <f ca="1">+WORLDCUP!BD65</f>
        <v>Cabo Verde</v>
      </c>
      <c r="H129" s="9" t="str">
        <f ca="1">+WORLDCUP!BD63</f>
        <v>Túnez</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Haití</v>
      </c>
      <c r="D130" s="9" t="str">
        <f ca="1">+WORLDCUP!BD64</f>
        <v>Egipto</v>
      </c>
      <c r="E130" s="9" t="str">
        <f ca="1">+WORLDCUP!BD59</f>
        <v>Canadá</v>
      </c>
      <c r="F130" s="9" t="str">
        <f ca="1">+WORLDCUP!BD61</f>
        <v>Paraguay</v>
      </c>
      <c r="G130" s="9" t="str">
        <f ca="1">+WORLDCUP!BD65</f>
        <v>Cabo Verde</v>
      </c>
      <c r="H130" s="9" t="str">
        <f ca="1">+WORLDCUP!BD63</f>
        <v>Túnez</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Cabo Verde</v>
      </c>
      <c r="D131" s="9" t="str">
        <f ca="1">+WORLDCUP!BD64</f>
        <v>Egipto</v>
      </c>
      <c r="E131" s="9" t="str">
        <f ca="1">+WORLDCUP!BD59</f>
        <v>Canadá</v>
      </c>
      <c r="F131" s="9" t="str">
        <f ca="1">+WORLDCUP!BD60</f>
        <v>Haití</v>
      </c>
      <c r="G131" s="9" t="str">
        <f ca="1">+WORLDCUP!BD67</f>
        <v>Argelia</v>
      </c>
      <c r="H131" s="9" t="str">
        <f ca="1">+WORLDCUP!BD63</f>
        <v>Túnez</v>
      </c>
      <c r="I131" s="9" t="str">
        <f ca="1">+WORLDCUP!BD61</f>
        <v>Paraguay</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Costa de Marfil</v>
      </c>
      <c r="D132" s="9" t="str">
        <f ca="1">+WORLDCUP!BD67</f>
        <v>Argelia</v>
      </c>
      <c r="E132" s="9" t="str">
        <f ca="1">+WORLDCUP!BD59</f>
        <v>Canadá</v>
      </c>
      <c r="F132" s="9" t="str">
        <f ca="1">+WORLDCUP!BD60</f>
        <v>Haití</v>
      </c>
      <c r="G132" s="9" t="str">
        <f ca="1">+WORLDCUP!BD66</f>
        <v>Noruega</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Costa de Marfil</v>
      </c>
      <c r="D133" s="9" t="str">
        <f ca="1">+WORLDCUP!BD67</f>
        <v>Argelia</v>
      </c>
      <c r="E133" s="9" t="str">
        <f ca="1">+WORLDCUP!BD59</f>
        <v>Canadá</v>
      </c>
      <c r="F133" s="9" t="str">
        <f ca="1">+WORLDCUP!BD60</f>
        <v>Haití</v>
      </c>
      <c r="G133" s="9" t="str">
        <f ca="1">+WORLDCUP!BD65</f>
        <v>Cabo Verde</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Costa de Marfil</v>
      </c>
      <c r="D134" s="9" t="str">
        <f ca="1">+WORLDCUP!BD66</f>
        <v>Noruega</v>
      </c>
      <c r="E134" s="9" t="str">
        <f ca="1">+WORLDCUP!BD59</f>
        <v>Canadá</v>
      </c>
      <c r="F134" s="9" t="str">
        <f ca="1">+WORLDCUP!BD60</f>
        <v>Haití</v>
      </c>
      <c r="G134" s="9" t="str">
        <f ca="1">+WORLDCUP!BD65</f>
        <v>Cabo Verde</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Costa de Marfil</v>
      </c>
      <c r="D135" s="9" t="str">
        <f ca="1">+WORLDCUP!BD67</f>
        <v>Argelia</v>
      </c>
      <c r="E135" s="9" t="str">
        <f ca="1">+WORLDCUP!BD59</f>
        <v>Canadá</v>
      </c>
      <c r="F135" s="9" t="str">
        <f ca="1">+WORLDCUP!BD60</f>
        <v>Haití</v>
      </c>
      <c r="G135" s="9" t="str">
        <f ca="1">+WORLDCUP!BD65</f>
        <v>Cabo Verde</v>
      </c>
      <c r="H135" s="9" t="str">
        <f ca="1">+WORLDCUP!BD61</f>
        <v>Paraguay</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Costa de Marfil</v>
      </c>
      <c r="D136" s="9" t="str">
        <f ca="1">+WORLDCUP!BD67</f>
        <v>Argelia</v>
      </c>
      <c r="E136" s="9" t="str">
        <f ca="1">+WORLDCUP!BD59</f>
        <v>Canadá</v>
      </c>
      <c r="F136" s="9" t="str">
        <f ca="1">+WORLDCUP!BD60</f>
        <v>Haití</v>
      </c>
      <c r="G136" s="9" t="str">
        <f ca="1">+WORLDCUP!BD65</f>
        <v>Cabo Verde</v>
      </c>
      <c r="H136" s="9" t="str">
        <f ca="1">+WORLDCUP!BD61</f>
        <v>Paraguay</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Costa de Marfil</v>
      </c>
      <c r="D137" s="9" t="str">
        <f ca="1">+WORLDCUP!BD64</f>
        <v>Egipto</v>
      </c>
      <c r="E137" s="9" t="str">
        <f ca="1">+WORLDCUP!BD59</f>
        <v>Canadá</v>
      </c>
      <c r="F137" s="9" t="str">
        <f ca="1">+WORLDCUP!BD60</f>
        <v>Haití</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Costa de Marfil</v>
      </c>
      <c r="D138" s="9" t="str">
        <f ca="1">+WORLDCUP!BD64</f>
        <v>Egipto</v>
      </c>
      <c r="E138" s="9" t="str">
        <f ca="1">+WORLDCUP!BD59</f>
        <v>Canadá</v>
      </c>
      <c r="F138" s="9" t="str">
        <f ca="1">+WORLDCUP!BD60</f>
        <v>Haití</v>
      </c>
      <c r="G138" s="9" t="str">
        <f ca="1">+WORLDCUP!BD66</f>
        <v>Noruega</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Costa de Marfil</v>
      </c>
      <c r="D139" s="9" t="str">
        <f ca="1">+WORLDCUP!BD64</f>
        <v>Egipto</v>
      </c>
      <c r="E139" s="9" t="str">
        <f ca="1">+WORLDCUP!BD59</f>
        <v>Canadá</v>
      </c>
      <c r="F139" s="9" t="str">
        <f ca="1">+WORLDCUP!BD60</f>
        <v>Haití</v>
      </c>
      <c r="G139" s="9" t="str">
        <f ca="1">+WORLDCUP!BD67</f>
        <v>Argelia</v>
      </c>
      <c r="H139" s="9" t="str">
        <f ca="1">+WORLDCUP!BD61</f>
        <v>Paraguay</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Costa de Marfil</v>
      </c>
      <c r="D140" s="9" t="str">
        <f ca="1">+WORLDCUP!BD64</f>
        <v>Egipto</v>
      </c>
      <c r="E140" s="9" t="str">
        <f ca="1">+WORLDCUP!BD59</f>
        <v>Canadá</v>
      </c>
      <c r="F140" s="9" t="str">
        <f ca="1">+WORLDCUP!BD60</f>
        <v>Haití</v>
      </c>
      <c r="G140" s="9" t="str">
        <f ca="1">+WORLDCUP!BD67</f>
        <v>Argelia</v>
      </c>
      <c r="H140" s="9" t="str">
        <f ca="1">+WORLDCUP!BD61</f>
        <v>Paraguay</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Costa de Marfil</v>
      </c>
      <c r="D141" s="9" t="str">
        <f ca="1">+WORLDCUP!BD64</f>
        <v>Egipto</v>
      </c>
      <c r="E141" s="9" t="str">
        <f ca="1">+WORLDCUP!BD59</f>
        <v>Canadá</v>
      </c>
      <c r="F141" s="9" t="str">
        <f ca="1">+WORLDCUP!BD60</f>
        <v>Haití</v>
      </c>
      <c r="G141" s="9" t="str">
        <f ca="1">+WORLDCUP!BD65</f>
        <v>Cabo Verde</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Cabo Verde</v>
      </c>
      <c r="D142" s="9" t="str">
        <f ca="1">+WORLDCUP!BD64</f>
        <v>Egipto</v>
      </c>
      <c r="E142" s="9" t="str">
        <f ca="1">+WORLDCUP!BD59</f>
        <v>Canadá</v>
      </c>
      <c r="F142" s="9" t="str">
        <f ca="1">+WORLDCUP!BD60</f>
        <v>Haití</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Cabo Verde</v>
      </c>
      <c r="D143" s="9" t="str">
        <f ca="1">+WORLDCUP!BD64</f>
        <v>Egipto</v>
      </c>
      <c r="E143" s="9" t="str">
        <f ca="1">+WORLDCUP!BD59</f>
        <v>Canadá</v>
      </c>
      <c r="F143" s="9" t="str">
        <f ca="1">+WORLDCUP!BD60</f>
        <v>Haití</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Costa de Marfil</v>
      </c>
      <c r="D144" s="9" t="str">
        <f ca="1">+WORLDCUP!BD64</f>
        <v>Egipto</v>
      </c>
      <c r="E144" s="9" t="str">
        <f ca="1">+WORLDCUP!BD59</f>
        <v>Canadá</v>
      </c>
      <c r="F144" s="9" t="str">
        <f ca="1">+WORLDCUP!BD60</f>
        <v>Haití</v>
      </c>
      <c r="G144" s="9" t="str">
        <f ca="1">+WORLDCUP!BD65</f>
        <v>Cabo Verde</v>
      </c>
      <c r="H144" s="9" t="str">
        <f ca="1">+WORLDCUP!BD61</f>
        <v>Paraguay</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Costa de Marfil</v>
      </c>
      <c r="D145" s="9" t="str">
        <f ca="1">+WORLDCUP!BD64</f>
        <v>Egipto</v>
      </c>
      <c r="E145" s="9" t="str">
        <f ca="1">+WORLDCUP!BD59</f>
        <v>Canadá</v>
      </c>
      <c r="F145" s="9" t="str">
        <f ca="1">+WORLDCUP!BD60</f>
        <v>Haití</v>
      </c>
      <c r="G145" s="9" t="str">
        <f ca="1">+WORLDCUP!BD65</f>
        <v>Cabo Verde</v>
      </c>
      <c r="H145" s="9" t="str">
        <f ca="1">+WORLDCUP!BD61</f>
        <v>Paraguay</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Cabo Verde</v>
      </c>
      <c r="D146" s="9" t="str">
        <f ca="1">+WORLDCUP!BD64</f>
        <v>Egipto</v>
      </c>
      <c r="E146" s="9" t="str">
        <f ca="1">+WORLDCUP!BD59</f>
        <v>Canadá</v>
      </c>
      <c r="F146" s="9" t="str">
        <f ca="1">+WORLDCUP!BD60</f>
        <v>Haití</v>
      </c>
      <c r="G146" s="9" t="str">
        <f ca="1">+WORLDCUP!BD67</f>
        <v>Argelia</v>
      </c>
      <c r="H146" s="9" t="str">
        <f ca="1">+WORLDCUP!BD61</f>
        <v>Paraguay</v>
      </c>
      <c r="I146" s="9" t="str">
        <f ca="1">+WORLDCUP!BD62</f>
        <v>Costa de Marfil</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Haití</v>
      </c>
      <c r="D147" s="9" t="str">
        <f ca="1">+WORLDCUP!BD67</f>
        <v>Argelia</v>
      </c>
      <c r="E147" s="9" t="str">
        <f ca="1">+WORLDCUP!BD59</f>
        <v>Canadá</v>
      </c>
      <c r="F147" s="9" t="str">
        <f ca="1">+WORLDCUP!BD61</f>
        <v>Paraguay</v>
      </c>
      <c r="G147" s="9" t="str">
        <f ca="1">+WORLDCUP!BD62</f>
        <v>Costa de Marfil</v>
      </c>
      <c r="H147" s="9" t="str">
        <f ca="1">+WORLDCUP!BD63</f>
        <v>Túnez</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Haití</v>
      </c>
      <c r="D148" s="9" t="str">
        <f ca="1">+WORLDCUP!BD62</f>
        <v>Costa de Marfil</v>
      </c>
      <c r="E148" s="9" t="str">
        <f ca="1">+WORLDCUP!BD59</f>
        <v>Canadá</v>
      </c>
      <c r="F148" s="9" t="str">
        <f ca="1">+WORLDCUP!BD61</f>
        <v>Paraguay</v>
      </c>
      <c r="G148" s="9" t="str">
        <f ca="1">+WORLDCUP!BD66</f>
        <v>Noruega</v>
      </c>
      <c r="H148" s="9" t="str">
        <f ca="1">+WORLDCUP!BD63</f>
        <v>Túnez</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Haití</v>
      </c>
      <c r="D149" s="9" t="str">
        <f ca="1">+WORLDCUP!BD67</f>
        <v>Argelia</v>
      </c>
      <c r="E149" s="9" t="str">
        <f ca="1">+WORLDCUP!BD59</f>
        <v>Canadá</v>
      </c>
      <c r="F149" s="9" t="str">
        <f ca="1">+WORLDCUP!BD61</f>
        <v>Paraguay</v>
      </c>
      <c r="G149" s="9" t="str">
        <f ca="1">+WORLDCUP!BD62</f>
        <v>Costa de Marfil</v>
      </c>
      <c r="H149" s="9" t="str">
        <f ca="1">+WORLDCUP!BD63</f>
        <v>Túnez</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Haití</v>
      </c>
      <c r="D150" s="9" t="str">
        <f ca="1">+WORLDCUP!BD67</f>
        <v>Argelia</v>
      </c>
      <c r="E150" s="9" t="str">
        <f ca="1">+WORLDCUP!BD59</f>
        <v>Canadá</v>
      </c>
      <c r="F150" s="9" t="str">
        <f ca="1">+WORLDCUP!BD61</f>
        <v>Paraguay</v>
      </c>
      <c r="G150" s="9" t="str">
        <f ca="1">+WORLDCUP!BD62</f>
        <v>Costa de Marfil</v>
      </c>
      <c r="H150" s="9" t="str">
        <f ca="1">+WORLDCUP!BD63</f>
        <v>Túnez</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Haití</v>
      </c>
      <c r="D151" s="9" t="str">
        <f ca="1">+WORLDCUP!BD62</f>
        <v>Costa de Marfil</v>
      </c>
      <c r="E151" s="9" t="str">
        <f ca="1">+WORLDCUP!BD59</f>
        <v>Canadá</v>
      </c>
      <c r="F151" s="9" t="str">
        <f ca="1">+WORLDCUP!BD61</f>
        <v>Paraguay</v>
      </c>
      <c r="G151" s="9" t="str">
        <f ca="1">+WORLDCUP!BD65</f>
        <v>Cabo Verde</v>
      </c>
      <c r="H151" s="9" t="str">
        <f ca="1">+WORLDCUP!BD63</f>
        <v>Túnez</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Haití</v>
      </c>
      <c r="D152" s="9" t="str">
        <f ca="1">+WORLDCUP!BD67</f>
        <v>Argelia</v>
      </c>
      <c r="E152" s="9" t="str">
        <f ca="1">+WORLDCUP!BD59</f>
        <v>Canadá</v>
      </c>
      <c r="F152" s="9" t="str">
        <f ca="1">+WORLDCUP!BD61</f>
        <v>Paraguay</v>
      </c>
      <c r="G152" s="9" t="str">
        <f ca="1">+WORLDCUP!BD65</f>
        <v>Cabo Verde</v>
      </c>
      <c r="H152" s="9" t="str">
        <f ca="1">+WORLDCUP!BD63</f>
        <v>Túnez</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Haití</v>
      </c>
      <c r="D153" s="9" t="str">
        <f ca="1">+WORLDCUP!BD67</f>
        <v>Argelia</v>
      </c>
      <c r="E153" s="9" t="str">
        <f ca="1">+WORLDCUP!BD59</f>
        <v>Canadá</v>
      </c>
      <c r="F153" s="9" t="str">
        <f ca="1">+WORLDCUP!BD61</f>
        <v>Paraguay</v>
      </c>
      <c r="G153" s="9" t="str">
        <f ca="1">+WORLDCUP!BD65</f>
        <v>Cabo Verde</v>
      </c>
      <c r="H153" s="9" t="str">
        <f ca="1">+WORLDCUP!BD63</f>
        <v>Túnez</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Haití</v>
      </c>
      <c r="D154" s="9" t="str">
        <f ca="1">+WORLDCUP!BD62</f>
        <v>Costa de Marfil</v>
      </c>
      <c r="E154" s="9" t="str">
        <f ca="1">+WORLDCUP!BD59</f>
        <v>Canadá</v>
      </c>
      <c r="F154" s="9" t="str">
        <f ca="1">+WORLDCUP!BD61</f>
        <v>Paraguay</v>
      </c>
      <c r="G154" s="9" t="str">
        <f ca="1">+WORLDCUP!BD65</f>
        <v>Cabo Verde</v>
      </c>
      <c r="H154" s="9" t="str">
        <f ca="1">+WORLDCUP!BD63</f>
        <v>Túnez</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Haití</v>
      </c>
      <c r="D155" s="9" t="str">
        <f ca="1">+WORLDCUP!BD62</f>
        <v>Costa de Marfil</v>
      </c>
      <c r="E155" s="9" t="str">
        <f ca="1">+WORLDCUP!BD59</f>
        <v>Canadá</v>
      </c>
      <c r="F155" s="9" t="str">
        <f ca="1">+WORLDCUP!BD61</f>
        <v>Paraguay</v>
      </c>
      <c r="G155" s="9" t="str">
        <f ca="1">+WORLDCUP!BD65</f>
        <v>Cabo Verde</v>
      </c>
      <c r="H155" s="9" t="str">
        <f ca="1">+WORLDCUP!BD63</f>
        <v>Túnez</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Haití</v>
      </c>
      <c r="D156" s="9" t="str">
        <f ca="1">+WORLDCUP!BD67</f>
        <v>Argelia</v>
      </c>
      <c r="E156" s="9" t="str">
        <f ca="1">+WORLDCUP!BD59</f>
        <v>Canadá</v>
      </c>
      <c r="F156" s="9" t="str">
        <f ca="1">+WORLDCUP!BD61</f>
        <v>Paraguay</v>
      </c>
      <c r="G156" s="9" t="str">
        <f ca="1">+WORLDCUP!BD65</f>
        <v>Cabo Verde</v>
      </c>
      <c r="H156" s="9" t="str">
        <f ca="1">+WORLDCUP!BD63</f>
        <v>Túnez</v>
      </c>
      <c r="I156" s="9" t="str">
        <f ca="1">+WORLDCUP!BD62</f>
        <v>Costa de Marfil</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Haití</v>
      </c>
      <c r="D157" s="9" t="str">
        <f ca="1">+WORLDCUP!BD64</f>
        <v>Egipto</v>
      </c>
      <c r="E157" s="9" t="str">
        <f ca="1">+WORLDCUP!BD59</f>
        <v>Canadá</v>
      </c>
      <c r="F157" s="9" t="str">
        <f ca="1">+WORLDCUP!BD61</f>
        <v>Paraguay</v>
      </c>
      <c r="G157" s="9" t="str">
        <f ca="1">+WORLDCUP!BD62</f>
        <v>Costa de Marfil</v>
      </c>
      <c r="H157" s="9" t="str">
        <f ca="1">+WORLDCUP!BD63</f>
        <v>Túnez</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Haití</v>
      </c>
      <c r="D158" s="9" t="str">
        <f ca="1">+WORLDCUP!BD64</f>
        <v>Egipto</v>
      </c>
      <c r="E158" s="9" t="str">
        <f ca="1">+WORLDCUP!BD59</f>
        <v>Canadá</v>
      </c>
      <c r="F158" s="9" t="str">
        <f ca="1">+WORLDCUP!BD61</f>
        <v>Paraguay</v>
      </c>
      <c r="G158" s="9" t="str">
        <f ca="1">+WORLDCUP!BD67</f>
        <v>Argelia</v>
      </c>
      <c r="H158" s="9" t="str">
        <f ca="1">+WORLDCUP!BD63</f>
        <v>Túnez</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Haití</v>
      </c>
      <c r="D159" s="9" t="str">
        <f ca="1">+WORLDCUP!BD64</f>
        <v>Egipto</v>
      </c>
      <c r="E159" s="9" t="str">
        <f ca="1">+WORLDCUP!BD59</f>
        <v>Canadá</v>
      </c>
      <c r="F159" s="9" t="str">
        <f ca="1">+WORLDCUP!BD61</f>
        <v>Paraguay</v>
      </c>
      <c r="G159" s="9" t="str">
        <f ca="1">+WORLDCUP!BD67</f>
        <v>Argelia</v>
      </c>
      <c r="H159" s="9" t="str">
        <f ca="1">+WORLDCUP!BD63</f>
        <v>Túnez</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Haití</v>
      </c>
      <c r="D160" s="9" t="str">
        <f ca="1">+WORLDCUP!BD64</f>
        <v>Egipto</v>
      </c>
      <c r="E160" s="9" t="str">
        <f ca="1">+WORLDCUP!BD59</f>
        <v>Canadá</v>
      </c>
      <c r="F160" s="9" t="str">
        <f ca="1">+WORLDCUP!BD61</f>
        <v>Paraguay</v>
      </c>
      <c r="G160" s="9" t="str">
        <f ca="1">+WORLDCUP!BD62</f>
        <v>Costa de Marfil</v>
      </c>
      <c r="H160" s="9" t="str">
        <f ca="1">+WORLDCUP!BD63</f>
        <v>Túnez</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Haití</v>
      </c>
      <c r="D161" s="9" t="str">
        <f ca="1">+WORLDCUP!BD64</f>
        <v>Egipto</v>
      </c>
      <c r="E161" s="9" t="str">
        <f ca="1">+WORLDCUP!BD59</f>
        <v>Canadá</v>
      </c>
      <c r="F161" s="9" t="str">
        <f ca="1">+WORLDCUP!BD61</f>
        <v>Paraguay</v>
      </c>
      <c r="G161" s="9" t="str">
        <f ca="1">+WORLDCUP!BD62</f>
        <v>Costa de Marfil</v>
      </c>
      <c r="H161" s="9" t="str">
        <f ca="1">+WORLDCUP!BD63</f>
        <v>Túnez</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Haití</v>
      </c>
      <c r="D162" s="9" t="str">
        <f ca="1">+WORLDCUP!BD64</f>
        <v>Egipto</v>
      </c>
      <c r="E162" s="9" t="str">
        <f ca="1">+WORLDCUP!BD59</f>
        <v>Canadá</v>
      </c>
      <c r="F162" s="9" t="str">
        <f ca="1">+WORLDCUP!BD61</f>
        <v>Paraguay</v>
      </c>
      <c r="G162" s="9" t="str">
        <f ca="1">+WORLDCUP!BD67</f>
        <v>Argelia</v>
      </c>
      <c r="H162" s="9" t="str">
        <f ca="1">+WORLDCUP!BD63</f>
        <v>Túnez</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Haití</v>
      </c>
      <c r="D163" s="9" t="str">
        <f ca="1">+WORLDCUP!BD64</f>
        <v>Egipto</v>
      </c>
      <c r="E163" s="9" t="str">
        <f ca="1">+WORLDCUP!BD59</f>
        <v>Canadá</v>
      </c>
      <c r="F163" s="9" t="str">
        <f ca="1">+WORLDCUP!BD61</f>
        <v>Paraguay</v>
      </c>
      <c r="G163" s="9" t="str">
        <f ca="1">+WORLDCUP!BD65</f>
        <v>Cabo Verde</v>
      </c>
      <c r="H163" s="9" t="str">
        <f ca="1">+WORLDCUP!BD63</f>
        <v>Túnez</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Haití</v>
      </c>
      <c r="D164" s="9" t="str">
        <f ca="1">+WORLDCUP!BD64</f>
        <v>Egipto</v>
      </c>
      <c r="E164" s="9" t="str">
        <f ca="1">+WORLDCUP!BD59</f>
        <v>Canadá</v>
      </c>
      <c r="F164" s="9" t="str">
        <f ca="1">+WORLDCUP!BD61</f>
        <v>Paraguay</v>
      </c>
      <c r="G164" s="9" t="str">
        <f ca="1">+WORLDCUP!BD65</f>
        <v>Cabo Verde</v>
      </c>
      <c r="H164" s="9" t="str">
        <f ca="1">+WORLDCUP!BD63</f>
        <v>Túnez</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Cabo Verde</v>
      </c>
      <c r="D165" s="9" t="str">
        <f ca="1">+WORLDCUP!BD64</f>
        <v>Egipto</v>
      </c>
      <c r="E165" s="9" t="str">
        <f ca="1">+WORLDCUP!BD59</f>
        <v>Canadá</v>
      </c>
      <c r="F165" s="9" t="str">
        <f ca="1">+WORLDCUP!BD60</f>
        <v>Haití</v>
      </c>
      <c r="G165" s="9" t="str">
        <f ca="1">+WORLDCUP!BD67</f>
        <v>Argelia</v>
      </c>
      <c r="H165" s="9" t="str">
        <f ca="1">+WORLDCUP!BD63</f>
        <v>Túnez</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Haití</v>
      </c>
      <c r="D166" s="9" t="str">
        <f ca="1">+WORLDCUP!BD64</f>
        <v>Egipto</v>
      </c>
      <c r="E166" s="9" t="str">
        <f ca="1">+WORLDCUP!BD59</f>
        <v>Canadá</v>
      </c>
      <c r="F166" s="9" t="str">
        <f ca="1">+WORLDCUP!BD61</f>
        <v>Paraguay</v>
      </c>
      <c r="G166" s="9" t="str">
        <f ca="1">+WORLDCUP!BD65</f>
        <v>Cabo Verde</v>
      </c>
      <c r="H166" s="9" t="str">
        <f ca="1">+WORLDCUP!BD63</f>
        <v>Túnez</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Cabo Verde</v>
      </c>
      <c r="D167" s="9" t="str">
        <f ca="1">+WORLDCUP!BD67</f>
        <v>Argelia</v>
      </c>
      <c r="E167" s="9" t="str">
        <f ca="1">+WORLDCUP!BD66</f>
        <v>Noruega</v>
      </c>
      <c r="F167" s="9" t="str">
        <f ca="1">+WORLDCUP!BD63</f>
        <v>Túnez</v>
      </c>
      <c r="G167" s="9" t="str">
        <f ca="1">+WORLDCUP!BD58</f>
        <v>Sudáfrica</v>
      </c>
      <c r="H167" s="9" t="str">
        <f ca="1">+WORLDCUP!BD64</f>
        <v>Egipto</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Costa de Marfil</v>
      </c>
      <c r="D168" s="9" t="str">
        <f ca="1">+WORLDCUP!BD67</f>
        <v>Argelia</v>
      </c>
      <c r="E168" s="9" t="str">
        <f ca="1">+WORLDCUP!BD66</f>
        <v>Noruega</v>
      </c>
      <c r="F168" s="9" t="str">
        <f ca="1">+WORLDCUP!BD58</f>
        <v>Sudáfrica</v>
      </c>
      <c r="G168" s="9" t="str">
        <f ca="1">+WORLDCUP!BD65</f>
        <v>Cabo Verde</v>
      </c>
      <c r="H168" s="9" t="str">
        <f ca="1">+WORLDCUP!BD64</f>
        <v>Egipto</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Costa de Marfil</v>
      </c>
      <c r="D169" s="9" t="str">
        <f ca="1">+WORLDCUP!BD67</f>
        <v>Argelia</v>
      </c>
      <c r="E169" s="9" t="str">
        <f ca="1">+WORLDCUP!BD66</f>
        <v>Noruega</v>
      </c>
      <c r="F169" s="9" t="str">
        <f ca="1">+WORLDCUP!BD63</f>
        <v>Túnez</v>
      </c>
      <c r="G169" s="9" t="str">
        <f ca="1">+WORLDCUP!BD58</f>
        <v>Sudáfrica</v>
      </c>
      <c r="H169" s="9" t="str">
        <f ca="1">+WORLDCUP!BD65</f>
        <v>Cabo Verde</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Costa de Marfil</v>
      </c>
      <c r="D170" s="9" t="str">
        <f ca="1">+WORLDCUP!BD67</f>
        <v>Argelia</v>
      </c>
      <c r="E170" s="9" t="str">
        <f ca="1">+WORLDCUP!BD66</f>
        <v>Noruega</v>
      </c>
      <c r="F170" s="9" t="str">
        <f ca="1">+WORLDCUP!BD63</f>
        <v>Túnez</v>
      </c>
      <c r="G170" s="9" t="str">
        <f ca="1">+WORLDCUP!BD58</f>
        <v>Sudáfrica</v>
      </c>
      <c r="H170" s="9" t="str">
        <f ca="1">+WORLDCUP!BD64</f>
        <v>Egipto</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Costa de Marfil</v>
      </c>
      <c r="D171" s="9" t="str">
        <f ca="1">+WORLDCUP!BD64</f>
        <v>Egipto</v>
      </c>
      <c r="E171" s="9" t="str">
        <f ca="1">+WORLDCUP!BD67</f>
        <v>Argelia</v>
      </c>
      <c r="F171" s="9" t="str">
        <f ca="1">+WORLDCUP!BD63</f>
        <v>Túnez</v>
      </c>
      <c r="G171" s="9" t="str">
        <f ca="1">+WORLDCUP!BD58</f>
        <v>Sudáfrica</v>
      </c>
      <c r="H171" s="9" t="str">
        <f ca="1">+WORLDCUP!BD65</f>
        <v>Cabo Verde</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Costa de Marfil</v>
      </c>
      <c r="D172" s="9" t="str">
        <f ca="1">+WORLDCUP!BD64</f>
        <v>Egipto</v>
      </c>
      <c r="E172" s="9" t="str">
        <f ca="1">+WORLDCUP!BD66</f>
        <v>Noruega</v>
      </c>
      <c r="F172" s="9" t="str">
        <f ca="1">+WORLDCUP!BD63</f>
        <v>Túnez</v>
      </c>
      <c r="G172" s="9" t="str">
        <f ca="1">+WORLDCUP!BD58</f>
        <v>Sudáfrica</v>
      </c>
      <c r="H172" s="9" t="str">
        <f ca="1">+WORLDCUP!BD65</f>
        <v>Cabo Verde</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Costa de Marfil</v>
      </c>
      <c r="D173" s="9" t="str">
        <f ca="1">+WORLDCUP!BD64</f>
        <v>Egipto</v>
      </c>
      <c r="E173" s="9" t="str">
        <f ca="1">+WORLDCUP!BD67</f>
        <v>Argelia</v>
      </c>
      <c r="F173" s="9" t="str">
        <f ca="1">+WORLDCUP!BD63</f>
        <v>Túnez</v>
      </c>
      <c r="G173" s="9" t="str">
        <f ca="1">+WORLDCUP!BD58</f>
        <v>Sudáfrica</v>
      </c>
      <c r="H173" s="9" t="str">
        <f ca="1">+WORLDCUP!BD65</f>
        <v>Cabo Verde</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Costa de Marfil</v>
      </c>
      <c r="D174" s="9" t="str">
        <f ca="1">+WORLDCUP!BD64</f>
        <v>Egipto</v>
      </c>
      <c r="E174" s="9" t="str">
        <f ca="1">+WORLDCUP!BD67</f>
        <v>Argelia</v>
      </c>
      <c r="F174" s="9" t="str">
        <f ca="1">+WORLDCUP!BD63</f>
        <v>Túnez</v>
      </c>
      <c r="G174" s="9" t="str">
        <f ca="1">+WORLDCUP!BD58</f>
        <v>Sudáfrica</v>
      </c>
      <c r="H174" s="9" t="str">
        <f ca="1">+WORLDCUP!BD65</f>
        <v>Cabo Verde</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Cabo Verde</v>
      </c>
      <c r="D175" s="9" t="str">
        <f ca="1">+WORLDCUP!BD67</f>
        <v>Argelia</v>
      </c>
      <c r="E175" s="9" t="str">
        <f ca="1">+WORLDCUP!BD66</f>
        <v>Noruega</v>
      </c>
      <c r="F175" s="9" t="str">
        <f ca="1">+WORLDCUP!BD61</f>
        <v>Paraguay</v>
      </c>
      <c r="G175" s="9" t="str">
        <f ca="1">+WORLDCUP!BD58</f>
        <v>Sudáfrica</v>
      </c>
      <c r="H175" s="9" t="str">
        <f ca="1">+WORLDCUP!BD64</f>
        <v>Egipto</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Cabo Verde</v>
      </c>
      <c r="D176" s="9" t="str">
        <f ca="1">+WORLDCUP!BD67</f>
        <v>Argelia</v>
      </c>
      <c r="E176" s="9" t="str">
        <f ca="1">+WORLDCUP!BD66</f>
        <v>Noruega</v>
      </c>
      <c r="F176" s="9" t="str">
        <f ca="1">+WORLDCUP!BD61</f>
        <v>Paraguay</v>
      </c>
      <c r="G176" s="9" t="str">
        <f ca="1">+WORLDCUP!BD58</f>
        <v>Sudáfrica</v>
      </c>
      <c r="H176" s="9" t="str">
        <f ca="1">+WORLDCUP!BD63</f>
        <v>Túnez</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Noruega</v>
      </c>
      <c r="D177" s="9" t="str">
        <f ca="1">+WORLDCUP!BD64</f>
        <v>Egipto</v>
      </c>
      <c r="E177" s="9" t="str">
        <f ca="1">+WORLDCUP!BD67</f>
        <v>Argelia</v>
      </c>
      <c r="F177" s="9" t="str">
        <f ca="1">+WORLDCUP!BD61</f>
        <v>Paraguay</v>
      </c>
      <c r="G177" s="9" t="str">
        <f ca="1">+WORLDCUP!BD58</f>
        <v>Sudáfrica</v>
      </c>
      <c r="H177" s="9" t="str">
        <f ca="1">+WORLDCUP!BD63</f>
        <v>Túnez</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Cabo Verde</v>
      </c>
      <c r="D178" s="9" t="str">
        <f ca="1">+WORLDCUP!BD64</f>
        <v>Egipto</v>
      </c>
      <c r="E178" s="9" t="str">
        <f ca="1">+WORLDCUP!BD67</f>
        <v>Argelia</v>
      </c>
      <c r="F178" s="9" t="str">
        <f ca="1">+WORLDCUP!BD61</f>
        <v>Paraguay</v>
      </c>
      <c r="G178" s="9" t="str">
        <f ca="1">+WORLDCUP!BD58</f>
        <v>Sudáfrica</v>
      </c>
      <c r="H178" s="9" t="str">
        <f ca="1">+WORLDCUP!BD63</f>
        <v>Túnez</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Cabo Verde</v>
      </c>
      <c r="D179" s="9" t="str">
        <f ca="1">+WORLDCUP!BD64</f>
        <v>Egipto</v>
      </c>
      <c r="E179" s="9" t="str">
        <f ca="1">+WORLDCUP!BD66</f>
        <v>Noruega</v>
      </c>
      <c r="F179" s="9" t="str">
        <f ca="1">+WORLDCUP!BD61</f>
        <v>Paraguay</v>
      </c>
      <c r="G179" s="9" t="str">
        <f ca="1">+WORLDCUP!BD58</f>
        <v>Sudáfrica</v>
      </c>
      <c r="H179" s="9" t="str">
        <f ca="1">+WORLDCUP!BD63</f>
        <v>Túnez</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Cabo Verde</v>
      </c>
      <c r="D180" s="9" t="str">
        <f ca="1">+WORLDCUP!BD64</f>
        <v>Egipto</v>
      </c>
      <c r="E180" s="9" t="str">
        <f ca="1">+WORLDCUP!BD67</f>
        <v>Argelia</v>
      </c>
      <c r="F180" s="9" t="str">
        <f ca="1">+WORLDCUP!BD61</f>
        <v>Paraguay</v>
      </c>
      <c r="G180" s="9" t="str">
        <f ca="1">+WORLDCUP!BD58</f>
        <v>Sudáfrica</v>
      </c>
      <c r="H180" s="9" t="str">
        <f ca="1">+WORLDCUP!BD63</f>
        <v>Túnez</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Cabo Verde</v>
      </c>
      <c r="D181" s="9" t="str">
        <f ca="1">+WORLDCUP!BD64</f>
        <v>Egipto</v>
      </c>
      <c r="E181" s="9" t="str">
        <f ca="1">+WORLDCUP!BD67</f>
        <v>Argelia</v>
      </c>
      <c r="F181" s="9" t="str">
        <f ca="1">+WORLDCUP!BD61</f>
        <v>Paraguay</v>
      </c>
      <c r="G181" s="9" t="str">
        <f ca="1">+WORLDCUP!BD58</f>
        <v>Sudáfrica</v>
      </c>
      <c r="H181" s="9" t="str">
        <f ca="1">+WORLDCUP!BD63</f>
        <v>Túnez</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Costa de Marfil</v>
      </c>
      <c r="D182" s="9" t="str">
        <f ca="1">+WORLDCUP!BD67</f>
        <v>Argelia</v>
      </c>
      <c r="E182" s="9" t="str">
        <f ca="1">+WORLDCUP!BD66</f>
        <v>Noruega</v>
      </c>
      <c r="F182" s="9" t="str">
        <f ca="1">+WORLDCUP!BD61</f>
        <v>Paraguay</v>
      </c>
      <c r="G182" s="9" t="str">
        <f ca="1">+WORLDCUP!BD58</f>
        <v>Sudáfrica</v>
      </c>
      <c r="H182" s="9" t="str">
        <f ca="1">+WORLDCUP!BD65</f>
        <v>Cabo Verde</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Costa de Marfil</v>
      </c>
      <c r="D183" s="9" t="str">
        <f ca="1">+WORLDCUP!BD67</f>
        <v>Argelia</v>
      </c>
      <c r="E183" s="9" t="str">
        <f ca="1">+WORLDCUP!BD66</f>
        <v>Noruega</v>
      </c>
      <c r="F183" s="9" t="str">
        <f ca="1">+WORLDCUP!BD61</f>
        <v>Paraguay</v>
      </c>
      <c r="G183" s="9" t="str">
        <f ca="1">+WORLDCUP!BD58</f>
        <v>Sudáfrica</v>
      </c>
      <c r="H183" s="9" t="str">
        <f ca="1">+WORLDCUP!BD64</f>
        <v>Egipto</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Costa de Marfil</v>
      </c>
      <c r="D184" s="9" t="str">
        <f ca="1">+WORLDCUP!BD64</f>
        <v>Egipto</v>
      </c>
      <c r="E184" s="9" t="str">
        <f ca="1">+WORLDCUP!BD67</f>
        <v>Argelia</v>
      </c>
      <c r="F184" s="9" t="str">
        <f ca="1">+WORLDCUP!BD61</f>
        <v>Paraguay</v>
      </c>
      <c r="G184" s="9" t="str">
        <f ca="1">+WORLDCUP!BD58</f>
        <v>Sudáfrica</v>
      </c>
      <c r="H184" s="9" t="str">
        <f ca="1">+WORLDCUP!BD65</f>
        <v>Cabo Verde</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Costa de Marfil</v>
      </c>
      <c r="D185" s="9" t="str">
        <f ca="1">+WORLDCUP!BD64</f>
        <v>Egipto</v>
      </c>
      <c r="E185" s="9" t="str">
        <f ca="1">+WORLDCUP!BD66</f>
        <v>Noruega</v>
      </c>
      <c r="F185" s="9" t="str">
        <f ca="1">+WORLDCUP!BD61</f>
        <v>Paraguay</v>
      </c>
      <c r="G185" s="9" t="str">
        <f ca="1">+WORLDCUP!BD58</f>
        <v>Sudáfrica</v>
      </c>
      <c r="H185" s="9" t="str">
        <f ca="1">+WORLDCUP!BD65</f>
        <v>Cabo Verde</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Costa de Marfil</v>
      </c>
      <c r="D186" s="9" t="str">
        <f ca="1">+WORLDCUP!BD64</f>
        <v>Egipto</v>
      </c>
      <c r="E186" s="9" t="str">
        <f ca="1">+WORLDCUP!BD67</f>
        <v>Argelia</v>
      </c>
      <c r="F186" s="9" t="str">
        <f ca="1">+WORLDCUP!BD61</f>
        <v>Paraguay</v>
      </c>
      <c r="G186" s="9" t="str">
        <f ca="1">+WORLDCUP!BD58</f>
        <v>Sudáfrica</v>
      </c>
      <c r="H186" s="9" t="str">
        <f ca="1">+WORLDCUP!BD65</f>
        <v>Cabo Verde</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Costa de Marfil</v>
      </c>
      <c r="D187" s="9" t="str">
        <f ca="1">+WORLDCUP!BD64</f>
        <v>Egipto</v>
      </c>
      <c r="E187" s="9" t="str">
        <f ca="1">+WORLDCUP!BD67</f>
        <v>Argelia</v>
      </c>
      <c r="F187" s="9" t="str">
        <f ca="1">+WORLDCUP!BD61</f>
        <v>Paraguay</v>
      </c>
      <c r="G187" s="9" t="str">
        <f ca="1">+WORLDCUP!BD58</f>
        <v>Sudáfrica</v>
      </c>
      <c r="H187" s="9" t="str">
        <f ca="1">+WORLDCUP!BD65</f>
        <v>Cabo Verde</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Costa de Marfil</v>
      </c>
      <c r="D188" s="9" t="str">
        <f ca="1">+WORLDCUP!BD67</f>
        <v>Argelia</v>
      </c>
      <c r="E188" s="9" t="str">
        <f ca="1">+WORLDCUP!BD66</f>
        <v>Noruega</v>
      </c>
      <c r="F188" s="9" t="str">
        <f ca="1">+WORLDCUP!BD61</f>
        <v>Paraguay</v>
      </c>
      <c r="G188" s="9" t="str">
        <f ca="1">+WORLDCUP!BD58</f>
        <v>Sudáfrica</v>
      </c>
      <c r="H188" s="9" t="str">
        <f ca="1">+WORLDCUP!BD63</f>
        <v>Túnez</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Cabo Verde</v>
      </c>
      <c r="D189" s="9" t="str">
        <f ca="1">+WORLDCUP!BD67</f>
        <v>Argelia</v>
      </c>
      <c r="E189" s="9" t="str">
        <f ca="1">+WORLDCUP!BD62</f>
        <v>Costa de Marfil</v>
      </c>
      <c r="F189" s="9" t="str">
        <f ca="1">+WORLDCUP!BD61</f>
        <v>Paraguay</v>
      </c>
      <c r="G189" s="9" t="str">
        <f ca="1">+WORLDCUP!BD58</f>
        <v>Sudáfrica</v>
      </c>
      <c r="H189" s="9" t="str">
        <f ca="1">+WORLDCUP!BD63</f>
        <v>Túnez</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Cabo Verde</v>
      </c>
      <c r="D190" s="9" t="str">
        <f ca="1">+WORLDCUP!BD62</f>
        <v>Costa de Marfil</v>
      </c>
      <c r="E190" s="9" t="str">
        <f ca="1">+WORLDCUP!BD66</f>
        <v>Noruega</v>
      </c>
      <c r="F190" s="9" t="str">
        <f ca="1">+WORLDCUP!BD61</f>
        <v>Paraguay</v>
      </c>
      <c r="G190" s="9" t="str">
        <f ca="1">+WORLDCUP!BD58</f>
        <v>Sudáfrica</v>
      </c>
      <c r="H190" s="9" t="str">
        <f ca="1">+WORLDCUP!BD63</f>
        <v>Túnez</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Cabo Verde</v>
      </c>
      <c r="D191" s="9" t="str">
        <f ca="1">+WORLDCUP!BD67</f>
        <v>Argelia</v>
      </c>
      <c r="E191" s="9" t="str">
        <f ca="1">+WORLDCUP!BD62</f>
        <v>Costa de Marfil</v>
      </c>
      <c r="F191" s="9" t="str">
        <f ca="1">+WORLDCUP!BD61</f>
        <v>Paraguay</v>
      </c>
      <c r="G191" s="9" t="str">
        <f ca="1">+WORLDCUP!BD58</f>
        <v>Sudáfrica</v>
      </c>
      <c r="H191" s="9" t="str">
        <f ca="1">+WORLDCUP!BD63</f>
        <v>Túnez</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Cabo Verde</v>
      </c>
      <c r="D192" s="9" t="str">
        <f ca="1">+WORLDCUP!BD67</f>
        <v>Argelia</v>
      </c>
      <c r="E192" s="9" t="str">
        <f ca="1">+WORLDCUP!BD62</f>
        <v>Costa de Marfil</v>
      </c>
      <c r="F192" s="9" t="str">
        <f ca="1">+WORLDCUP!BD61</f>
        <v>Paraguay</v>
      </c>
      <c r="G192" s="9" t="str">
        <f ca="1">+WORLDCUP!BD58</f>
        <v>Sudáfrica</v>
      </c>
      <c r="H192" s="9" t="str">
        <f ca="1">+WORLDCUP!BD63</f>
        <v>Túnez</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Costa de Marfil</v>
      </c>
      <c r="D193" s="9" t="str">
        <f ca="1">+WORLDCUP!BD64</f>
        <v>Egipto</v>
      </c>
      <c r="E193" s="9" t="str">
        <f ca="1">+WORLDCUP!BD67</f>
        <v>Argelia</v>
      </c>
      <c r="F193" s="9" t="str">
        <f ca="1">+WORLDCUP!BD61</f>
        <v>Paraguay</v>
      </c>
      <c r="G193" s="9" t="str">
        <f ca="1">+WORLDCUP!BD58</f>
        <v>Sudáfrica</v>
      </c>
      <c r="H193" s="9" t="str">
        <f ca="1">+WORLDCUP!BD63</f>
        <v>Túnez</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Costa de Marfil</v>
      </c>
      <c r="D194" s="9" t="str">
        <f ca="1">+WORLDCUP!BD64</f>
        <v>Egipto</v>
      </c>
      <c r="E194" s="9" t="str">
        <f ca="1">+WORLDCUP!BD66</f>
        <v>Noruega</v>
      </c>
      <c r="F194" s="9" t="str">
        <f ca="1">+WORLDCUP!BD61</f>
        <v>Paraguay</v>
      </c>
      <c r="G194" s="9" t="str">
        <f ca="1">+WORLDCUP!BD58</f>
        <v>Sudáfrica</v>
      </c>
      <c r="H194" s="9" t="str">
        <f ca="1">+WORLDCUP!BD63</f>
        <v>Túnez</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Costa de Marfil</v>
      </c>
      <c r="D195" s="9" t="str">
        <f ca="1">+WORLDCUP!BD64</f>
        <v>Egipto</v>
      </c>
      <c r="E195" s="9" t="str">
        <f ca="1">+WORLDCUP!BD67</f>
        <v>Argelia</v>
      </c>
      <c r="F195" s="9" t="str">
        <f ca="1">+WORLDCUP!BD61</f>
        <v>Paraguay</v>
      </c>
      <c r="G195" s="9" t="str">
        <f ca="1">+WORLDCUP!BD58</f>
        <v>Sudáfrica</v>
      </c>
      <c r="H195" s="9" t="str">
        <f ca="1">+WORLDCUP!BD63</f>
        <v>Túnez</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Costa de Marfil</v>
      </c>
      <c r="D196" s="9" t="str">
        <f ca="1">+WORLDCUP!BD64</f>
        <v>Egipto</v>
      </c>
      <c r="E196" s="9" t="str">
        <f ca="1">+WORLDCUP!BD67</f>
        <v>Argelia</v>
      </c>
      <c r="F196" s="9" t="str">
        <f ca="1">+WORLDCUP!BD61</f>
        <v>Paraguay</v>
      </c>
      <c r="G196" s="9" t="str">
        <f ca="1">+WORLDCUP!BD58</f>
        <v>Sudáfrica</v>
      </c>
      <c r="H196" s="9" t="str">
        <f ca="1">+WORLDCUP!BD63</f>
        <v>Túnez</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Cabo Verde</v>
      </c>
      <c r="D197" s="9" t="str">
        <f ca="1">+WORLDCUP!BD64</f>
        <v>Egipto</v>
      </c>
      <c r="E197" s="9" t="str">
        <f ca="1">+WORLDCUP!BD62</f>
        <v>Costa de Marfil</v>
      </c>
      <c r="F197" s="9" t="str">
        <f ca="1">+WORLDCUP!BD61</f>
        <v>Paraguay</v>
      </c>
      <c r="G197" s="9" t="str">
        <f ca="1">+WORLDCUP!BD58</f>
        <v>Sudáfrica</v>
      </c>
      <c r="H197" s="9" t="str">
        <f ca="1">+WORLDCUP!BD63</f>
        <v>Túnez</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Cabo Verde</v>
      </c>
      <c r="D198" s="9" t="str">
        <f ca="1">+WORLDCUP!BD64</f>
        <v>Egipto</v>
      </c>
      <c r="E198" s="9" t="str">
        <f ca="1">+WORLDCUP!BD67</f>
        <v>Argelia</v>
      </c>
      <c r="F198" s="9" t="str">
        <f ca="1">+WORLDCUP!BD61</f>
        <v>Paraguay</v>
      </c>
      <c r="G198" s="9" t="str">
        <f ca="1">+WORLDCUP!BD58</f>
        <v>Sudáfrica</v>
      </c>
      <c r="H198" s="9" t="str">
        <f ca="1">+WORLDCUP!BD63</f>
        <v>Túnez</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Cabo Verde</v>
      </c>
      <c r="D199" s="9" t="str">
        <f ca="1">+WORLDCUP!BD64</f>
        <v>Egipto</v>
      </c>
      <c r="E199" s="9" t="str">
        <f ca="1">+WORLDCUP!BD67</f>
        <v>Argelia</v>
      </c>
      <c r="F199" s="9" t="str">
        <f ca="1">+WORLDCUP!BD61</f>
        <v>Paraguay</v>
      </c>
      <c r="G199" s="9" t="str">
        <f ca="1">+WORLDCUP!BD58</f>
        <v>Sudáfrica</v>
      </c>
      <c r="H199" s="9" t="str">
        <f ca="1">+WORLDCUP!BD63</f>
        <v>Túnez</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Cabo Verde</v>
      </c>
      <c r="D200" s="9" t="str">
        <f ca="1">+WORLDCUP!BD64</f>
        <v>Egipto</v>
      </c>
      <c r="E200" s="9" t="str">
        <f ca="1">+WORLDCUP!BD62</f>
        <v>Costa de Marfil</v>
      </c>
      <c r="F200" s="9" t="str">
        <f ca="1">+WORLDCUP!BD61</f>
        <v>Paraguay</v>
      </c>
      <c r="G200" s="9" t="str">
        <f ca="1">+WORLDCUP!BD58</f>
        <v>Sudáfrica</v>
      </c>
      <c r="H200" s="9" t="str">
        <f ca="1">+WORLDCUP!BD63</f>
        <v>Túnez</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Cabo Verde</v>
      </c>
      <c r="D201" s="9" t="str">
        <f ca="1">+WORLDCUP!BD64</f>
        <v>Egipto</v>
      </c>
      <c r="E201" s="9" t="str">
        <f ca="1">+WORLDCUP!BD62</f>
        <v>Costa de Marfil</v>
      </c>
      <c r="F201" s="9" t="str">
        <f ca="1">+WORLDCUP!BD61</f>
        <v>Paraguay</v>
      </c>
      <c r="G201" s="9" t="str">
        <f ca="1">+WORLDCUP!BD58</f>
        <v>Sudáfrica</v>
      </c>
      <c r="H201" s="9" t="str">
        <f ca="1">+WORLDCUP!BD63</f>
        <v>Túnez</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Cabo Verde</v>
      </c>
      <c r="D202" s="9" t="str">
        <f ca="1">+WORLDCUP!BD64</f>
        <v>Egipto</v>
      </c>
      <c r="E202" s="9" t="str">
        <f ca="1">+WORLDCUP!BD67</f>
        <v>Argelia</v>
      </c>
      <c r="F202" s="9" t="str">
        <f ca="1">+WORLDCUP!BD61</f>
        <v>Paraguay</v>
      </c>
      <c r="G202" s="9" t="str">
        <f ca="1">+WORLDCUP!BD58</f>
        <v>Sudáfrica</v>
      </c>
      <c r="H202" s="9" t="str">
        <f ca="1">+WORLDCUP!BD63</f>
        <v>Túnez</v>
      </c>
      <c r="I202" s="9" t="str">
        <f ca="1">+WORLDCUP!BD62</f>
        <v>Costa de Marfil</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Cabo Verde</v>
      </c>
      <c r="D203" s="9" t="str">
        <f ca="1">+WORLDCUP!BD67</f>
        <v>Argelia</v>
      </c>
      <c r="E203" s="9" t="str">
        <f ca="1">+WORLDCUP!BD66</f>
        <v>Noruega</v>
      </c>
      <c r="F203" s="9" t="str">
        <f ca="1">+WORLDCUP!BD60</f>
        <v>Haití</v>
      </c>
      <c r="G203" s="9" t="str">
        <f ca="1">+WORLDCUP!BD58</f>
        <v>Sudáfrica</v>
      </c>
      <c r="H203" s="9" t="str">
        <f ca="1">+WORLDCUP!BD64</f>
        <v>Egipto</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Cabo Verde</v>
      </c>
      <c r="D204" s="9" t="str">
        <f ca="1">+WORLDCUP!BD67</f>
        <v>Argelia</v>
      </c>
      <c r="E204" s="9" t="str">
        <f ca="1">+WORLDCUP!BD66</f>
        <v>Noruega</v>
      </c>
      <c r="F204" s="9" t="str">
        <f ca="1">+WORLDCUP!BD60</f>
        <v>Haití</v>
      </c>
      <c r="G204" s="9" t="str">
        <f ca="1">+WORLDCUP!BD58</f>
        <v>Sudáfrica</v>
      </c>
      <c r="H204" s="9" t="str">
        <f ca="1">+WORLDCUP!BD63</f>
        <v>Túnez</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Noruega</v>
      </c>
      <c r="D205" s="9" t="str">
        <f ca="1">+WORLDCUP!BD64</f>
        <v>Egipto</v>
      </c>
      <c r="E205" s="9" t="str">
        <f ca="1">+WORLDCUP!BD67</f>
        <v>Argelia</v>
      </c>
      <c r="F205" s="9" t="str">
        <f ca="1">+WORLDCUP!BD60</f>
        <v>Haití</v>
      </c>
      <c r="G205" s="9" t="str">
        <f ca="1">+WORLDCUP!BD58</f>
        <v>Sudáfrica</v>
      </c>
      <c r="H205" s="9" t="str">
        <f ca="1">+WORLDCUP!BD63</f>
        <v>Túnez</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Cabo Verde</v>
      </c>
      <c r="D206" s="9" t="str">
        <f ca="1">+WORLDCUP!BD64</f>
        <v>Egipto</v>
      </c>
      <c r="E206" s="9" t="str">
        <f ca="1">+WORLDCUP!BD67</f>
        <v>Argelia</v>
      </c>
      <c r="F206" s="9" t="str">
        <f ca="1">+WORLDCUP!BD60</f>
        <v>Haití</v>
      </c>
      <c r="G206" s="9" t="str">
        <f ca="1">+WORLDCUP!BD58</f>
        <v>Sudáfrica</v>
      </c>
      <c r="H206" s="9" t="str">
        <f ca="1">+WORLDCUP!BD63</f>
        <v>Túnez</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Cabo Verde</v>
      </c>
      <c r="D207" s="9" t="str">
        <f ca="1">+WORLDCUP!BD64</f>
        <v>Egipto</v>
      </c>
      <c r="E207" s="9" t="str">
        <f ca="1">+WORLDCUP!BD66</f>
        <v>Noruega</v>
      </c>
      <c r="F207" s="9" t="str">
        <f ca="1">+WORLDCUP!BD60</f>
        <v>Haití</v>
      </c>
      <c r="G207" s="9" t="str">
        <f ca="1">+WORLDCUP!BD58</f>
        <v>Sudáfrica</v>
      </c>
      <c r="H207" s="9" t="str">
        <f ca="1">+WORLDCUP!BD63</f>
        <v>Túnez</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Cabo Verde</v>
      </c>
      <c r="D208" s="9" t="str">
        <f ca="1">+WORLDCUP!BD64</f>
        <v>Egipto</v>
      </c>
      <c r="E208" s="9" t="str">
        <f ca="1">+WORLDCUP!BD67</f>
        <v>Argelia</v>
      </c>
      <c r="F208" s="9" t="str">
        <f ca="1">+WORLDCUP!BD60</f>
        <v>Haití</v>
      </c>
      <c r="G208" s="9" t="str">
        <f ca="1">+WORLDCUP!BD58</f>
        <v>Sudáfrica</v>
      </c>
      <c r="H208" s="9" t="str">
        <f ca="1">+WORLDCUP!BD63</f>
        <v>Túnez</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Cabo Verde</v>
      </c>
      <c r="D209" s="9" t="str">
        <f ca="1">+WORLDCUP!BD64</f>
        <v>Egipto</v>
      </c>
      <c r="E209" s="9" t="str">
        <f ca="1">+WORLDCUP!BD67</f>
        <v>Argelia</v>
      </c>
      <c r="F209" s="9" t="str">
        <f ca="1">+WORLDCUP!BD60</f>
        <v>Haití</v>
      </c>
      <c r="G209" s="9" t="str">
        <f ca="1">+WORLDCUP!BD58</f>
        <v>Sudáfrica</v>
      </c>
      <c r="H209" s="9" t="str">
        <f ca="1">+WORLDCUP!BD63</f>
        <v>Túnez</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Costa de Marfil</v>
      </c>
      <c r="D210" s="9" t="str">
        <f ca="1">+WORLDCUP!BD67</f>
        <v>Argelia</v>
      </c>
      <c r="E210" s="9" t="str">
        <f ca="1">+WORLDCUP!BD66</f>
        <v>Noruega</v>
      </c>
      <c r="F210" s="9" t="str">
        <f ca="1">+WORLDCUP!BD60</f>
        <v>Haití</v>
      </c>
      <c r="G210" s="9" t="str">
        <f ca="1">+WORLDCUP!BD58</f>
        <v>Sudáfrica</v>
      </c>
      <c r="H210" s="9" t="str">
        <f ca="1">+WORLDCUP!BD65</f>
        <v>Cabo Verde</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Costa de Marfil</v>
      </c>
      <c r="D211" s="9" t="str">
        <f ca="1">+WORLDCUP!BD67</f>
        <v>Argelia</v>
      </c>
      <c r="E211" s="9" t="str">
        <f ca="1">+WORLDCUP!BD66</f>
        <v>Noruega</v>
      </c>
      <c r="F211" s="9" t="str">
        <f ca="1">+WORLDCUP!BD60</f>
        <v>Haití</v>
      </c>
      <c r="G211" s="9" t="str">
        <f ca="1">+WORLDCUP!BD58</f>
        <v>Sudáfrica</v>
      </c>
      <c r="H211" s="9" t="str">
        <f ca="1">+WORLDCUP!BD64</f>
        <v>Egipto</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Costa de Marfil</v>
      </c>
      <c r="D212" s="9" t="str">
        <f ca="1">+WORLDCUP!BD64</f>
        <v>Egipto</v>
      </c>
      <c r="E212" s="9" t="str">
        <f ca="1">+WORLDCUP!BD67</f>
        <v>Argelia</v>
      </c>
      <c r="F212" s="9" t="str">
        <f ca="1">+WORLDCUP!BD60</f>
        <v>Haití</v>
      </c>
      <c r="G212" s="9" t="str">
        <f ca="1">+WORLDCUP!BD58</f>
        <v>Sudáfrica</v>
      </c>
      <c r="H212" s="9" t="str">
        <f ca="1">+WORLDCUP!BD65</f>
        <v>Cabo Verde</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Costa de Marfil</v>
      </c>
      <c r="D213" s="9" t="str">
        <f ca="1">+WORLDCUP!BD64</f>
        <v>Egipto</v>
      </c>
      <c r="E213" s="9" t="str">
        <f ca="1">+WORLDCUP!BD66</f>
        <v>Noruega</v>
      </c>
      <c r="F213" s="9" t="str">
        <f ca="1">+WORLDCUP!BD60</f>
        <v>Haití</v>
      </c>
      <c r="G213" s="9" t="str">
        <f ca="1">+WORLDCUP!BD58</f>
        <v>Sudáfrica</v>
      </c>
      <c r="H213" s="9" t="str">
        <f ca="1">+WORLDCUP!BD65</f>
        <v>Cabo Verde</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Costa de Marfil</v>
      </c>
      <c r="D214" s="9" t="str">
        <f ca="1">+WORLDCUP!BD64</f>
        <v>Egipto</v>
      </c>
      <c r="E214" s="9" t="str">
        <f ca="1">+WORLDCUP!BD67</f>
        <v>Argelia</v>
      </c>
      <c r="F214" s="9" t="str">
        <f ca="1">+WORLDCUP!BD60</f>
        <v>Haití</v>
      </c>
      <c r="G214" s="9" t="str">
        <f ca="1">+WORLDCUP!BD58</f>
        <v>Sudáfrica</v>
      </c>
      <c r="H214" s="9" t="str">
        <f ca="1">+WORLDCUP!BD65</f>
        <v>Cabo Verde</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Costa de Marfil</v>
      </c>
      <c r="D215" s="9" t="str">
        <f ca="1">+WORLDCUP!BD64</f>
        <v>Egipto</v>
      </c>
      <c r="E215" s="9" t="str">
        <f ca="1">+WORLDCUP!BD67</f>
        <v>Argelia</v>
      </c>
      <c r="F215" s="9" t="str">
        <f ca="1">+WORLDCUP!BD60</f>
        <v>Haití</v>
      </c>
      <c r="G215" s="9" t="str">
        <f ca="1">+WORLDCUP!BD58</f>
        <v>Sudáfrica</v>
      </c>
      <c r="H215" s="9" t="str">
        <f ca="1">+WORLDCUP!BD65</f>
        <v>Cabo Verde</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Costa de Marfil</v>
      </c>
      <c r="D216" s="9" t="str">
        <f ca="1">+WORLDCUP!BD67</f>
        <v>Argelia</v>
      </c>
      <c r="E216" s="9" t="str">
        <f ca="1">+WORLDCUP!BD66</f>
        <v>Noruega</v>
      </c>
      <c r="F216" s="9" t="str">
        <f ca="1">+WORLDCUP!BD60</f>
        <v>Haití</v>
      </c>
      <c r="G216" s="9" t="str">
        <f ca="1">+WORLDCUP!BD58</f>
        <v>Sudáfrica</v>
      </c>
      <c r="H216" s="9" t="str">
        <f ca="1">+WORLDCUP!BD63</f>
        <v>Túnez</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Cabo Verde</v>
      </c>
      <c r="D217" s="9" t="str">
        <f ca="1">+WORLDCUP!BD67</f>
        <v>Argelia</v>
      </c>
      <c r="E217" s="9" t="str">
        <f ca="1">+WORLDCUP!BD62</f>
        <v>Costa de Marfil</v>
      </c>
      <c r="F217" s="9" t="str">
        <f ca="1">+WORLDCUP!BD60</f>
        <v>Haití</v>
      </c>
      <c r="G217" s="9" t="str">
        <f ca="1">+WORLDCUP!BD58</f>
        <v>Sudáfrica</v>
      </c>
      <c r="H217" s="9" t="str">
        <f ca="1">+WORLDCUP!BD63</f>
        <v>Túnez</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Cabo Verde</v>
      </c>
      <c r="D218" s="9" t="str">
        <f ca="1">+WORLDCUP!BD62</f>
        <v>Costa de Marfil</v>
      </c>
      <c r="E218" s="9" t="str">
        <f ca="1">+WORLDCUP!BD66</f>
        <v>Noruega</v>
      </c>
      <c r="F218" s="9" t="str">
        <f ca="1">+WORLDCUP!BD60</f>
        <v>Haití</v>
      </c>
      <c r="G218" s="9" t="str">
        <f ca="1">+WORLDCUP!BD58</f>
        <v>Sudáfrica</v>
      </c>
      <c r="H218" s="9" t="str">
        <f ca="1">+WORLDCUP!BD63</f>
        <v>Túnez</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Cabo Verde</v>
      </c>
      <c r="D219" s="9" t="str">
        <f ca="1">+WORLDCUP!BD67</f>
        <v>Argelia</v>
      </c>
      <c r="E219" s="9" t="str">
        <f ca="1">+WORLDCUP!BD62</f>
        <v>Costa de Marfil</v>
      </c>
      <c r="F219" s="9" t="str">
        <f ca="1">+WORLDCUP!BD60</f>
        <v>Haití</v>
      </c>
      <c r="G219" s="9" t="str">
        <f ca="1">+WORLDCUP!BD58</f>
        <v>Sudáfrica</v>
      </c>
      <c r="H219" s="9" t="str">
        <f ca="1">+WORLDCUP!BD63</f>
        <v>Túnez</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Cabo Verde</v>
      </c>
      <c r="D220" s="9" t="str">
        <f ca="1">+WORLDCUP!BD67</f>
        <v>Argelia</v>
      </c>
      <c r="E220" s="9" t="str">
        <f ca="1">+WORLDCUP!BD62</f>
        <v>Costa de Marfil</v>
      </c>
      <c r="F220" s="9" t="str">
        <f ca="1">+WORLDCUP!BD60</f>
        <v>Haití</v>
      </c>
      <c r="G220" s="9" t="str">
        <f ca="1">+WORLDCUP!BD58</f>
        <v>Sudáfrica</v>
      </c>
      <c r="H220" s="9" t="str">
        <f ca="1">+WORLDCUP!BD63</f>
        <v>Túnez</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Costa de Marfil</v>
      </c>
      <c r="D221" s="9" t="str">
        <f ca="1">+WORLDCUP!BD64</f>
        <v>Egipto</v>
      </c>
      <c r="E221" s="9" t="str">
        <f ca="1">+WORLDCUP!BD67</f>
        <v>Argelia</v>
      </c>
      <c r="F221" s="9" t="str">
        <f ca="1">+WORLDCUP!BD60</f>
        <v>Haití</v>
      </c>
      <c r="G221" s="9" t="str">
        <f ca="1">+WORLDCUP!BD58</f>
        <v>Sudáfrica</v>
      </c>
      <c r="H221" s="9" t="str">
        <f ca="1">+WORLDCUP!BD63</f>
        <v>Túnez</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Costa de Marfil</v>
      </c>
      <c r="D222" s="9" t="str">
        <f ca="1">+WORLDCUP!BD64</f>
        <v>Egipto</v>
      </c>
      <c r="E222" s="9" t="str">
        <f ca="1">+WORLDCUP!BD66</f>
        <v>Noruega</v>
      </c>
      <c r="F222" s="9" t="str">
        <f ca="1">+WORLDCUP!BD60</f>
        <v>Haití</v>
      </c>
      <c r="G222" s="9" t="str">
        <f ca="1">+WORLDCUP!BD58</f>
        <v>Sudáfrica</v>
      </c>
      <c r="H222" s="9" t="str">
        <f ca="1">+WORLDCUP!BD63</f>
        <v>Túnez</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Costa de Marfil</v>
      </c>
      <c r="D223" s="9" t="str">
        <f ca="1">+WORLDCUP!BD64</f>
        <v>Egipto</v>
      </c>
      <c r="E223" s="9" t="str">
        <f ca="1">+WORLDCUP!BD67</f>
        <v>Argelia</v>
      </c>
      <c r="F223" s="9" t="str">
        <f ca="1">+WORLDCUP!BD60</f>
        <v>Haití</v>
      </c>
      <c r="G223" s="9" t="str">
        <f ca="1">+WORLDCUP!BD58</f>
        <v>Sudáfrica</v>
      </c>
      <c r="H223" s="9" t="str">
        <f ca="1">+WORLDCUP!BD63</f>
        <v>Túnez</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Costa de Marfil</v>
      </c>
      <c r="D224" s="9" t="str">
        <f ca="1">+WORLDCUP!BD64</f>
        <v>Egipto</v>
      </c>
      <c r="E224" s="9" t="str">
        <f ca="1">+WORLDCUP!BD67</f>
        <v>Argelia</v>
      </c>
      <c r="F224" s="9" t="str">
        <f ca="1">+WORLDCUP!BD60</f>
        <v>Haití</v>
      </c>
      <c r="G224" s="9" t="str">
        <f ca="1">+WORLDCUP!BD58</f>
        <v>Sudáfrica</v>
      </c>
      <c r="H224" s="9" t="str">
        <f ca="1">+WORLDCUP!BD63</f>
        <v>Túnez</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Cabo Verde</v>
      </c>
      <c r="D225" s="9" t="str">
        <f ca="1">+WORLDCUP!BD64</f>
        <v>Egipto</v>
      </c>
      <c r="E225" s="9" t="str">
        <f ca="1">+WORLDCUP!BD62</f>
        <v>Costa de Marfil</v>
      </c>
      <c r="F225" s="9" t="str">
        <f ca="1">+WORLDCUP!BD60</f>
        <v>Haití</v>
      </c>
      <c r="G225" s="9" t="str">
        <f ca="1">+WORLDCUP!BD58</f>
        <v>Sudáfrica</v>
      </c>
      <c r="H225" s="9" t="str">
        <f ca="1">+WORLDCUP!BD63</f>
        <v>Túnez</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Cabo Verde</v>
      </c>
      <c r="D226" s="9" t="str">
        <f ca="1">+WORLDCUP!BD64</f>
        <v>Egipto</v>
      </c>
      <c r="E226" s="9" t="str">
        <f ca="1">+WORLDCUP!BD67</f>
        <v>Argelia</v>
      </c>
      <c r="F226" s="9" t="str">
        <f ca="1">+WORLDCUP!BD60</f>
        <v>Haití</v>
      </c>
      <c r="G226" s="9" t="str">
        <f ca="1">+WORLDCUP!BD58</f>
        <v>Sudáfrica</v>
      </c>
      <c r="H226" s="9" t="str">
        <f ca="1">+WORLDCUP!BD63</f>
        <v>Túnez</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Cabo Verde</v>
      </c>
      <c r="D227" s="9" t="str">
        <f ca="1">+WORLDCUP!BD64</f>
        <v>Egipto</v>
      </c>
      <c r="E227" s="9" t="str">
        <f ca="1">+WORLDCUP!BD67</f>
        <v>Argelia</v>
      </c>
      <c r="F227" s="9" t="str">
        <f ca="1">+WORLDCUP!BD60</f>
        <v>Haití</v>
      </c>
      <c r="G227" s="9" t="str">
        <f ca="1">+WORLDCUP!BD58</f>
        <v>Sudáfrica</v>
      </c>
      <c r="H227" s="9" t="str">
        <f ca="1">+WORLDCUP!BD63</f>
        <v>Túnez</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Cabo Verde</v>
      </c>
      <c r="D228" s="9" t="str">
        <f ca="1">+WORLDCUP!BD64</f>
        <v>Egipto</v>
      </c>
      <c r="E228" s="9" t="str">
        <f ca="1">+WORLDCUP!BD62</f>
        <v>Costa de Marfil</v>
      </c>
      <c r="F228" s="9" t="str">
        <f ca="1">+WORLDCUP!BD60</f>
        <v>Haití</v>
      </c>
      <c r="G228" s="9" t="str">
        <f ca="1">+WORLDCUP!BD58</f>
        <v>Sudáfrica</v>
      </c>
      <c r="H228" s="9" t="str">
        <f ca="1">+WORLDCUP!BD63</f>
        <v>Túnez</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Cabo Verde</v>
      </c>
      <c r="D229" s="9" t="str">
        <f ca="1">+WORLDCUP!BD64</f>
        <v>Egipto</v>
      </c>
      <c r="E229" s="9" t="str">
        <f ca="1">+WORLDCUP!BD62</f>
        <v>Costa de Marfil</v>
      </c>
      <c r="F229" s="9" t="str">
        <f ca="1">+WORLDCUP!BD60</f>
        <v>Haití</v>
      </c>
      <c r="G229" s="9" t="str">
        <f ca="1">+WORLDCUP!BD58</f>
        <v>Sudáfrica</v>
      </c>
      <c r="H229" s="9" t="str">
        <f ca="1">+WORLDCUP!BD63</f>
        <v>Túnez</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Cabo Verde</v>
      </c>
      <c r="D230" s="9" t="str">
        <f ca="1">+WORLDCUP!BD64</f>
        <v>Egipto</v>
      </c>
      <c r="E230" s="9" t="str">
        <f ca="1">+WORLDCUP!BD67</f>
        <v>Argelia</v>
      </c>
      <c r="F230" s="9" t="str">
        <f ca="1">+WORLDCUP!BD60</f>
        <v>Haití</v>
      </c>
      <c r="G230" s="9" t="str">
        <f ca="1">+WORLDCUP!BD58</f>
        <v>Sudáfrica</v>
      </c>
      <c r="H230" s="9" t="str">
        <f ca="1">+WORLDCUP!BD63</f>
        <v>Túnez</v>
      </c>
      <c r="I230" s="9" t="str">
        <f ca="1">+WORLDCUP!BD62</f>
        <v>Costa de Marfil</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Cabo Verde</v>
      </c>
      <c r="D231" s="9" t="str">
        <f ca="1">+WORLDCUP!BD67</f>
        <v>Argelia</v>
      </c>
      <c r="E231" s="9" t="str">
        <f ca="1">+WORLDCUP!BD66</f>
        <v>Noruega</v>
      </c>
      <c r="F231" s="9" t="str">
        <f ca="1">+WORLDCUP!BD60</f>
        <v>Haití</v>
      </c>
      <c r="G231" s="9" t="str">
        <f ca="1">+WORLDCUP!BD58</f>
        <v>Sudáfrica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Noruega</v>
      </c>
      <c r="D232" s="9" t="str">
        <f ca="1">+WORLDCUP!BD64</f>
        <v>Egipto</v>
      </c>
      <c r="E232" s="9" t="str">
        <f ca="1">+WORLDCUP!BD67</f>
        <v>Argelia</v>
      </c>
      <c r="F232" s="9" t="str">
        <f ca="1">+WORLDCUP!BD60</f>
        <v>Haití</v>
      </c>
      <c r="G232" s="9" t="str">
        <f ca="1">+WORLDCUP!BD58</f>
        <v>Sudáfrica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Cabo Verde</v>
      </c>
      <c r="D233" s="9" t="str">
        <f ca="1">+WORLDCUP!BD64</f>
        <v>Egipto</v>
      </c>
      <c r="E233" s="9" t="str">
        <f ca="1">+WORLDCUP!BD67</f>
        <v>Argelia</v>
      </c>
      <c r="F233" s="9" t="str">
        <f ca="1">+WORLDCUP!BD60</f>
        <v>Haití</v>
      </c>
      <c r="G233" s="9" t="str">
        <f ca="1">+WORLDCUP!BD58</f>
        <v>Sudáfrica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Cabo Verde</v>
      </c>
      <c r="D234" s="9" t="str">
        <f ca="1">+WORLDCUP!BD64</f>
        <v>Egipto</v>
      </c>
      <c r="E234" s="9" t="str">
        <f ca="1">+WORLDCUP!BD66</f>
        <v>Noruega</v>
      </c>
      <c r="F234" s="9" t="str">
        <f ca="1">+WORLDCUP!BD60</f>
        <v>Haití</v>
      </c>
      <c r="G234" s="9" t="str">
        <f ca="1">+WORLDCUP!BD58</f>
        <v>Sudáfrica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Cabo Verde</v>
      </c>
      <c r="D235" s="9" t="str">
        <f ca="1">+WORLDCUP!BD64</f>
        <v>Egipto</v>
      </c>
      <c r="E235" s="9" t="str">
        <f ca="1">+WORLDCUP!BD67</f>
        <v>Argelia</v>
      </c>
      <c r="F235" s="9" t="str">
        <f ca="1">+WORLDCUP!BD60</f>
        <v>Haití</v>
      </c>
      <c r="G235" s="9" t="str">
        <f ca="1">+WORLDCUP!BD58</f>
        <v>Sudáfrica</v>
      </c>
      <c r="H235" s="9" t="str">
        <f ca="1">+WORLDCUP!BD61</f>
        <v>Paraguay</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Cabo Verde</v>
      </c>
      <c r="D236" s="9" t="str">
        <f ca="1">+WORLDCUP!BD64</f>
        <v>Egipto</v>
      </c>
      <c r="E236" s="9" t="str">
        <f ca="1">+WORLDCUP!BD67</f>
        <v>Argelia</v>
      </c>
      <c r="F236" s="9" t="str">
        <f ca="1">+WORLDCUP!BD60</f>
        <v>Haití</v>
      </c>
      <c r="G236" s="9" t="str">
        <f ca="1">+WORLDCUP!BD58</f>
        <v>Sudáfrica</v>
      </c>
      <c r="H236" s="9" t="str">
        <f ca="1">+WORLDCUP!BD61</f>
        <v>Paraguay</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Haití</v>
      </c>
      <c r="D237" s="9" t="str">
        <f ca="1">+WORLDCUP!BD67</f>
        <v>Argelia</v>
      </c>
      <c r="E237" s="9" t="str">
        <f ca="1">+WORLDCUP!BD66</f>
        <v>Noruega</v>
      </c>
      <c r="F237" s="9" t="str">
        <f ca="1">+WORLDCUP!BD61</f>
        <v>Paraguay</v>
      </c>
      <c r="G237" s="9" t="str">
        <f ca="1">+WORLDCUP!BD58</f>
        <v>Sudáfrica</v>
      </c>
      <c r="H237" s="9" t="str">
        <f ca="1">+WORLDCUP!BD63</f>
        <v>Túnez</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Cabo Verde</v>
      </c>
      <c r="D238" s="9" t="str">
        <f ca="1">+WORLDCUP!BD67</f>
        <v>Argelia</v>
      </c>
      <c r="E238" s="9" t="str">
        <f ca="1">+WORLDCUP!BD63</f>
        <v>Túnez</v>
      </c>
      <c r="F238" s="9" t="str">
        <f ca="1">+WORLDCUP!BD60</f>
        <v>Haití</v>
      </c>
      <c r="G238" s="9" t="str">
        <f ca="1">+WORLDCUP!BD58</f>
        <v>Sudáfrica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Cabo Verde</v>
      </c>
      <c r="D239" s="9" t="str">
        <f ca="1">+WORLDCUP!BD63</f>
        <v>Túnez</v>
      </c>
      <c r="E239" s="9" t="str">
        <f ca="1">+WORLDCUP!BD66</f>
        <v>Noruega</v>
      </c>
      <c r="F239" s="9" t="str">
        <f ca="1">+WORLDCUP!BD60</f>
        <v>Haití</v>
      </c>
      <c r="G239" s="9" t="str">
        <f ca="1">+WORLDCUP!BD58</f>
        <v>Sudáfrica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Cabo Verde</v>
      </c>
      <c r="D240" s="9" t="str">
        <f ca="1">+WORLDCUP!BD67</f>
        <v>Argelia</v>
      </c>
      <c r="E240" s="9" t="str">
        <f ca="1">+WORLDCUP!BD63</f>
        <v>Túnez</v>
      </c>
      <c r="F240" s="9" t="str">
        <f ca="1">+WORLDCUP!BD60</f>
        <v>Haití</v>
      </c>
      <c r="G240" s="9" t="str">
        <f ca="1">+WORLDCUP!BD58</f>
        <v>Sudáfrica</v>
      </c>
      <c r="H240" s="9" t="str">
        <f ca="1">+WORLDCUP!BD61</f>
        <v>Paraguay</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Cabo Verde</v>
      </c>
      <c r="D241" s="9" t="str">
        <f ca="1">+WORLDCUP!BD67</f>
        <v>Argelia</v>
      </c>
      <c r="E241" s="9" t="str">
        <f ca="1">+WORLDCUP!BD63</f>
        <v>Túnez</v>
      </c>
      <c r="F241" s="9" t="str">
        <f ca="1">+WORLDCUP!BD60</f>
        <v>Haití</v>
      </c>
      <c r="G241" s="9" t="str">
        <f ca="1">+WORLDCUP!BD58</f>
        <v>Sudáfrica</v>
      </c>
      <c r="H241" s="9" t="str">
        <f ca="1">+WORLDCUP!BD61</f>
        <v>Paraguay</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Haití</v>
      </c>
      <c r="D242" s="9" t="str">
        <f ca="1">+WORLDCUP!BD64</f>
        <v>Egipto</v>
      </c>
      <c r="E242" s="9" t="str">
        <f ca="1">+WORLDCUP!BD67</f>
        <v>Argelia</v>
      </c>
      <c r="F242" s="9" t="str">
        <f ca="1">+WORLDCUP!BD61</f>
        <v>Paraguay</v>
      </c>
      <c r="G242" s="9" t="str">
        <f ca="1">+WORLDCUP!BD58</f>
        <v>Sudáfrica</v>
      </c>
      <c r="H242" s="9" t="str">
        <f ca="1">+WORLDCUP!BD63</f>
        <v>Túnez</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Haití</v>
      </c>
      <c r="D243" s="9" t="str">
        <f ca="1">+WORLDCUP!BD64</f>
        <v>Egipto</v>
      </c>
      <c r="E243" s="9" t="str">
        <f ca="1">+WORLDCUP!BD66</f>
        <v>Noruega</v>
      </c>
      <c r="F243" s="9" t="str">
        <f ca="1">+WORLDCUP!BD61</f>
        <v>Paraguay</v>
      </c>
      <c r="G243" s="9" t="str">
        <f ca="1">+WORLDCUP!BD58</f>
        <v>Sudáfrica</v>
      </c>
      <c r="H243" s="9" t="str">
        <f ca="1">+WORLDCUP!BD63</f>
        <v>Túnez</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Haití</v>
      </c>
      <c r="D244" s="9" t="str">
        <f ca="1">+WORLDCUP!BD64</f>
        <v>Egipto</v>
      </c>
      <c r="E244" s="9" t="str">
        <f ca="1">+WORLDCUP!BD67</f>
        <v>Argelia</v>
      </c>
      <c r="F244" s="9" t="str">
        <f ca="1">+WORLDCUP!BD61</f>
        <v>Paraguay</v>
      </c>
      <c r="G244" s="9" t="str">
        <f ca="1">+WORLDCUP!BD58</f>
        <v>Sudáfrica</v>
      </c>
      <c r="H244" s="9" t="str">
        <f ca="1">+WORLDCUP!BD63</f>
        <v>Túnez</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Haití</v>
      </c>
      <c r="D245" s="9" t="str">
        <f ca="1">+WORLDCUP!BD64</f>
        <v>Egipto</v>
      </c>
      <c r="E245" s="9" t="str">
        <f ca="1">+WORLDCUP!BD67</f>
        <v>Argelia</v>
      </c>
      <c r="F245" s="9" t="str">
        <f ca="1">+WORLDCUP!BD61</f>
        <v>Paraguay</v>
      </c>
      <c r="G245" s="9" t="str">
        <f ca="1">+WORLDCUP!BD58</f>
        <v>Sudáfrica</v>
      </c>
      <c r="H245" s="9" t="str">
        <f ca="1">+WORLDCUP!BD63</f>
        <v>Túnez</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Cabo Verde</v>
      </c>
      <c r="D246" s="9" t="str">
        <f ca="1">+WORLDCUP!BD64</f>
        <v>Egipto</v>
      </c>
      <c r="E246" s="9" t="str">
        <f ca="1">+WORLDCUP!BD63</f>
        <v>Túnez</v>
      </c>
      <c r="F246" s="9" t="str">
        <f ca="1">+WORLDCUP!BD60</f>
        <v>Haití</v>
      </c>
      <c r="G246" s="9" t="str">
        <f ca="1">+WORLDCUP!BD58</f>
        <v>Sudáfrica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Haití</v>
      </c>
      <c r="D247" s="9" t="str">
        <f ca="1">+WORLDCUP!BD64</f>
        <v>Egipto</v>
      </c>
      <c r="E247" s="9" t="str">
        <f ca="1">+WORLDCUP!BD67</f>
        <v>Argelia</v>
      </c>
      <c r="F247" s="9" t="str">
        <f ca="1">+WORLDCUP!BD61</f>
        <v>Paraguay</v>
      </c>
      <c r="G247" s="9" t="str">
        <f ca="1">+WORLDCUP!BD58</f>
        <v>Sudáfrica</v>
      </c>
      <c r="H247" s="9" t="str">
        <f ca="1">+WORLDCUP!BD63</f>
        <v>Túnez</v>
      </c>
      <c r="I247" s="9" t="str">
        <f ca="1">+WORLDCUP!BD69</f>
        <v>Ghana</v>
      </c>
      <c r="J247" s="9" t="str">
        <f ca="1">+WORLDCUP!BD65</f>
        <v>Cabo Verde</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Cabo Verde</v>
      </c>
      <c r="D248" s="9" t="str">
        <f ca="1">+WORLDCUP!BD64</f>
        <v>Egipto</v>
      </c>
      <c r="E248" s="9" t="str">
        <f ca="1">+WORLDCUP!BD67</f>
        <v>Argelia</v>
      </c>
      <c r="F248" s="9" t="str">
        <f ca="1">+WORLDCUP!BD60</f>
        <v>Haití</v>
      </c>
      <c r="G248" s="9" t="str">
        <f ca="1">+WORLDCUP!BD58</f>
        <v>Sudáfrica</v>
      </c>
      <c r="H248" s="9" t="str">
        <f ca="1">+WORLDCUP!BD63</f>
        <v>Túnez</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Cabo Verde</v>
      </c>
      <c r="D249" s="9" t="str">
        <f ca="1">+WORLDCUP!BD64</f>
        <v>Egipto</v>
      </c>
      <c r="E249" s="9" t="str">
        <f ca="1">+WORLDCUP!BD63</f>
        <v>Túnez</v>
      </c>
      <c r="F249" s="9" t="str">
        <f ca="1">+WORLDCUP!BD60</f>
        <v>Haití</v>
      </c>
      <c r="G249" s="9" t="str">
        <f ca="1">+WORLDCUP!BD58</f>
        <v>Sudáfrica</v>
      </c>
      <c r="H249" s="9" t="str">
        <f ca="1">+WORLDCUP!BD61</f>
        <v>Paraguay</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Cabo Verde</v>
      </c>
      <c r="D250" s="9" t="str">
        <f ca="1">+WORLDCUP!BD64</f>
        <v>Egipto</v>
      </c>
      <c r="E250" s="9" t="str">
        <f ca="1">+WORLDCUP!BD63</f>
        <v>Túnez</v>
      </c>
      <c r="F250" s="9" t="str">
        <f ca="1">+WORLDCUP!BD60</f>
        <v>Haití</v>
      </c>
      <c r="G250" s="9" t="str">
        <f ca="1">+WORLDCUP!BD58</f>
        <v>Sudáfrica</v>
      </c>
      <c r="H250" s="9" t="str">
        <f ca="1">+WORLDCUP!BD61</f>
        <v>Paraguay</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Cabo Verde</v>
      </c>
      <c r="D251" s="9" t="str">
        <f ca="1">+WORLDCUP!BD64</f>
        <v>Egipto</v>
      </c>
      <c r="E251" s="9" t="str">
        <f ca="1">+WORLDCUP!BD67</f>
        <v>Argelia</v>
      </c>
      <c r="F251" s="9" t="str">
        <f ca="1">+WORLDCUP!BD60</f>
        <v>Haití</v>
      </c>
      <c r="G251" s="9" t="str">
        <f ca="1">+WORLDCUP!BD58</f>
        <v>Sudáfrica</v>
      </c>
      <c r="H251" s="9" t="str">
        <f ca="1">+WORLDCUP!BD63</f>
        <v>Túnez</v>
      </c>
      <c r="I251" s="9" t="str">
        <f ca="1">+WORLDCUP!BD61</f>
        <v>Paraguay</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Costa de Marfil</v>
      </c>
      <c r="D252" s="9" t="str">
        <f ca="1">+WORLDCUP!BD67</f>
        <v>Argelia</v>
      </c>
      <c r="E252" s="9" t="str">
        <f ca="1">+WORLDCUP!BD66</f>
        <v>Noruega</v>
      </c>
      <c r="F252" s="9" t="str">
        <f ca="1">+WORLDCUP!BD60</f>
        <v>Haití</v>
      </c>
      <c r="G252" s="9" t="str">
        <f ca="1">+WORLDCUP!BD58</f>
        <v>Sudáfrica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Cabo Verde</v>
      </c>
      <c r="D253" s="9" t="str">
        <f ca="1">+WORLDCUP!BD67</f>
        <v>Argelia</v>
      </c>
      <c r="E253" s="9" t="str">
        <f ca="1">+WORLDCUP!BD62</f>
        <v>Costa de Marfil</v>
      </c>
      <c r="F253" s="9" t="str">
        <f ca="1">+WORLDCUP!BD60</f>
        <v>Haití</v>
      </c>
      <c r="G253" s="9" t="str">
        <f ca="1">+WORLDCUP!BD58</f>
        <v>Sudáfrica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Cabo Verde</v>
      </c>
      <c r="D254" s="9" t="str">
        <f ca="1">+WORLDCUP!BD62</f>
        <v>Costa de Marfil</v>
      </c>
      <c r="E254" s="9" t="str">
        <f ca="1">+WORLDCUP!BD66</f>
        <v>Noruega</v>
      </c>
      <c r="F254" s="9" t="str">
        <f ca="1">+WORLDCUP!BD60</f>
        <v>Haití</v>
      </c>
      <c r="G254" s="9" t="str">
        <f ca="1">+WORLDCUP!BD58</f>
        <v>Sudáfrica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Cabo Verde</v>
      </c>
      <c r="D255" s="9" t="str">
        <f ca="1">+WORLDCUP!BD67</f>
        <v>Argelia</v>
      </c>
      <c r="E255" s="9" t="str">
        <f ca="1">+WORLDCUP!BD62</f>
        <v>Costa de Marfil</v>
      </c>
      <c r="F255" s="9" t="str">
        <f ca="1">+WORLDCUP!BD60</f>
        <v>Haití</v>
      </c>
      <c r="G255" s="9" t="str">
        <f ca="1">+WORLDCUP!BD58</f>
        <v>Sudáfrica</v>
      </c>
      <c r="H255" s="9" t="str">
        <f ca="1">+WORLDCUP!BD61</f>
        <v>Paraguay</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Cabo Verde</v>
      </c>
      <c r="D256" s="9" t="str">
        <f ca="1">+WORLDCUP!BD67</f>
        <v>Argelia</v>
      </c>
      <c r="E256" s="9" t="str">
        <f ca="1">+WORLDCUP!BD62</f>
        <v>Costa de Marfil</v>
      </c>
      <c r="F256" s="9" t="str">
        <f ca="1">+WORLDCUP!BD60</f>
        <v>Haití</v>
      </c>
      <c r="G256" s="9" t="str">
        <f ca="1">+WORLDCUP!BD58</f>
        <v>Sudáfrica</v>
      </c>
      <c r="H256" s="9" t="str">
        <f ca="1">+WORLDCUP!BD61</f>
        <v>Paraguay</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Costa de Marfil</v>
      </c>
      <c r="D257" s="9" t="str">
        <f ca="1">+WORLDCUP!BD64</f>
        <v>Egipto</v>
      </c>
      <c r="E257" s="9" t="str">
        <f ca="1">+WORLDCUP!BD67</f>
        <v>Argelia</v>
      </c>
      <c r="F257" s="9" t="str">
        <f ca="1">+WORLDCUP!BD60</f>
        <v>Haití</v>
      </c>
      <c r="G257" s="9" t="str">
        <f ca="1">+WORLDCUP!BD58</f>
        <v>Sudáfrica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Costa de Marfil</v>
      </c>
      <c r="D258" s="9" t="str">
        <f ca="1">+WORLDCUP!BD64</f>
        <v>Egipto</v>
      </c>
      <c r="E258" s="9" t="str">
        <f ca="1">+WORLDCUP!BD66</f>
        <v>Noruega</v>
      </c>
      <c r="F258" s="9" t="str">
        <f ca="1">+WORLDCUP!BD60</f>
        <v>Haití</v>
      </c>
      <c r="G258" s="9" t="str">
        <f ca="1">+WORLDCUP!BD58</f>
        <v>Sudáfrica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Costa de Marfil</v>
      </c>
      <c r="D259" s="9" t="str">
        <f ca="1">+WORLDCUP!BD64</f>
        <v>Egipto</v>
      </c>
      <c r="E259" s="9" t="str">
        <f ca="1">+WORLDCUP!BD67</f>
        <v>Argelia</v>
      </c>
      <c r="F259" s="9" t="str">
        <f ca="1">+WORLDCUP!BD60</f>
        <v>Haití</v>
      </c>
      <c r="G259" s="9" t="str">
        <f ca="1">+WORLDCUP!BD58</f>
        <v>Sudáfrica</v>
      </c>
      <c r="H259" s="9" t="str">
        <f ca="1">+WORLDCUP!BD61</f>
        <v>Paraguay</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Costa de Marfil</v>
      </c>
      <c r="D260" s="9" t="str">
        <f ca="1">+WORLDCUP!BD64</f>
        <v>Egipto</v>
      </c>
      <c r="E260" s="9" t="str">
        <f ca="1">+WORLDCUP!BD67</f>
        <v>Argelia</v>
      </c>
      <c r="F260" s="9" t="str">
        <f ca="1">+WORLDCUP!BD60</f>
        <v>Haití</v>
      </c>
      <c r="G260" s="9" t="str">
        <f ca="1">+WORLDCUP!BD58</f>
        <v>Sudáfrica</v>
      </c>
      <c r="H260" s="9" t="str">
        <f ca="1">+WORLDCUP!BD61</f>
        <v>Paraguay</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Cabo Verde</v>
      </c>
      <c r="D261" s="9" t="str">
        <f ca="1">+WORLDCUP!BD64</f>
        <v>Egipto</v>
      </c>
      <c r="E261" s="9" t="str">
        <f ca="1">+WORLDCUP!BD62</f>
        <v>Costa de Marfil</v>
      </c>
      <c r="F261" s="9" t="str">
        <f ca="1">+WORLDCUP!BD60</f>
        <v>Haití</v>
      </c>
      <c r="G261" s="9" t="str">
        <f ca="1">+WORLDCUP!BD58</f>
        <v>Sudáfrica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Cabo Verde</v>
      </c>
      <c r="D262" s="9" t="str">
        <f ca="1">+WORLDCUP!BD64</f>
        <v>Egipto</v>
      </c>
      <c r="E262" s="9" t="str">
        <f ca="1">+WORLDCUP!BD67</f>
        <v>Argelia</v>
      </c>
      <c r="F262" s="9" t="str">
        <f ca="1">+WORLDCUP!BD60</f>
        <v>Haití</v>
      </c>
      <c r="G262" s="9" t="str">
        <f ca="1">+WORLDCUP!BD58</f>
        <v>Sudáfrica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Cabo Verde</v>
      </c>
      <c r="D263" s="9" t="str">
        <f ca="1">+WORLDCUP!BD64</f>
        <v>Egipto</v>
      </c>
      <c r="E263" s="9" t="str">
        <f ca="1">+WORLDCUP!BD67</f>
        <v>Argelia</v>
      </c>
      <c r="F263" s="9" t="str">
        <f ca="1">+WORLDCUP!BD60</f>
        <v>Haití</v>
      </c>
      <c r="G263" s="9" t="str">
        <f ca="1">+WORLDCUP!BD58</f>
        <v>Sudáfrica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Cabo Verde</v>
      </c>
      <c r="D264" s="9" t="str">
        <f ca="1">+WORLDCUP!BD64</f>
        <v>Egipto</v>
      </c>
      <c r="E264" s="9" t="str">
        <f ca="1">+WORLDCUP!BD62</f>
        <v>Costa de Marfil</v>
      </c>
      <c r="F264" s="9" t="str">
        <f ca="1">+WORLDCUP!BD60</f>
        <v>Haití</v>
      </c>
      <c r="G264" s="9" t="str">
        <f ca="1">+WORLDCUP!BD58</f>
        <v>Sudáfrica</v>
      </c>
      <c r="H264" s="9" t="str">
        <f ca="1">+WORLDCUP!BD61</f>
        <v>Paraguay</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Cabo Verde</v>
      </c>
      <c r="D265" s="9" t="str">
        <f ca="1">+WORLDCUP!BD64</f>
        <v>Egipto</v>
      </c>
      <c r="E265" s="9" t="str">
        <f ca="1">+WORLDCUP!BD62</f>
        <v>Costa de Marfil</v>
      </c>
      <c r="F265" s="9" t="str">
        <f ca="1">+WORLDCUP!BD60</f>
        <v>Haití</v>
      </c>
      <c r="G265" s="9" t="str">
        <f ca="1">+WORLDCUP!BD58</f>
        <v>Sudáfrica</v>
      </c>
      <c r="H265" s="9" t="str">
        <f ca="1">+WORLDCUP!BD61</f>
        <v>Paraguay</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Cabo Verde</v>
      </c>
      <c r="D266" s="9" t="str">
        <f ca="1">+WORLDCUP!BD64</f>
        <v>Egipto</v>
      </c>
      <c r="E266" s="9" t="str">
        <f ca="1">+WORLDCUP!BD67</f>
        <v>Argelia</v>
      </c>
      <c r="F266" s="9" t="str">
        <f ca="1">+WORLDCUP!BD60</f>
        <v>Haití</v>
      </c>
      <c r="G266" s="9" t="str">
        <f ca="1">+WORLDCUP!BD58</f>
        <v>Sudáfrica</v>
      </c>
      <c r="H266" s="9" t="str">
        <f ca="1">+WORLDCUP!BD61</f>
        <v>Paraguay</v>
      </c>
      <c r="I266" s="9" t="str">
        <f ca="1">+WORLDCUP!BD62</f>
        <v>Costa de Marfil</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Haití</v>
      </c>
      <c r="D267" s="9" t="str">
        <f ca="1">+WORLDCUP!BD67</f>
        <v>Argelia</v>
      </c>
      <c r="E267" s="9" t="str">
        <f ca="1">+WORLDCUP!BD62</f>
        <v>Costa de Marfil</v>
      </c>
      <c r="F267" s="9" t="str">
        <f ca="1">+WORLDCUP!BD61</f>
        <v>Paraguay</v>
      </c>
      <c r="G267" s="9" t="str">
        <f ca="1">+WORLDCUP!BD58</f>
        <v>Sudáfrica</v>
      </c>
      <c r="H267" s="9" t="str">
        <f ca="1">+WORLDCUP!BD63</f>
        <v>Túnez</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Haití</v>
      </c>
      <c r="D268" s="9" t="str">
        <f ca="1">+WORLDCUP!BD62</f>
        <v>Costa de Marfil</v>
      </c>
      <c r="E268" s="9" t="str">
        <f ca="1">+WORLDCUP!BD66</f>
        <v>Noruega</v>
      </c>
      <c r="F268" s="9" t="str">
        <f ca="1">+WORLDCUP!BD61</f>
        <v>Paraguay</v>
      </c>
      <c r="G268" s="9" t="str">
        <f ca="1">+WORLDCUP!BD58</f>
        <v>Sudáfrica</v>
      </c>
      <c r="H268" s="9" t="str">
        <f ca="1">+WORLDCUP!BD63</f>
        <v>Túnez</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Haití</v>
      </c>
      <c r="D269" s="9" t="str">
        <f ca="1">+WORLDCUP!BD67</f>
        <v>Argelia</v>
      </c>
      <c r="E269" s="9" t="str">
        <f ca="1">+WORLDCUP!BD62</f>
        <v>Costa de Marfil</v>
      </c>
      <c r="F269" s="9" t="str">
        <f ca="1">+WORLDCUP!BD61</f>
        <v>Paraguay</v>
      </c>
      <c r="G269" s="9" t="str">
        <f ca="1">+WORLDCUP!BD58</f>
        <v>Sudáfrica</v>
      </c>
      <c r="H269" s="9" t="str">
        <f ca="1">+WORLDCUP!BD63</f>
        <v>Túnez</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Haití</v>
      </c>
      <c r="D270" s="9" t="str">
        <f ca="1">+WORLDCUP!BD67</f>
        <v>Argelia</v>
      </c>
      <c r="E270" s="9" t="str">
        <f ca="1">+WORLDCUP!BD62</f>
        <v>Costa de Marfil</v>
      </c>
      <c r="F270" s="9" t="str">
        <f ca="1">+WORLDCUP!BD61</f>
        <v>Paraguay</v>
      </c>
      <c r="G270" s="9" t="str">
        <f ca="1">+WORLDCUP!BD58</f>
        <v>Sudáfrica</v>
      </c>
      <c r="H270" s="9" t="str">
        <f ca="1">+WORLDCUP!BD63</f>
        <v>Túnez</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Cabo Verde</v>
      </c>
      <c r="D271" s="9" t="str">
        <f ca="1">+WORLDCUP!BD62</f>
        <v>Costa de Marfil</v>
      </c>
      <c r="E271" s="9" t="str">
        <f ca="1">+WORLDCUP!BD63</f>
        <v>Túnez</v>
      </c>
      <c r="F271" s="9" t="str">
        <f ca="1">+WORLDCUP!BD60</f>
        <v>Haití</v>
      </c>
      <c r="G271" s="9" t="str">
        <f ca="1">+WORLDCUP!BD58</f>
        <v>Sudáfrica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Cabo Verde</v>
      </c>
      <c r="D272" s="9" t="str">
        <f ca="1">+WORLDCUP!BD67</f>
        <v>Argelia</v>
      </c>
      <c r="E272" s="9" t="str">
        <f ca="1">+WORLDCUP!BD63</f>
        <v>Túnez</v>
      </c>
      <c r="F272" s="9" t="str">
        <f ca="1">+WORLDCUP!BD60</f>
        <v>Haití</v>
      </c>
      <c r="G272" s="9" t="str">
        <f ca="1">+WORLDCUP!BD58</f>
        <v>Sudáfrica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Cabo Verde</v>
      </c>
      <c r="D273" s="9" t="str">
        <f ca="1">+WORLDCUP!BD67</f>
        <v>Argelia</v>
      </c>
      <c r="E273" s="9" t="str">
        <f ca="1">+WORLDCUP!BD62</f>
        <v>Costa de Marfil</v>
      </c>
      <c r="F273" s="9" t="str">
        <f ca="1">+WORLDCUP!BD60</f>
        <v>Haití</v>
      </c>
      <c r="G273" s="9" t="str">
        <f ca="1">+WORLDCUP!BD58</f>
        <v>Sudáfrica</v>
      </c>
      <c r="H273" s="9" t="str">
        <f ca="1">+WORLDCUP!BD63</f>
        <v>Túnez</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Cabo Verde</v>
      </c>
      <c r="D274" s="9" t="str">
        <f ca="1">+WORLDCUP!BD62</f>
        <v>Costa de Marfil</v>
      </c>
      <c r="E274" s="9" t="str">
        <f ca="1">+WORLDCUP!BD63</f>
        <v>Túnez</v>
      </c>
      <c r="F274" s="9" t="str">
        <f ca="1">+WORLDCUP!BD60</f>
        <v>Haití</v>
      </c>
      <c r="G274" s="9" t="str">
        <f ca="1">+WORLDCUP!BD58</f>
        <v>Sudáfrica</v>
      </c>
      <c r="H274" s="9" t="str">
        <f ca="1">+WORLDCUP!BD61</f>
        <v>Paraguay</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Cabo Verde</v>
      </c>
      <c r="D275" s="9" t="str">
        <f ca="1">+WORLDCUP!BD62</f>
        <v>Costa de Marfil</v>
      </c>
      <c r="E275" s="9" t="str">
        <f ca="1">+WORLDCUP!BD63</f>
        <v>Túnez</v>
      </c>
      <c r="F275" s="9" t="str">
        <f ca="1">+WORLDCUP!BD60</f>
        <v>Haití</v>
      </c>
      <c r="G275" s="9" t="str">
        <f ca="1">+WORLDCUP!BD58</f>
        <v>Sudáfrica</v>
      </c>
      <c r="H275" s="9" t="str">
        <f ca="1">+WORLDCUP!BD61</f>
        <v>Paraguay</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Cabo Verde</v>
      </c>
      <c r="D276" s="9" t="str">
        <f ca="1">+WORLDCUP!BD67</f>
        <v>Argelia</v>
      </c>
      <c r="E276" s="9" t="str">
        <f ca="1">+WORLDCUP!BD62</f>
        <v>Costa de Marfil</v>
      </c>
      <c r="F276" s="9" t="str">
        <f ca="1">+WORLDCUP!BD60</f>
        <v>Haití</v>
      </c>
      <c r="G276" s="9" t="str">
        <f ca="1">+WORLDCUP!BD58</f>
        <v>Sudáfrica</v>
      </c>
      <c r="H276" s="9" t="str">
        <f ca="1">+WORLDCUP!BD63</f>
        <v>Túnez</v>
      </c>
      <c r="I276" s="9" t="str">
        <f ca="1">+WORLDCUP!BD61</f>
        <v>Paraguay</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Haití</v>
      </c>
      <c r="D277" s="9" t="str">
        <f ca="1">+WORLDCUP!BD64</f>
        <v>Egipto</v>
      </c>
      <c r="E277" s="9" t="str">
        <f ca="1">+WORLDCUP!BD62</f>
        <v>Costa de Marfil</v>
      </c>
      <c r="F277" s="9" t="str">
        <f ca="1">+WORLDCUP!BD61</f>
        <v>Paraguay</v>
      </c>
      <c r="G277" s="9" t="str">
        <f ca="1">+WORLDCUP!BD58</f>
        <v>Sudáfrica</v>
      </c>
      <c r="H277" s="9" t="str">
        <f ca="1">+WORLDCUP!BD63</f>
        <v>Túnez</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Haití</v>
      </c>
      <c r="D278" s="9" t="str">
        <f ca="1">+WORLDCUP!BD64</f>
        <v>Egipto</v>
      </c>
      <c r="E278" s="9" t="str">
        <f ca="1">+WORLDCUP!BD67</f>
        <v>Argelia</v>
      </c>
      <c r="F278" s="9" t="str">
        <f ca="1">+WORLDCUP!BD61</f>
        <v>Paraguay</v>
      </c>
      <c r="G278" s="9" t="str">
        <f ca="1">+WORLDCUP!BD58</f>
        <v>Sudáfrica</v>
      </c>
      <c r="H278" s="9" t="str">
        <f ca="1">+WORLDCUP!BD63</f>
        <v>Túnez</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Haití</v>
      </c>
      <c r="D279" s="9" t="str">
        <f ca="1">+WORLDCUP!BD64</f>
        <v>Egipto</v>
      </c>
      <c r="E279" s="9" t="str">
        <f ca="1">+WORLDCUP!BD67</f>
        <v>Argelia</v>
      </c>
      <c r="F279" s="9" t="str">
        <f ca="1">+WORLDCUP!BD61</f>
        <v>Paraguay</v>
      </c>
      <c r="G279" s="9" t="str">
        <f ca="1">+WORLDCUP!BD58</f>
        <v>Sudáfrica</v>
      </c>
      <c r="H279" s="9" t="str">
        <f ca="1">+WORLDCUP!BD63</f>
        <v>Túnez</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Haití</v>
      </c>
      <c r="D280" s="9" t="str">
        <f ca="1">+WORLDCUP!BD64</f>
        <v>Egipto</v>
      </c>
      <c r="E280" s="9" t="str">
        <f ca="1">+WORLDCUP!BD62</f>
        <v>Costa de Marfil</v>
      </c>
      <c r="F280" s="9" t="str">
        <f ca="1">+WORLDCUP!BD61</f>
        <v>Paraguay</v>
      </c>
      <c r="G280" s="9" t="str">
        <f ca="1">+WORLDCUP!BD58</f>
        <v>Sudáfrica</v>
      </c>
      <c r="H280" s="9" t="str">
        <f ca="1">+WORLDCUP!BD63</f>
        <v>Túnez</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Haití</v>
      </c>
      <c r="D281" s="9" t="str">
        <f ca="1">+WORLDCUP!BD64</f>
        <v>Egipto</v>
      </c>
      <c r="E281" s="9" t="str">
        <f ca="1">+WORLDCUP!BD62</f>
        <v>Costa de Marfil</v>
      </c>
      <c r="F281" s="9" t="str">
        <f ca="1">+WORLDCUP!BD61</f>
        <v>Paraguay</v>
      </c>
      <c r="G281" s="9" t="str">
        <f ca="1">+WORLDCUP!BD58</f>
        <v>Sudáfrica</v>
      </c>
      <c r="H281" s="9" t="str">
        <f ca="1">+WORLDCUP!BD63</f>
        <v>Túnez</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Haití</v>
      </c>
      <c r="D282" s="9" t="str">
        <f ca="1">+WORLDCUP!BD64</f>
        <v>Egipto</v>
      </c>
      <c r="E282" s="9" t="str">
        <f ca="1">+WORLDCUP!BD67</f>
        <v>Argelia</v>
      </c>
      <c r="F282" s="9" t="str">
        <f ca="1">+WORLDCUP!BD61</f>
        <v>Paraguay</v>
      </c>
      <c r="G282" s="9" t="str">
        <f ca="1">+WORLDCUP!BD58</f>
        <v>Sudáfrica</v>
      </c>
      <c r="H282" s="9" t="str">
        <f ca="1">+WORLDCUP!BD63</f>
        <v>Túnez</v>
      </c>
      <c r="I282" s="9" t="str">
        <f ca="1">+WORLDCUP!BD62</f>
        <v>Costa de Marfil</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Cabo Verde</v>
      </c>
      <c r="D283" s="9" t="str">
        <f ca="1">+WORLDCUP!BD64</f>
        <v>Egipto</v>
      </c>
      <c r="E283" s="9" t="str">
        <f ca="1">+WORLDCUP!BD63</f>
        <v>Túnez</v>
      </c>
      <c r="F283" s="9" t="str">
        <f ca="1">+WORLDCUP!BD60</f>
        <v>Haití</v>
      </c>
      <c r="G283" s="9" t="str">
        <f ca="1">+WORLDCUP!BD58</f>
        <v>Sudáfrica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Cabo Verde</v>
      </c>
      <c r="D284" s="9" t="str">
        <f ca="1">+WORLDCUP!BD64</f>
        <v>Egipto</v>
      </c>
      <c r="E284" s="9" t="str">
        <f ca="1">+WORLDCUP!BD62</f>
        <v>Costa de Marfil</v>
      </c>
      <c r="F284" s="9" t="str">
        <f ca="1">+WORLDCUP!BD60</f>
        <v>Haití</v>
      </c>
      <c r="G284" s="9" t="str">
        <f ca="1">+WORLDCUP!BD58</f>
        <v>Sudáfrica</v>
      </c>
      <c r="H284" s="9" t="str">
        <f ca="1">+WORLDCUP!BD63</f>
        <v>Túnez</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Cabo Verde</v>
      </c>
      <c r="D285" s="9" t="str">
        <f ca="1">+WORLDCUP!BD64</f>
        <v>Egipto</v>
      </c>
      <c r="E285" s="9" t="str">
        <f ca="1">+WORLDCUP!BD67</f>
        <v>Argelia</v>
      </c>
      <c r="F285" s="9" t="str">
        <f ca="1">+WORLDCUP!BD60</f>
        <v>Haití</v>
      </c>
      <c r="G285" s="9" t="str">
        <f ca="1">+WORLDCUP!BD58</f>
        <v>Sudáfrica</v>
      </c>
      <c r="H285" s="9" t="str">
        <f ca="1">+WORLDCUP!BD63</f>
        <v>Túnez</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Cabo Verde</v>
      </c>
      <c r="D286" s="9" t="str">
        <f ca="1">+WORLDCUP!BD64</f>
        <v>Egipto</v>
      </c>
      <c r="E286" s="9" t="str">
        <f ca="1">+WORLDCUP!BD62</f>
        <v>Costa de Marfil</v>
      </c>
      <c r="F286" s="9" t="str">
        <f ca="1">+WORLDCUP!BD60</f>
        <v>Haití</v>
      </c>
      <c r="G286" s="9" t="str">
        <f ca="1">+WORLDCUP!BD58</f>
        <v>Sudáfrica</v>
      </c>
      <c r="H286" s="9" t="str">
        <f ca="1">+WORLDCUP!BD63</f>
        <v>Túnez</v>
      </c>
      <c r="I286" s="9" t="str">
        <f ca="1">+WORLDCUP!BD61</f>
        <v>Paraguay</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Cabo Verde</v>
      </c>
      <c r="D287" s="9" t="str">
        <f ca="1">+WORLDCUP!BD67</f>
        <v>Argelia</v>
      </c>
      <c r="E287" s="9" t="str">
        <f ca="1">+WORLDCUP!BD59</f>
        <v>Canadá</v>
      </c>
      <c r="F287" s="9" t="str">
        <f ca="1">+WORLDCUP!BD58</f>
        <v>Sudáfrica</v>
      </c>
      <c r="G287" s="9" t="str">
        <f ca="1">+WORLDCUP!BD66</f>
        <v>Noruega</v>
      </c>
      <c r="H287" s="9" t="str">
        <f ca="1">+WORLDCUP!BD64</f>
        <v>Egipto</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Cabo Verde</v>
      </c>
      <c r="D288" s="9" t="str">
        <f ca="1">+WORLDCUP!BD67</f>
        <v>Argelia</v>
      </c>
      <c r="E288" s="9" t="str">
        <f ca="1">+WORLDCUP!BD59</f>
        <v>Canadá</v>
      </c>
      <c r="F288" s="9" t="str">
        <f ca="1">+WORLDCUP!BD58</f>
        <v>Sudáfrica</v>
      </c>
      <c r="G288" s="9" t="str">
        <f ca="1">+WORLDCUP!BD66</f>
        <v>Noruega</v>
      </c>
      <c r="H288" s="9" t="str">
        <f ca="1">+WORLDCUP!BD63</f>
        <v>Túnez</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Noruega</v>
      </c>
      <c r="D289" s="9" t="str">
        <f ca="1">+WORLDCUP!BD67</f>
        <v>Argelia</v>
      </c>
      <c r="E289" s="9" t="str">
        <f ca="1">+WORLDCUP!BD59</f>
        <v>Canadá</v>
      </c>
      <c r="F289" s="9" t="str">
        <f ca="1">+WORLDCUP!BD63</f>
        <v>Túnez</v>
      </c>
      <c r="G289" s="9" t="str">
        <f ca="1">+WORLDCUP!BD58</f>
        <v>Sudáfrica</v>
      </c>
      <c r="H289" s="9" t="str">
        <f ca="1">+WORLDCUP!BD64</f>
        <v>Egipto</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Cabo Verde</v>
      </c>
      <c r="D290" s="9" t="str">
        <f ca="1">+WORLDCUP!BD67</f>
        <v>Argelia</v>
      </c>
      <c r="E290" s="9" t="str">
        <f ca="1">+WORLDCUP!BD59</f>
        <v>Canadá</v>
      </c>
      <c r="F290" s="9" t="str">
        <f ca="1">+WORLDCUP!BD63</f>
        <v>Túnez</v>
      </c>
      <c r="G290" s="9" t="str">
        <f ca="1">+WORLDCUP!BD58</f>
        <v>Sudáfrica</v>
      </c>
      <c r="H290" s="9" t="str">
        <f ca="1">+WORLDCUP!BD64</f>
        <v>Egipto</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Cabo Verde</v>
      </c>
      <c r="D291" s="9" t="str">
        <f ca="1">+WORLDCUP!BD64</f>
        <v>Egipto</v>
      </c>
      <c r="E291" s="9" t="str">
        <f ca="1">+WORLDCUP!BD59</f>
        <v>Canadá</v>
      </c>
      <c r="F291" s="9" t="str">
        <f ca="1">+WORLDCUP!BD58</f>
        <v>Sudáfrica</v>
      </c>
      <c r="G291" s="9" t="str">
        <f ca="1">+WORLDCUP!BD66</f>
        <v>Noruega</v>
      </c>
      <c r="H291" s="9" t="str">
        <f ca="1">+WORLDCUP!BD63</f>
        <v>Túnez</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Cabo Verde</v>
      </c>
      <c r="D292" s="9" t="str">
        <f ca="1">+WORLDCUP!BD67</f>
        <v>Argelia</v>
      </c>
      <c r="E292" s="9" t="str">
        <f ca="1">+WORLDCUP!BD59</f>
        <v>Canadá</v>
      </c>
      <c r="F292" s="9" t="str">
        <f ca="1">+WORLDCUP!BD63</f>
        <v>Túnez</v>
      </c>
      <c r="G292" s="9" t="str">
        <f ca="1">+WORLDCUP!BD58</f>
        <v>Sudáfrica</v>
      </c>
      <c r="H292" s="9" t="str">
        <f ca="1">+WORLDCUP!BD64</f>
        <v>Egipto</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Cabo Verde</v>
      </c>
      <c r="D293" s="9" t="str">
        <f ca="1">+WORLDCUP!BD67</f>
        <v>Argelia</v>
      </c>
      <c r="E293" s="9" t="str">
        <f ca="1">+WORLDCUP!BD59</f>
        <v>Canadá</v>
      </c>
      <c r="F293" s="9" t="str">
        <f ca="1">+WORLDCUP!BD63</f>
        <v>Túnez</v>
      </c>
      <c r="G293" s="9" t="str">
        <f ca="1">+WORLDCUP!BD58</f>
        <v>Sudáfrica</v>
      </c>
      <c r="H293" s="9" t="str">
        <f ca="1">+WORLDCUP!BD64</f>
        <v>Egipto</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Costa de Marfil</v>
      </c>
      <c r="D294" s="9" t="str">
        <f ca="1">+WORLDCUP!BD67</f>
        <v>Argelia</v>
      </c>
      <c r="E294" s="9" t="str">
        <f ca="1">+WORLDCUP!BD59</f>
        <v>Canadá</v>
      </c>
      <c r="F294" s="9" t="str">
        <f ca="1">+WORLDCUP!BD58</f>
        <v>Sudáfrica</v>
      </c>
      <c r="G294" s="9" t="str">
        <f ca="1">+WORLDCUP!BD66</f>
        <v>Noruega</v>
      </c>
      <c r="H294" s="9" t="str">
        <f ca="1">+WORLDCUP!BD65</f>
        <v>Cabo Verde</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Costa de Marfil</v>
      </c>
      <c r="D295" s="9" t="str">
        <f ca="1">+WORLDCUP!BD67</f>
        <v>Argelia</v>
      </c>
      <c r="E295" s="9" t="str">
        <f ca="1">+WORLDCUP!BD59</f>
        <v>Canadá</v>
      </c>
      <c r="F295" s="9" t="str">
        <f ca="1">+WORLDCUP!BD58</f>
        <v>Sudáfrica</v>
      </c>
      <c r="G295" s="9" t="str">
        <f ca="1">+WORLDCUP!BD66</f>
        <v>Noruega</v>
      </c>
      <c r="H295" s="9" t="str">
        <f ca="1">+WORLDCUP!BD64</f>
        <v>Egipto</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Costa de Marfil</v>
      </c>
      <c r="D296" s="9" t="str">
        <f ca="1">+WORLDCUP!BD67</f>
        <v>Argelia</v>
      </c>
      <c r="E296" s="9" t="str">
        <f ca="1">+WORLDCUP!BD59</f>
        <v>Canadá</v>
      </c>
      <c r="F296" s="9" t="str">
        <f ca="1">+WORLDCUP!BD58</f>
        <v>Sudáfrica</v>
      </c>
      <c r="G296" s="9" t="str">
        <f ca="1">+WORLDCUP!BD65</f>
        <v>Cabo Verde</v>
      </c>
      <c r="H296" s="9" t="str">
        <f ca="1">+WORLDCUP!BD64</f>
        <v>Egipto</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Costa de Marfil</v>
      </c>
      <c r="D297" s="9" t="str">
        <f ca="1">+WORLDCUP!BD64</f>
        <v>Egipto</v>
      </c>
      <c r="E297" s="9" t="str">
        <f ca="1">+WORLDCUP!BD59</f>
        <v>Canadá</v>
      </c>
      <c r="F297" s="9" t="str">
        <f ca="1">+WORLDCUP!BD58</f>
        <v>Sudáfrica</v>
      </c>
      <c r="G297" s="9" t="str">
        <f ca="1">+WORLDCUP!BD66</f>
        <v>Noruega</v>
      </c>
      <c r="H297" s="9" t="str">
        <f ca="1">+WORLDCUP!BD65</f>
        <v>Cabo Verde</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Costa de Marfil</v>
      </c>
      <c r="D298" s="9" t="str">
        <f ca="1">+WORLDCUP!BD67</f>
        <v>Argelia</v>
      </c>
      <c r="E298" s="9" t="str">
        <f ca="1">+WORLDCUP!BD59</f>
        <v>Canadá</v>
      </c>
      <c r="F298" s="9" t="str">
        <f ca="1">+WORLDCUP!BD58</f>
        <v>Sudáfrica</v>
      </c>
      <c r="G298" s="9" t="str">
        <f ca="1">+WORLDCUP!BD65</f>
        <v>Cabo Verde</v>
      </c>
      <c r="H298" s="9" t="str">
        <f ca="1">+WORLDCUP!BD64</f>
        <v>Egipto</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Costa de Marfil</v>
      </c>
      <c r="D299" s="9" t="str">
        <f ca="1">+WORLDCUP!BD67</f>
        <v>Argelia</v>
      </c>
      <c r="E299" s="9" t="str">
        <f ca="1">+WORLDCUP!BD59</f>
        <v>Canadá</v>
      </c>
      <c r="F299" s="9" t="str">
        <f ca="1">+WORLDCUP!BD58</f>
        <v>Sudáfrica</v>
      </c>
      <c r="G299" s="9" t="str">
        <f ca="1">+WORLDCUP!BD65</f>
        <v>Cabo Verde</v>
      </c>
      <c r="H299" s="9" t="str">
        <f ca="1">+WORLDCUP!BD64</f>
        <v>Egipto</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Costa de Marfil</v>
      </c>
      <c r="D300" s="9" t="str">
        <f ca="1">+WORLDCUP!BD67</f>
        <v>Argelia</v>
      </c>
      <c r="E300" s="9" t="str">
        <f ca="1">+WORLDCUP!BD59</f>
        <v>Canadá</v>
      </c>
      <c r="F300" s="9" t="str">
        <f ca="1">+WORLDCUP!BD58</f>
        <v>Sudáfrica</v>
      </c>
      <c r="G300" s="9" t="str">
        <f ca="1">+WORLDCUP!BD66</f>
        <v>Noruega</v>
      </c>
      <c r="H300" s="9" t="str">
        <f ca="1">+WORLDCUP!BD63</f>
        <v>Túnez</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Costa de Marfil</v>
      </c>
      <c r="D301" s="9" t="str">
        <f ca="1">+WORLDCUP!BD67</f>
        <v>Argelia</v>
      </c>
      <c r="E301" s="9" t="str">
        <f ca="1">+WORLDCUP!BD59</f>
        <v>Canadá</v>
      </c>
      <c r="F301" s="9" t="str">
        <f ca="1">+WORLDCUP!BD63</f>
        <v>Túnez</v>
      </c>
      <c r="G301" s="9" t="str">
        <f ca="1">+WORLDCUP!BD58</f>
        <v>Sudáfrica</v>
      </c>
      <c r="H301" s="9" t="str">
        <f ca="1">+WORLDCUP!BD65</f>
        <v>Cabo Verde</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Costa de Marfil</v>
      </c>
      <c r="D302" s="9" t="str">
        <f ca="1">+WORLDCUP!BD66</f>
        <v>Noruega</v>
      </c>
      <c r="E302" s="9" t="str">
        <f ca="1">+WORLDCUP!BD59</f>
        <v>Canadá</v>
      </c>
      <c r="F302" s="9" t="str">
        <f ca="1">+WORLDCUP!BD63</f>
        <v>Túnez</v>
      </c>
      <c r="G302" s="9" t="str">
        <f ca="1">+WORLDCUP!BD58</f>
        <v>Sudáfrica</v>
      </c>
      <c r="H302" s="9" t="str">
        <f ca="1">+WORLDCUP!BD65</f>
        <v>Cabo Verde</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Costa de Marfil</v>
      </c>
      <c r="D303" s="9" t="str">
        <f ca="1">+WORLDCUP!BD67</f>
        <v>Argelia</v>
      </c>
      <c r="E303" s="9" t="str">
        <f ca="1">+WORLDCUP!BD59</f>
        <v>Canadá</v>
      </c>
      <c r="F303" s="9" t="str">
        <f ca="1">+WORLDCUP!BD63</f>
        <v>Túnez</v>
      </c>
      <c r="G303" s="9" t="str">
        <f ca="1">+WORLDCUP!BD58</f>
        <v>Sudáfrica</v>
      </c>
      <c r="H303" s="9" t="str">
        <f ca="1">+WORLDCUP!BD65</f>
        <v>Cabo Verde</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Costa de Marfil</v>
      </c>
      <c r="D304" s="9" t="str">
        <f ca="1">+WORLDCUP!BD67</f>
        <v>Argelia</v>
      </c>
      <c r="E304" s="9" t="str">
        <f ca="1">+WORLDCUP!BD59</f>
        <v>Canadá</v>
      </c>
      <c r="F304" s="9" t="str">
        <f ca="1">+WORLDCUP!BD63</f>
        <v>Túnez</v>
      </c>
      <c r="G304" s="9" t="str">
        <f ca="1">+WORLDCUP!BD58</f>
        <v>Sudáfrica</v>
      </c>
      <c r="H304" s="9" t="str">
        <f ca="1">+WORLDCUP!BD65</f>
        <v>Cabo Verde</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Costa de Marfil</v>
      </c>
      <c r="D305" s="9" t="str">
        <f ca="1">+WORLDCUP!BD67</f>
        <v>Argelia</v>
      </c>
      <c r="E305" s="9" t="str">
        <f ca="1">+WORLDCUP!BD59</f>
        <v>Canadá</v>
      </c>
      <c r="F305" s="9" t="str">
        <f ca="1">+WORLDCUP!BD63</f>
        <v>Túnez</v>
      </c>
      <c r="G305" s="9" t="str">
        <f ca="1">+WORLDCUP!BD58</f>
        <v>Sudáfrica</v>
      </c>
      <c r="H305" s="9" t="str">
        <f ca="1">+WORLDCUP!BD64</f>
        <v>Egipto</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Costa de Marfil</v>
      </c>
      <c r="D306" s="9" t="str">
        <f ca="1">+WORLDCUP!BD64</f>
        <v>Egipto</v>
      </c>
      <c r="E306" s="9" t="str">
        <f ca="1">+WORLDCUP!BD59</f>
        <v>Canadá</v>
      </c>
      <c r="F306" s="9" t="str">
        <f ca="1">+WORLDCUP!BD58</f>
        <v>Sudáfrica</v>
      </c>
      <c r="G306" s="9" t="str">
        <f ca="1">+WORLDCUP!BD66</f>
        <v>Noruega</v>
      </c>
      <c r="H306" s="9" t="str">
        <f ca="1">+WORLDCUP!BD63</f>
        <v>Túnez</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Costa de Marfil</v>
      </c>
      <c r="D307" s="9" t="str">
        <f ca="1">+WORLDCUP!BD67</f>
        <v>Argelia</v>
      </c>
      <c r="E307" s="9" t="str">
        <f ca="1">+WORLDCUP!BD59</f>
        <v>Canadá</v>
      </c>
      <c r="F307" s="9" t="str">
        <f ca="1">+WORLDCUP!BD63</f>
        <v>Túnez</v>
      </c>
      <c r="G307" s="9" t="str">
        <f ca="1">+WORLDCUP!BD58</f>
        <v>Sudáfrica</v>
      </c>
      <c r="H307" s="9" t="str">
        <f ca="1">+WORLDCUP!BD64</f>
        <v>Egipto</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Costa de Marfil</v>
      </c>
      <c r="D308" s="9" t="str">
        <f ca="1">+WORLDCUP!BD67</f>
        <v>Argelia</v>
      </c>
      <c r="E308" s="9" t="str">
        <f ca="1">+WORLDCUP!BD59</f>
        <v>Canadá</v>
      </c>
      <c r="F308" s="9" t="str">
        <f ca="1">+WORLDCUP!BD63</f>
        <v>Túnez</v>
      </c>
      <c r="G308" s="9" t="str">
        <f ca="1">+WORLDCUP!BD58</f>
        <v>Sudáfrica</v>
      </c>
      <c r="H308" s="9" t="str">
        <f ca="1">+WORLDCUP!BD64</f>
        <v>Egipto</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Costa de Marfil</v>
      </c>
      <c r="D309" s="9" t="str">
        <f ca="1">+WORLDCUP!BD64</f>
        <v>Egipto</v>
      </c>
      <c r="E309" s="9" t="str">
        <f ca="1">+WORLDCUP!BD59</f>
        <v>Canadá</v>
      </c>
      <c r="F309" s="9" t="str">
        <f ca="1">+WORLDCUP!BD63</f>
        <v>Túnez</v>
      </c>
      <c r="G309" s="9" t="str">
        <f ca="1">+WORLDCUP!BD58</f>
        <v>Sudáfrica</v>
      </c>
      <c r="H309" s="9" t="str">
        <f ca="1">+WORLDCUP!BD65</f>
        <v>Cabo Verde</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Cabo Verde</v>
      </c>
      <c r="D310" s="9" t="str">
        <f ca="1">+WORLDCUP!BD67</f>
        <v>Argelia</v>
      </c>
      <c r="E310" s="9" t="str">
        <f ca="1">+WORLDCUP!BD59</f>
        <v>Canadá</v>
      </c>
      <c r="F310" s="9" t="str">
        <f ca="1">+WORLDCUP!BD63</f>
        <v>Túnez</v>
      </c>
      <c r="G310" s="9" t="str">
        <f ca="1">+WORLDCUP!BD58</f>
        <v>Sudáfrica</v>
      </c>
      <c r="H310" s="9" t="str">
        <f ca="1">+WORLDCUP!BD64</f>
        <v>Egipto</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Cabo Verde</v>
      </c>
      <c r="D311" s="9" t="str">
        <f ca="1">+WORLDCUP!BD67</f>
        <v>Argelia</v>
      </c>
      <c r="E311" s="9" t="str">
        <f ca="1">+WORLDCUP!BD59</f>
        <v>Canadá</v>
      </c>
      <c r="F311" s="9" t="str">
        <f ca="1">+WORLDCUP!BD63</f>
        <v>Túnez</v>
      </c>
      <c r="G311" s="9" t="str">
        <f ca="1">+WORLDCUP!BD58</f>
        <v>Sudáfrica</v>
      </c>
      <c r="H311" s="9" t="str">
        <f ca="1">+WORLDCUP!BD64</f>
        <v>Egipto</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Costa de Marfil</v>
      </c>
      <c r="D312" s="9" t="str">
        <f ca="1">+WORLDCUP!BD64</f>
        <v>Egipto</v>
      </c>
      <c r="E312" s="9" t="str">
        <f ca="1">+WORLDCUP!BD59</f>
        <v>Canadá</v>
      </c>
      <c r="F312" s="9" t="str">
        <f ca="1">+WORLDCUP!BD63</f>
        <v>Túnez</v>
      </c>
      <c r="G312" s="9" t="str">
        <f ca="1">+WORLDCUP!BD58</f>
        <v>Sudáfrica</v>
      </c>
      <c r="H312" s="9" t="str">
        <f ca="1">+WORLDCUP!BD65</f>
        <v>Cabo Verde</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Costa de Marfil</v>
      </c>
      <c r="D313" s="9" t="str">
        <f ca="1">+WORLDCUP!BD64</f>
        <v>Egipto</v>
      </c>
      <c r="E313" s="9" t="str">
        <f ca="1">+WORLDCUP!BD59</f>
        <v>Canadá</v>
      </c>
      <c r="F313" s="9" t="str">
        <f ca="1">+WORLDCUP!BD63</f>
        <v>Túnez</v>
      </c>
      <c r="G313" s="9" t="str">
        <f ca="1">+WORLDCUP!BD58</f>
        <v>Sudáfrica</v>
      </c>
      <c r="H313" s="9" t="str">
        <f ca="1">+WORLDCUP!BD65</f>
        <v>Cabo Verde</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Cabo Verde</v>
      </c>
      <c r="D314" s="9" t="str">
        <f ca="1">+WORLDCUP!BD67</f>
        <v>Argelia</v>
      </c>
      <c r="E314" s="9" t="str">
        <f ca="1">+WORLDCUP!BD59</f>
        <v>Canadá</v>
      </c>
      <c r="F314" s="9" t="str">
        <f ca="1">+WORLDCUP!BD63</f>
        <v>Túnez</v>
      </c>
      <c r="G314" s="9" t="str">
        <f ca="1">+WORLDCUP!BD58</f>
        <v>Sudáfrica</v>
      </c>
      <c r="H314" s="9" t="str">
        <f ca="1">+WORLDCUP!BD64</f>
        <v>Egipto</v>
      </c>
      <c r="I314" s="9" t="str">
        <f ca="1">+WORLDCUP!BD62</f>
        <v>Costa de Marfil</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Noruega</v>
      </c>
      <c r="D315" s="9" t="str">
        <f ca="1">+WORLDCUP!BD67</f>
        <v>Argelia</v>
      </c>
      <c r="E315" s="9" t="str">
        <f ca="1">+WORLDCUP!BD59</f>
        <v>Canadá</v>
      </c>
      <c r="F315" s="9" t="str">
        <f ca="1">+WORLDCUP!BD61</f>
        <v>Paraguay</v>
      </c>
      <c r="G315" s="9" t="str">
        <f ca="1">+WORLDCUP!BD58</f>
        <v>Sudáfrica</v>
      </c>
      <c r="H315" s="9" t="str">
        <f ca="1">+WORLDCUP!BD65</f>
        <v>Cabo Verde</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Noruega</v>
      </c>
      <c r="D316" s="9" t="str">
        <f ca="1">+WORLDCUP!BD67</f>
        <v>Argelia</v>
      </c>
      <c r="E316" s="9" t="str">
        <f ca="1">+WORLDCUP!BD59</f>
        <v>Canadá</v>
      </c>
      <c r="F316" s="9" t="str">
        <f ca="1">+WORLDCUP!BD61</f>
        <v>Paraguay</v>
      </c>
      <c r="G316" s="9" t="str">
        <f ca="1">+WORLDCUP!BD58</f>
        <v>Sudáfrica</v>
      </c>
      <c r="H316" s="9" t="str">
        <f ca="1">+WORLDCUP!BD64</f>
        <v>Egipto</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Cabo Verde</v>
      </c>
      <c r="D317" s="9" t="str">
        <f ca="1">+WORLDCUP!BD67</f>
        <v>Argelia</v>
      </c>
      <c r="E317" s="9" t="str">
        <f ca="1">+WORLDCUP!BD59</f>
        <v>Canadá</v>
      </c>
      <c r="F317" s="9" t="str">
        <f ca="1">+WORLDCUP!BD61</f>
        <v>Paraguay</v>
      </c>
      <c r="G317" s="9" t="str">
        <f ca="1">+WORLDCUP!BD58</f>
        <v>Sudáfrica</v>
      </c>
      <c r="H317" s="9" t="str">
        <f ca="1">+WORLDCUP!BD64</f>
        <v>Egipto</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Noruega</v>
      </c>
      <c r="D318" s="9" t="str">
        <f ca="1">+WORLDCUP!BD64</f>
        <v>Egipto</v>
      </c>
      <c r="E318" s="9" t="str">
        <f ca="1">+WORLDCUP!BD59</f>
        <v>Canadá</v>
      </c>
      <c r="F318" s="9" t="str">
        <f ca="1">+WORLDCUP!BD61</f>
        <v>Paraguay</v>
      </c>
      <c r="G318" s="9" t="str">
        <f ca="1">+WORLDCUP!BD58</f>
        <v>Sudáfrica</v>
      </c>
      <c r="H318" s="9" t="str">
        <f ca="1">+WORLDCUP!BD65</f>
        <v>Cabo Verde</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Cabo Verde</v>
      </c>
      <c r="D319" s="9" t="str">
        <f ca="1">+WORLDCUP!BD67</f>
        <v>Argelia</v>
      </c>
      <c r="E319" s="9" t="str">
        <f ca="1">+WORLDCUP!BD59</f>
        <v>Canadá</v>
      </c>
      <c r="F319" s="9" t="str">
        <f ca="1">+WORLDCUP!BD61</f>
        <v>Paraguay</v>
      </c>
      <c r="G319" s="9" t="str">
        <f ca="1">+WORLDCUP!BD58</f>
        <v>Sudáfrica</v>
      </c>
      <c r="H319" s="9" t="str">
        <f ca="1">+WORLDCUP!BD64</f>
        <v>Egipto</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Cabo Verde</v>
      </c>
      <c r="D320" s="9" t="str">
        <f ca="1">+WORLDCUP!BD67</f>
        <v>Argelia</v>
      </c>
      <c r="E320" s="9" t="str">
        <f ca="1">+WORLDCUP!BD59</f>
        <v>Canadá</v>
      </c>
      <c r="F320" s="9" t="str">
        <f ca="1">+WORLDCUP!BD61</f>
        <v>Paraguay</v>
      </c>
      <c r="G320" s="9" t="str">
        <f ca="1">+WORLDCUP!BD58</f>
        <v>Sudáfrica</v>
      </c>
      <c r="H320" s="9" t="str">
        <f ca="1">+WORLDCUP!BD64</f>
        <v>Egipto</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Noruega</v>
      </c>
      <c r="D321" s="9" t="str">
        <f ca="1">+WORLDCUP!BD67</f>
        <v>Argelia</v>
      </c>
      <c r="E321" s="9" t="str">
        <f ca="1">+WORLDCUP!BD59</f>
        <v>Canadá</v>
      </c>
      <c r="F321" s="9" t="str">
        <f ca="1">+WORLDCUP!BD61</f>
        <v>Paraguay</v>
      </c>
      <c r="G321" s="9" t="str">
        <f ca="1">+WORLDCUP!BD58</f>
        <v>Sudáfrica</v>
      </c>
      <c r="H321" s="9" t="str">
        <f ca="1">+WORLDCUP!BD63</f>
        <v>Túnez</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Cabo Verde</v>
      </c>
      <c r="D322" s="9" t="str">
        <f ca="1">+WORLDCUP!BD67</f>
        <v>Argelia</v>
      </c>
      <c r="E322" s="9" t="str">
        <f ca="1">+WORLDCUP!BD59</f>
        <v>Canadá</v>
      </c>
      <c r="F322" s="9" t="str">
        <f ca="1">+WORLDCUP!BD61</f>
        <v>Paraguay</v>
      </c>
      <c r="G322" s="9" t="str">
        <f ca="1">+WORLDCUP!BD58</f>
        <v>Sudáfrica</v>
      </c>
      <c r="H322" s="9" t="str">
        <f ca="1">+WORLDCUP!BD63</f>
        <v>Túnez</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Cabo Verde</v>
      </c>
      <c r="D323" s="9" t="str">
        <f ca="1">+WORLDCUP!BD66</f>
        <v>Noruega</v>
      </c>
      <c r="E323" s="9" t="str">
        <f ca="1">+WORLDCUP!BD59</f>
        <v>Canadá</v>
      </c>
      <c r="F323" s="9" t="str">
        <f ca="1">+WORLDCUP!BD61</f>
        <v>Paraguay</v>
      </c>
      <c r="G323" s="9" t="str">
        <f ca="1">+WORLDCUP!BD58</f>
        <v>Sudáfrica</v>
      </c>
      <c r="H323" s="9" t="str">
        <f ca="1">+WORLDCUP!BD63</f>
        <v>Túnez</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Cabo Verde</v>
      </c>
      <c r="D324" s="9" t="str">
        <f ca="1">+WORLDCUP!BD67</f>
        <v>Argelia</v>
      </c>
      <c r="E324" s="9" t="str">
        <f ca="1">+WORLDCUP!BD59</f>
        <v>Canadá</v>
      </c>
      <c r="F324" s="9" t="str">
        <f ca="1">+WORLDCUP!BD61</f>
        <v>Paraguay</v>
      </c>
      <c r="G324" s="9" t="str">
        <f ca="1">+WORLDCUP!BD58</f>
        <v>Sudáfrica</v>
      </c>
      <c r="H324" s="9" t="str">
        <f ca="1">+WORLDCUP!BD63</f>
        <v>Túnez</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Cabo Verde</v>
      </c>
      <c r="D325" s="9" t="str">
        <f ca="1">+WORLDCUP!BD67</f>
        <v>Argelia</v>
      </c>
      <c r="E325" s="9" t="str">
        <f ca="1">+WORLDCUP!BD59</f>
        <v>Canadá</v>
      </c>
      <c r="F325" s="9" t="str">
        <f ca="1">+WORLDCUP!BD61</f>
        <v>Paraguay</v>
      </c>
      <c r="G325" s="9" t="str">
        <f ca="1">+WORLDCUP!BD58</f>
        <v>Sudáfrica</v>
      </c>
      <c r="H325" s="9" t="str">
        <f ca="1">+WORLDCUP!BD63</f>
        <v>Túnez</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Túnez</v>
      </c>
      <c r="D326" s="9" t="str">
        <f ca="1">+WORLDCUP!BD67</f>
        <v>Argelia</v>
      </c>
      <c r="E326" s="9" t="str">
        <f ca="1">+WORLDCUP!BD59</f>
        <v>Canadá</v>
      </c>
      <c r="F326" s="9" t="str">
        <f ca="1">+WORLDCUP!BD61</f>
        <v>Paraguay</v>
      </c>
      <c r="G326" s="9" t="str">
        <f ca="1">+WORLDCUP!BD58</f>
        <v>Sudáfrica</v>
      </c>
      <c r="H326" s="9" t="str">
        <f ca="1">+WORLDCUP!BD64</f>
        <v>Egipto</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Noruega</v>
      </c>
      <c r="D327" s="9" t="str">
        <f ca="1">+WORLDCUP!BD64</f>
        <v>Egipto</v>
      </c>
      <c r="E327" s="9" t="str">
        <f ca="1">+WORLDCUP!BD59</f>
        <v>Canadá</v>
      </c>
      <c r="F327" s="9" t="str">
        <f ca="1">+WORLDCUP!BD61</f>
        <v>Paraguay</v>
      </c>
      <c r="G327" s="9" t="str">
        <f ca="1">+WORLDCUP!BD58</f>
        <v>Sudáfrica</v>
      </c>
      <c r="H327" s="9" t="str">
        <f ca="1">+WORLDCUP!BD63</f>
        <v>Túnez</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Túnez</v>
      </c>
      <c r="D328" s="9" t="str">
        <f ca="1">+WORLDCUP!BD67</f>
        <v>Argelia</v>
      </c>
      <c r="E328" s="9" t="str">
        <f ca="1">+WORLDCUP!BD59</f>
        <v>Canadá</v>
      </c>
      <c r="F328" s="9" t="str">
        <f ca="1">+WORLDCUP!BD61</f>
        <v>Paraguay</v>
      </c>
      <c r="G328" s="9" t="str">
        <f ca="1">+WORLDCUP!BD58</f>
        <v>Sudáfrica</v>
      </c>
      <c r="H328" s="9" t="str">
        <f ca="1">+WORLDCUP!BD64</f>
        <v>Egipto</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Túnez</v>
      </c>
      <c r="D329" s="9" t="str">
        <f ca="1">+WORLDCUP!BD67</f>
        <v>Argelia</v>
      </c>
      <c r="E329" s="9" t="str">
        <f ca="1">+WORLDCUP!BD59</f>
        <v>Canadá</v>
      </c>
      <c r="F329" s="9" t="str">
        <f ca="1">+WORLDCUP!BD61</f>
        <v>Paraguay</v>
      </c>
      <c r="G329" s="9" t="str">
        <f ca="1">+WORLDCUP!BD58</f>
        <v>Sudáfrica</v>
      </c>
      <c r="H329" s="9" t="str">
        <f ca="1">+WORLDCUP!BD64</f>
        <v>Egipto</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Cabo Verde</v>
      </c>
      <c r="D330" s="9" t="str">
        <f ca="1">+WORLDCUP!BD64</f>
        <v>Egipto</v>
      </c>
      <c r="E330" s="9" t="str">
        <f ca="1">+WORLDCUP!BD59</f>
        <v>Canadá</v>
      </c>
      <c r="F330" s="9" t="str">
        <f ca="1">+WORLDCUP!BD61</f>
        <v>Paraguay</v>
      </c>
      <c r="G330" s="9" t="str">
        <f ca="1">+WORLDCUP!BD58</f>
        <v>Sudáfrica</v>
      </c>
      <c r="H330" s="9" t="str">
        <f ca="1">+WORLDCUP!BD63</f>
        <v>Túnez</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Cabo Verde</v>
      </c>
      <c r="D331" s="9" t="str">
        <f ca="1">+WORLDCUP!BD64</f>
        <v>Egipto</v>
      </c>
      <c r="E331" s="9" t="str">
        <f ca="1">+WORLDCUP!BD59</f>
        <v>Canadá</v>
      </c>
      <c r="F331" s="9" t="str">
        <f ca="1">+WORLDCUP!BD61</f>
        <v>Paraguay</v>
      </c>
      <c r="G331" s="9" t="str">
        <f ca="1">+WORLDCUP!BD58</f>
        <v>Sudáfrica</v>
      </c>
      <c r="H331" s="9" t="str">
        <f ca="1">+WORLDCUP!BD63</f>
        <v>Túnez</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Cabo Verde</v>
      </c>
      <c r="D332" s="9" t="str">
        <f ca="1">+WORLDCUP!BD64</f>
        <v>Egipto</v>
      </c>
      <c r="E332" s="9" t="str">
        <f ca="1">+WORLDCUP!BD59</f>
        <v>Canadá</v>
      </c>
      <c r="F332" s="9" t="str">
        <f ca="1">+WORLDCUP!BD61</f>
        <v>Paraguay</v>
      </c>
      <c r="G332" s="9" t="str">
        <f ca="1">+WORLDCUP!BD58</f>
        <v>Sudáfrica</v>
      </c>
      <c r="H332" s="9" t="str">
        <f ca="1">+WORLDCUP!BD63</f>
        <v>Túnez</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Cabo Verde</v>
      </c>
      <c r="D333" s="9" t="str">
        <f ca="1">+WORLDCUP!BD64</f>
        <v>Egipto</v>
      </c>
      <c r="E333" s="9" t="str">
        <f ca="1">+WORLDCUP!BD59</f>
        <v>Canadá</v>
      </c>
      <c r="F333" s="9" t="str">
        <f ca="1">+WORLDCUP!BD61</f>
        <v>Paraguay</v>
      </c>
      <c r="G333" s="9" t="str">
        <f ca="1">+WORLDCUP!BD58</f>
        <v>Sudáfrica</v>
      </c>
      <c r="H333" s="9" t="str">
        <f ca="1">+WORLDCUP!BD63</f>
        <v>Túnez</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Cabo Verde</v>
      </c>
      <c r="D334" s="9" t="str">
        <f ca="1">+WORLDCUP!BD64</f>
        <v>Egipto</v>
      </c>
      <c r="E334" s="9" t="str">
        <f ca="1">+WORLDCUP!BD59</f>
        <v>Canadá</v>
      </c>
      <c r="F334" s="9" t="str">
        <f ca="1">+WORLDCUP!BD61</f>
        <v>Paraguay</v>
      </c>
      <c r="G334" s="9" t="str">
        <f ca="1">+WORLDCUP!BD58</f>
        <v>Sudáfrica</v>
      </c>
      <c r="H334" s="9" t="str">
        <f ca="1">+WORLDCUP!BD63</f>
        <v>Túnez</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Cabo Verde</v>
      </c>
      <c r="D335" s="9" t="str">
        <f ca="1">+WORLDCUP!BD64</f>
        <v>Egipto</v>
      </c>
      <c r="E335" s="9" t="str">
        <f ca="1">+WORLDCUP!BD59</f>
        <v>Canadá</v>
      </c>
      <c r="F335" s="9" t="str">
        <f ca="1">+WORLDCUP!BD61</f>
        <v>Paraguay</v>
      </c>
      <c r="G335" s="9" t="str">
        <f ca="1">+WORLDCUP!BD58</f>
        <v>Sudáfrica</v>
      </c>
      <c r="H335" s="9" t="str">
        <f ca="1">+WORLDCUP!BD63</f>
        <v>Túnez</v>
      </c>
      <c r="I335" s="9" t="str">
        <f ca="1">+WORLDCUP!BD66</f>
        <v>Noruega</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Costa de Marfil</v>
      </c>
      <c r="D336" s="9" t="str">
        <f ca="1">+WORLDCUP!BD67</f>
        <v>Argelia</v>
      </c>
      <c r="E336" s="9" t="str">
        <f ca="1">+WORLDCUP!BD59</f>
        <v>Canadá</v>
      </c>
      <c r="F336" s="9" t="str">
        <f ca="1">+WORLDCUP!BD58</f>
        <v>Sudáfrica</v>
      </c>
      <c r="G336" s="9" t="str">
        <f ca="1">+WORLDCUP!BD66</f>
        <v>Noruega</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Costa de Marfil</v>
      </c>
      <c r="D337" s="9" t="str">
        <f ca="1">+WORLDCUP!BD67</f>
        <v>Argelia</v>
      </c>
      <c r="E337" s="9" t="str">
        <f ca="1">+WORLDCUP!BD59</f>
        <v>Canadá</v>
      </c>
      <c r="F337" s="9" t="str">
        <f ca="1">+WORLDCUP!BD61</f>
        <v>Paraguay</v>
      </c>
      <c r="G337" s="9" t="str">
        <f ca="1">+WORLDCUP!BD58</f>
        <v>Sudáfrica</v>
      </c>
      <c r="H337" s="9" t="str">
        <f ca="1">+WORLDCUP!BD65</f>
        <v>Cabo Verde</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Costa de Marfil</v>
      </c>
      <c r="D338" s="9" t="str">
        <f ca="1">+WORLDCUP!BD66</f>
        <v>Noruega</v>
      </c>
      <c r="E338" s="9" t="str">
        <f ca="1">+WORLDCUP!BD59</f>
        <v>Canadá</v>
      </c>
      <c r="F338" s="9" t="str">
        <f ca="1">+WORLDCUP!BD61</f>
        <v>Paraguay</v>
      </c>
      <c r="G338" s="9" t="str">
        <f ca="1">+WORLDCUP!BD58</f>
        <v>Sudáfrica</v>
      </c>
      <c r="H338" s="9" t="str">
        <f ca="1">+WORLDCUP!BD65</f>
        <v>Cabo Verde</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Costa de Marfil</v>
      </c>
      <c r="D339" s="9" t="str">
        <f ca="1">+WORLDCUP!BD67</f>
        <v>Argelia</v>
      </c>
      <c r="E339" s="9" t="str">
        <f ca="1">+WORLDCUP!BD59</f>
        <v>Canadá</v>
      </c>
      <c r="F339" s="9" t="str">
        <f ca="1">+WORLDCUP!BD61</f>
        <v>Paraguay</v>
      </c>
      <c r="G339" s="9" t="str">
        <f ca="1">+WORLDCUP!BD58</f>
        <v>Sudáfrica</v>
      </c>
      <c r="H339" s="9" t="str">
        <f ca="1">+WORLDCUP!BD65</f>
        <v>Cabo Verde</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Costa de Marfil</v>
      </c>
      <c r="D340" s="9" t="str">
        <f ca="1">+WORLDCUP!BD67</f>
        <v>Argelia</v>
      </c>
      <c r="E340" s="9" t="str">
        <f ca="1">+WORLDCUP!BD59</f>
        <v>Canadá</v>
      </c>
      <c r="F340" s="9" t="str">
        <f ca="1">+WORLDCUP!BD61</f>
        <v>Paraguay</v>
      </c>
      <c r="G340" s="9" t="str">
        <f ca="1">+WORLDCUP!BD58</f>
        <v>Sudáfrica</v>
      </c>
      <c r="H340" s="9" t="str">
        <f ca="1">+WORLDCUP!BD65</f>
        <v>Cabo Verde</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Costa de Marfil</v>
      </c>
      <c r="D341" s="9" t="str">
        <f ca="1">+WORLDCUP!BD67</f>
        <v>Argelia</v>
      </c>
      <c r="E341" s="9" t="str">
        <f ca="1">+WORLDCUP!BD59</f>
        <v>Canadá</v>
      </c>
      <c r="F341" s="9" t="str">
        <f ca="1">+WORLDCUP!BD61</f>
        <v>Paraguay</v>
      </c>
      <c r="G341" s="9" t="str">
        <f ca="1">+WORLDCUP!BD58</f>
        <v>Sudáfrica</v>
      </c>
      <c r="H341" s="9" t="str">
        <f ca="1">+WORLDCUP!BD64</f>
        <v>Egipto</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Costa de Marfil</v>
      </c>
      <c r="D342" s="9" t="str">
        <f ca="1">+WORLDCUP!BD64</f>
        <v>Egipto</v>
      </c>
      <c r="E342" s="9" t="str">
        <f ca="1">+WORLDCUP!BD59</f>
        <v>Canadá</v>
      </c>
      <c r="F342" s="9" t="str">
        <f ca="1">+WORLDCUP!BD58</f>
        <v>Sudáfrica</v>
      </c>
      <c r="G342" s="9" t="str">
        <f ca="1">+WORLDCUP!BD66</f>
        <v>Noruega</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Costa de Marfil</v>
      </c>
      <c r="D343" s="9" t="str">
        <f ca="1">+WORLDCUP!BD67</f>
        <v>Argelia</v>
      </c>
      <c r="E343" s="9" t="str">
        <f ca="1">+WORLDCUP!BD59</f>
        <v>Canadá</v>
      </c>
      <c r="F343" s="9" t="str">
        <f ca="1">+WORLDCUP!BD61</f>
        <v>Paraguay</v>
      </c>
      <c r="G343" s="9" t="str">
        <f ca="1">+WORLDCUP!BD58</f>
        <v>Sudáfrica</v>
      </c>
      <c r="H343" s="9" t="str">
        <f ca="1">+WORLDCUP!BD64</f>
        <v>Egipto</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Costa de Marfil</v>
      </c>
      <c r="D344" s="9" t="str">
        <f ca="1">+WORLDCUP!BD67</f>
        <v>Argelia</v>
      </c>
      <c r="E344" s="9" t="str">
        <f ca="1">+WORLDCUP!BD59</f>
        <v>Canadá</v>
      </c>
      <c r="F344" s="9" t="str">
        <f ca="1">+WORLDCUP!BD61</f>
        <v>Paraguay</v>
      </c>
      <c r="G344" s="9" t="str">
        <f ca="1">+WORLDCUP!BD58</f>
        <v>Sudáfrica</v>
      </c>
      <c r="H344" s="9" t="str">
        <f ca="1">+WORLDCUP!BD64</f>
        <v>Egipto</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Costa de Marfil</v>
      </c>
      <c r="D345" s="9" t="str">
        <f ca="1">+WORLDCUP!BD64</f>
        <v>Egipto</v>
      </c>
      <c r="E345" s="9" t="str">
        <f ca="1">+WORLDCUP!BD59</f>
        <v>Canadá</v>
      </c>
      <c r="F345" s="9" t="str">
        <f ca="1">+WORLDCUP!BD61</f>
        <v>Paraguay</v>
      </c>
      <c r="G345" s="9" t="str">
        <f ca="1">+WORLDCUP!BD58</f>
        <v>Sudáfrica</v>
      </c>
      <c r="H345" s="9" t="str">
        <f ca="1">+WORLDCUP!BD65</f>
        <v>Cabo Verde</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Cabo Verde</v>
      </c>
      <c r="D346" s="9" t="str">
        <f ca="1">+WORLDCUP!BD67</f>
        <v>Argelia</v>
      </c>
      <c r="E346" s="9" t="str">
        <f ca="1">+WORLDCUP!BD59</f>
        <v>Canadá</v>
      </c>
      <c r="F346" s="9" t="str">
        <f ca="1">+WORLDCUP!BD61</f>
        <v>Paraguay</v>
      </c>
      <c r="G346" s="9" t="str">
        <f ca="1">+WORLDCUP!BD58</f>
        <v>Sudáfrica</v>
      </c>
      <c r="H346" s="9" t="str">
        <f ca="1">+WORLDCUP!BD64</f>
        <v>Egipto</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Cabo Verde</v>
      </c>
      <c r="D347" s="9" t="str">
        <f ca="1">+WORLDCUP!BD67</f>
        <v>Argelia</v>
      </c>
      <c r="E347" s="9" t="str">
        <f ca="1">+WORLDCUP!BD59</f>
        <v>Canadá</v>
      </c>
      <c r="F347" s="9" t="str">
        <f ca="1">+WORLDCUP!BD61</f>
        <v>Paraguay</v>
      </c>
      <c r="G347" s="9" t="str">
        <f ca="1">+WORLDCUP!BD58</f>
        <v>Sudáfrica</v>
      </c>
      <c r="H347" s="9" t="str">
        <f ca="1">+WORLDCUP!BD64</f>
        <v>Egipto</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Costa de Marfil</v>
      </c>
      <c r="D348" s="9" t="str">
        <f ca="1">+WORLDCUP!BD64</f>
        <v>Egipto</v>
      </c>
      <c r="E348" s="9" t="str">
        <f ca="1">+WORLDCUP!BD59</f>
        <v>Canadá</v>
      </c>
      <c r="F348" s="9" t="str">
        <f ca="1">+WORLDCUP!BD61</f>
        <v>Paraguay</v>
      </c>
      <c r="G348" s="9" t="str">
        <f ca="1">+WORLDCUP!BD58</f>
        <v>Sudáfrica</v>
      </c>
      <c r="H348" s="9" t="str">
        <f ca="1">+WORLDCUP!BD65</f>
        <v>Cabo Verde</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Costa de Marfil</v>
      </c>
      <c r="D349" s="9" t="str">
        <f ca="1">+WORLDCUP!BD64</f>
        <v>Egipto</v>
      </c>
      <c r="E349" s="9" t="str">
        <f ca="1">+WORLDCUP!BD59</f>
        <v>Canadá</v>
      </c>
      <c r="F349" s="9" t="str">
        <f ca="1">+WORLDCUP!BD61</f>
        <v>Paraguay</v>
      </c>
      <c r="G349" s="9" t="str">
        <f ca="1">+WORLDCUP!BD58</f>
        <v>Sudáfrica</v>
      </c>
      <c r="H349" s="9" t="str">
        <f ca="1">+WORLDCUP!BD65</f>
        <v>Cabo Verde</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Cabo Verde</v>
      </c>
      <c r="D350" s="9" t="str">
        <f ca="1">+WORLDCUP!BD67</f>
        <v>Argelia</v>
      </c>
      <c r="E350" s="9" t="str">
        <f ca="1">+WORLDCUP!BD59</f>
        <v>Canadá</v>
      </c>
      <c r="F350" s="9" t="str">
        <f ca="1">+WORLDCUP!BD61</f>
        <v>Paraguay</v>
      </c>
      <c r="G350" s="9" t="str">
        <f ca="1">+WORLDCUP!BD58</f>
        <v>Sudáfrica</v>
      </c>
      <c r="H350" s="9" t="str">
        <f ca="1">+WORLDCUP!BD64</f>
        <v>Egipto</v>
      </c>
      <c r="I350" s="9" t="str">
        <f ca="1">+WORLDCUP!BD62</f>
        <v>Costa de Marfil</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Costa de Marfil</v>
      </c>
      <c r="D351" s="9" t="str">
        <f ca="1">+WORLDCUP!BD67</f>
        <v>Argelia</v>
      </c>
      <c r="E351" s="9" t="str">
        <f ca="1">+WORLDCUP!BD59</f>
        <v>Canadá</v>
      </c>
      <c r="F351" s="9" t="str">
        <f ca="1">+WORLDCUP!BD61</f>
        <v>Paraguay</v>
      </c>
      <c r="G351" s="9" t="str">
        <f ca="1">+WORLDCUP!BD58</f>
        <v>Sudáfrica</v>
      </c>
      <c r="H351" s="9" t="str">
        <f ca="1">+WORLDCUP!BD63</f>
        <v>Túnez</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Costa de Marfil</v>
      </c>
      <c r="D352" s="9" t="str">
        <f ca="1">+WORLDCUP!BD66</f>
        <v>Noruega</v>
      </c>
      <c r="E352" s="9" t="str">
        <f ca="1">+WORLDCUP!BD59</f>
        <v>Canadá</v>
      </c>
      <c r="F352" s="9" t="str">
        <f ca="1">+WORLDCUP!BD61</f>
        <v>Paraguay</v>
      </c>
      <c r="G352" s="9" t="str">
        <f ca="1">+WORLDCUP!BD58</f>
        <v>Sudáfrica</v>
      </c>
      <c r="H352" s="9" t="str">
        <f ca="1">+WORLDCUP!BD63</f>
        <v>Túnez</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Costa de Marfil</v>
      </c>
      <c r="D353" s="9" t="str">
        <f ca="1">+WORLDCUP!BD67</f>
        <v>Argelia</v>
      </c>
      <c r="E353" s="9" t="str">
        <f ca="1">+WORLDCUP!BD59</f>
        <v>Canadá</v>
      </c>
      <c r="F353" s="9" t="str">
        <f ca="1">+WORLDCUP!BD61</f>
        <v>Paraguay</v>
      </c>
      <c r="G353" s="9" t="str">
        <f ca="1">+WORLDCUP!BD58</f>
        <v>Sudáfrica</v>
      </c>
      <c r="H353" s="9" t="str">
        <f ca="1">+WORLDCUP!BD63</f>
        <v>Túnez</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Costa de Marfil</v>
      </c>
      <c r="D354" s="9" t="str">
        <f ca="1">+WORLDCUP!BD67</f>
        <v>Argelia</v>
      </c>
      <c r="E354" s="9" t="str">
        <f ca="1">+WORLDCUP!BD59</f>
        <v>Canadá</v>
      </c>
      <c r="F354" s="9" t="str">
        <f ca="1">+WORLDCUP!BD61</f>
        <v>Paraguay</v>
      </c>
      <c r="G354" s="9" t="str">
        <f ca="1">+WORLDCUP!BD58</f>
        <v>Sudáfrica</v>
      </c>
      <c r="H354" s="9" t="str">
        <f ca="1">+WORLDCUP!BD63</f>
        <v>Túnez</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Cabo Verde</v>
      </c>
      <c r="D355" s="9" t="str">
        <f ca="1">+WORLDCUP!BD62</f>
        <v>Costa de Marfil</v>
      </c>
      <c r="E355" s="9" t="str">
        <f ca="1">+WORLDCUP!BD59</f>
        <v>Canadá</v>
      </c>
      <c r="F355" s="9" t="str">
        <f ca="1">+WORLDCUP!BD61</f>
        <v>Paraguay</v>
      </c>
      <c r="G355" s="9" t="str">
        <f ca="1">+WORLDCUP!BD58</f>
        <v>Sudáfrica</v>
      </c>
      <c r="H355" s="9" t="str">
        <f ca="1">+WORLDCUP!BD63</f>
        <v>Túnez</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Cabo Verde</v>
      </c>
      <c r="D356" s="9" t="str">
        <f ca="1">+WORLDCUP!BD67</f>
        <v>Argelia</v>
      </c>
      <c r="E356" s="9" t="str">
        <f ca="1">+WORLDCUP!BD59</f>
        <v>Canadá</v>
      </c>
      <c r="F356" s="9" t="str">
        <f ca="1">+WORLDCUP!BD61</f>
        <v>Paraguay</v>
      </c>
      <c r="G356" s="9" t="str">
        <f ca="1">+WORLDCUP!BD58</f>
        <v>Sudáfrica</v>
      </c>
      <c r="H356" s="9" t="str">
        <f ca="1">+WORLDCUP!BD63</f>
        <v>Túnez</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Cabo Verde</v>
      </c>
      <c r="D357" s="9" t="str">
        <f ca="1">+WORLDCUP!BD67</f>
        <v>Argelia</v>
      </c>
      <c r="E357" s="9" t="str">
        <f ca="1">+WORLDCUP!BD59</f>
        <v>Canadá</v>
      </c>
      <c r="F357" s="9" t="str">
        <f ca="1">+WORLDCUP!BD61</f>
        <v>Paraguay</v>
      </c>
      <c r="G357" s="9" t="str">
        <f ca="1">+WORLDCUP!BD58</f>
        <v>Sudáfrica</v>
      </c>
      <c r="H357" s="9" t="str">
        <f ca="1">+WORLDCUP!BD63</f>
        <v>Túnez</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Cabo Verde</v>
      </c>
      <c r="D358" s="9" t="str">
        <f ca="1">+WORLDCUP!BD62</f>
        <v>Costa de Marfil</v>
      </c>
      <c r="E358" s="9" t="str">
        <f ca="1">+WORLDCUP!BD59</f>
        <v>Canadá</v>
      </c>
      <c r="F358" s="9" t="str">
        <f ca="1">+WORLDCUP!BD61</f>
        <v>Paraguay</v>
      </c>
      <c r="G358" s="9" t="str">
        <f ca="1">+WORLDCUP!BD58</f>
        <v>Sudáfrica</v>
      </c>
      <c r="H358" s="9" t="str">
        <f ca="1">+WORLDCUP!BD63</f>
        <v>Túnez</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Cabo Verde</v>
      </c>
      <c r="D359" s="9" t="str">
        <f ca="1">+WORLDCUP!BD62</f>
        <v>Costa de Marfil</v>
      </c>
      <c r="E359" s="9" t="str">
        <f ca="1">+WORLDCUP!BD59</f>
        <v>Canadá</v>
      </c>
      <c r="F359" s="9" t="str">
        <f ca="1">+WORLDCUP!BD61</f>
        <v>Paraguay</v>
      </c>
      <c r="G359" s="9" t="str">
        <f ca="1">+WORLDCUP!BD58</f>
        <v>Sudáfrica</v>
      </c>
      <c r="H359" s="9" t="str">
        <f ca="1">+WORLDCUP!BD63</f>
        <v>Túnez</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Cabo Verde</v>
      </c>
      <c r="D360" s="9" t="str">
        <f ca="1">+WORLDCUP!BD67</f>
        <v>Argelia</v>
      </c>
      <c r="E360" s="9" t="str">
        <f ca="1">+WORLDCUP!BD59</f>
        <v>Canadá</v>
      </c>
      <c r="F360" s="9" t="str">
        <f ca="1">+WORLDCUP!BD61</f>
        <v>Paraguay</v>
      </c>
      <c r="G360" s="9" t="str">
        <f ca="1">+WORLDCUP!BD58</f>
        <v>Sudáfrica</v>
      </c>
      <c r="H360" s="9" t="str">
        <f ca="1">+WORLDCUP!BD63</f>
        <v>Túnez</v>
      </c>
      <c r="I360" s="9" t="str">
        <f ca="1">+WORLDCUP!BD62</f>
        <v>Costa de Marfil</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Costa de Marfil</v>
      </c>
      <c r="D361" s="9" t="str">
        <f ca="1">+WORLDCUP!BD64</f>
        <v>Egipto</v>
      </c>
      <c r="E361" s="9" t="str">
        <f ca="1">+WORLDCUP!BD59</f>
        <v>Canadá</v>
      </c>
      <c r="F361" s="9" t="str">
        <f ca="1">+WORLDCUP!BD61</f>
        <v>Paraguay</v>
      </c>
      <c r="G361" s="9" t="str">
        <f ca="1">+WORLDCUP!BD58</f>
        <v>Sudáfrica</v>
      </c>
      <c r="H361" s="9" t="str">
        <f ca="1">+WORLDCUP!BD63</f>
        <v>Túnez</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Costa de Marfil</v>
      </c>
      <c r="D362" s="9" t="str">
        <f ca="1">+WORLDCUP!BD64</f>
        <v>Egipto</v>
      </c>
      <c r="E362" s="9" t="str">
        <f ca="1">+WORLDCUP!BD59</f>
        <v>Canadá</v>
      </c>
      <c r="F362" s="9" t="str">
        <f ca="1">+WORLDCUP!BD61</f>
        <v>Paraguay</v>
      </c>
      <c r="G362" s="9" t="str">
        <f ca="1">+WORLDCUP!BD58</f>
        <v>Sudáfrica</v>
      </c>
      <c r="H362" s="9" t="str">
        <f ca="1">+WORLDCUP!BD63</f>
        <v>Túnez</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Costa de Marfil</v>
      </c>
      <c r="D363" s="9" t="str">
        <f ca="1">+WORLDCUP!BD64</f>
        <v>Egipto</v>
      </c>
      <c r="E363" s="9" t="str">
        <f ca="1">+WORLDCUP!BD59</f>
        <v>Canadá</v>
      </c>
      <c r="F363" s="9" t="str">
        <f ca="1">+WORLDCUP!BD61</f>
        <v>Paraguay</v>
      </c>
      <c r="G363" s="9" t="str">
        <f ca="1">+WORLDCUP!BD58</f>
        <v>Sudáfrica</v>
      </c>
      <c r="H363" s="9" t="str">
        <f ca="1">+WORLDCUP!BD63</f>
        <v>Túnez</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1</v>
      </c>
      <c r="C364" s="9" t="str">
        <f ca="1">+WORLDCUP!BD62</f>
        <v>Costa de Marfil</v>
      </c>
      <c r="D364" s="9" t="str">
        <f ca="1">+WORLDCUP!BD64</f>
        <v>Egipto</v>
      </c>
      <c r="E364" s="9" t="str">
        <f ca="1">+WORLDCUP!BD59</f>
        <v>Canadá</v>
      </c>
      <c r="F364" s="9" t="str">
        <f ca="1">+WORLDCUP!BD61</f>
        <v>Paraguay</v>
      </c>
      <c r="G364" s="9" t="str">
        <f ca="1">+WORLDCUP!BD58</f>
        <v>Sudáfrica</v>
      </c>
      <c r="H364" s="9" t="str">
        <f ca="1">+WORLDCUP!BD63</f>
        <v>Túnez</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Costa de Marfil</v>
      </c>
      <c r="D365" s="9" t="str">
        <f ca="1">+WORLDCUP!BD64</f>
        <v>Egipto</v>
      </c>
      <c r="E365" s="9" t="str">
        <f ca="1">+WORLDCUP!BD59</f>
        <v>Canadá</v>
      </c>
      <c r="F365" s="9" t="str">
        <f ca="1">+WORLDCUP!BD61</f>
        <v>Paraguay</v>
      </c>
      <c r="G365" s="9" t="str">
        <f ca="1">+WORLDCUP!BD58</f>
        <v>Sudáfrica</v>
      </c>
      <c r="H365" s="9" t="str">
        <f ca="1">+WORLDCUP!BD63</f>
        <v>Túnez</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Costa de Marfil</v>
      </c>
      <c r="D366" s="9" t="str">
        <f ca="1">+WORLDCUP!BD64</f>
        <v>Egipto</v>
      </c>
      <c r="E366" s="9" t="str">
        <f ca="1">+WORLDCUP!BD59</f>
        <v>Canadá</v>
      </c>
      <c r="F366" s="9" t="str">
        <f ca="1">+WORLDCUP!BD61</f>
        <v>Paraguay</v>
      </c>
      <c r="G366" s="9" t="str">
        <f ca="1">+WORLDCUP!BD58</f>
        <v>Sudáfrica</v>
      </c>
      <c r="H366" s="9" t="str">
        <f ca="1">+WORLDCUP!BD63</f>
        <v>Túnez</v>
      </c>
      <c r="I366" s="9" t="str">
        <f ca="1">+WORLDCUP!BD66</f>
        <v>Noruega</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Cabo Verde</v>
      </c>
      <c r="D367" s="9" t="str">
        <f ca="1">+WORLDCUP!BD64</f>
        <v>Egipto</v>
      </c>
      <c r="E367" s="9" t="str">
        <f ca="1">+WORLDCUP!BD59</f>
        <v>Canadá</v>
      </c>
      <c r="F367" s="9" t="str">
        <f ca="1">+WORLDCUP!BD61</f>
        <v>Paraguay</v>
      </c>
      <c r="G367" s="9" t="str">
        <f ca="1">+WORLDCUP!BD58</f>
        <v>Sudáfrica</v>
      </c>
      <c r="H367" s="9" t="str">
        <f ca="1">+WORLDCUP!BD63</f>
        <v>Túnez</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Cabo Verde</v>
      </c>
      <c r="D368" s="9" t="str">
        <f ca="1">+WORLDCUP!BD64</f>
        <v>Egipto</v>
      </c>
      <c r="E368" s="9" t="str">
        <f ca="1">+WORLDCUP!BD59</f>
        <v>Canadá</v>
      </c>
      <c r="F368" s="9" t="str">
        <f ca="1">+WORLDCUP!BD61</f>
        <v>Paraguay</v>
      </c>
      <c r="G368" s="9" t="str">
        <f ca="1">+WORLDCUP!BD58</f>
        <v>Sudáfrica</v>
      </c>
      <c r="H368" s="9" t="str">
        <f ca="1">+WORLDCUP!BD63</f>
        <v>Túnez</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Cabo Verde</v>
      </c>
      <c r="D369" s="9" t="str">
        <f ca="1">+WORLDCUP!BD64</f>
        <v>Egipto</v>
      </c>
      <c r="E369" s="9" t="str">
        <f ca="1">+WORLDCUP!BD59</f>
        <v>Canadá</v>
      </c>
      <c r="F369" s="9" t="str">
        <f ca="1">+WORLDCUP!BD61</f>
        <v>Paraguay</v>
      </c>
      <c r="G369" s="9" t="str">
        <f ca="1">+WORLDCUP!BD58</f>
        <v>Sudáfrica</v>
      </c>
      <c r="H369" s="9" t="str">
        <f ca="1">+WORLDCUP!BD63</f>
        <v>Túnez</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Cabo Verde</v>
      </c>
      <c r="D370" s="9" t="str">
        <f ca="1">+WORLDCUP!BD64</f>
        <v>Egipto</v>
      </c>
      <c r="E370" s="9" t="str">
        <f ca="1">+WORLDCUP!BD59</f>
        <v>Canadá</v>
      </c>
      <c r="F370" s="9" t="str">
        <f ca="1">+WORLDCUP!BD61</f>
        <v>Paraguay</v>
      </c>
      <c r="G370" s="9" t="str">
        <f ca="1">+WORLDCUP!BD58</f>
        <v>Sudáfrica</v>
      </c>
      <c r="H370" s="9" t="str">
        <f ca="1">+WORLDCUP!BD63</f>
        <v>Túnez</v>
      </c>
      <c r="I370" s="9" t="str">
        <f ca="1">+WORLDCUP!BD62</f>
        <v>Costa de Marfil</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Noruega</v>
      </c>
      <c r="D371" s="9" t="str">
        <f ca="1">+WORLDCUP!BD67</f>
        <v>Argelia</v>
      </c>
      <c r="E371" s="9" t="str">
        <f ca="1">+WORLDCUP!BD59</f>
        <v>Canadá</v>
      </c>
      <c r="F371" s="9" t="str">
        <f ca="1">+WORLDCUP!BD60</f>
        <v>Haití</v>
      </c>
      <c r="G371" s="9" t="str">
        <f ca="1">+WORLDCUP!BD58</f>
        <v>Sudáfrica</v>
      </c>
      <c r="H371" s="9" t="str">
        <f ca="1">+WORLDCUP!BD65</f>
        <v>Cabo Verde</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Noruega</v>
      </c>
      <c r="D372" s="9" t="str">
        <f ca="1">+WORLDCUP!BD67</f>
        <v>Argelia</v>
      </c>
      <c r="E372" s="9" t="str">
        <f ca="1">+WORLDCUP!BD59</f>
        <v>Canadá</v>
      </c>
      <c r="F372" s="9" t="str">
        <f ca="1">+WORLDCUP!BD60</f>
        <v>Haití</v>
      </c>
      <c r="G372" s="9" t="str">
        <f ca="1">+WORLDCUP!BD58</f>
        <v>Sudáfrica</v>
      </c>
      <c r="H372" s="9" t="str">
        <f ca="1">+WORLDCUP!BD64</f>
        <v>Egipto</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Cabo Verde</v>
      </c>
      <c r="D373" s="9" t="str">
        <f ca="1">+WORLDCUP!BD67</f>
        <v>Argelia</v>
      </c>
      <c r="E373" s="9" t="str">
        <f ca="1">+WORLDCUP!BD59</f>
        <v>Canadá</v>
      </c>
      <c r="F373" s="9" t="str">
        <f ca="1">+WORLDCUP!BD60</f>
        <v>Haití</v>
      </c>
      <c r="G373" s="9" t="str">
        <f ca="1">+WORLDCUP!BD58</f>
        <v>Sudáfrica</v>
      </c>
      <c r="H373" s="9" t="str">
        <f ca="1">+WORLDCUP!BD64</f>
        <v>Egipto</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Noruega</v>
      </c>
      <c r="D374" s="9" t="str">
        <f ca="1">+WORLDCUP!BD64</f>
        <v>Egipto</v>
      </c>
      <c r="E374" s="9" t="str">
        <f ca="1">+WORLDCUP!BD59</f>
        <v>Canadá</v>
      </c>
      <c r="F374" s="9" t="str">
        <f ca="1">+WORLDCUP!BD60</f>
        <v>Haití</v>
      </c>
      <c r="G374" s="9" t="str">
        <f ca="1">+WORLDCUP!BD58</f>
        <v>Sudáfrica</v>
      </c>
      <c r="H374" s="9" t="str">
        <f ca="1">+WORLDCUP!BD65</f>
        <v>Cabo Verde</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Cabo Verde</v>
      </c>
      <c r="D375" s="9" t="str">
        <f ca="1">+WORLDCUP!BD67</f>
        <v>Argelia</v>
      </c>
      <c r="E375" s="9" t="str">
        <f ca="1">+WORLDCUP!BD59</f>
        <v>Canadá</v>
      </c>
      <c r="F375" s="9" t="str">
        <f ca="1">+WORLDCUP!BD60</f>
        <v>Haití</v>
      </c>
      <c r="G375" s="9" t="str">
        <f ca="1">+WORLDCUP!BD58</f>
        <v>Sudáfrica</v>
      </c>
      <c r="H375" s="9" t="str">
        <f ca="1">+WORLDCUP!BD64</f>
        <v>Egipto</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Cabo Verde</v>
      </c>
      <c r="D376" s="9" t="str">
        <f ca="1">+WORLDCUP!BD67</f>
        <v>Argelia</v>
      </c>
      <c r="E376" s="9" t="str">
        <f ca="1">+WORLDCUP!BD59</f>
        <v>Canadá</v>
      </c>
      <c r="F376" s="9" t="str">
        <f ca="1">+WORLDCUP!BD60</f>
        <v>Haití</v>
      </c>
      <c r="G376" s="9" t="str">
        <f ca="1">+WORLDCUP!BD58</f>
        <v>Sudáfrica</v>
      </c>
      <c r="H376" s="9" t="str">
        <f ca="1">+WORLDCUP!BD64</f>
        <v>Egipto</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Noruega</v>
      </c>
      <c r="D377" s="9" t="str">
        <f ca="1">+WORLDCUP!BD67</f>
        <v>Argelia</v>
      </c>
      <c r="E377" s="9" t="str">
        <f ca="1">+WORLDCUP!BD59</f>
        <v>Canadá</v>
      </c>
      <c r="F377" s="9" t="str">
        <f ca="1">+WORLDCUP!BD60</f>
        <v>Haití</v>
      </c>
      <c r="G377" s="9" t="str">
        <f ca="1">+WORLDCUP!BD58</f>
        <v>Sudáfrica</v>
      </c>
      <c r="H377" s="9" t="str">
        <f ca="1">+WORLDCUP!BD63</f>
        <v>Túnez</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Cabo Verde</v>
      </c>
      <c r="D378" s="9" t="str">
        <f ca="1">+WORLDCUP!BD67</f>
        <v>Argelia</v>
      </c>
      <c r="E378" s="9" t="str">
        <f ca="1">+WORLDCUP!BD59</f>
        <v>Canadá</v>
      </c>
      <c r="F378" s="9" t="str">
        <f ca="1">+WORLDCUP!BD60</f>
        <v>Haití</v>
      </c>
      <c r="G378" s="9" t="str">
        <f ca="1">+WORLDCUP!BD58</f>
        <v>Sudáfrica</v>
      </c>
      <c r="H378" s="9" t="str">
        <f ca="1">+WORLDCUP!BD63</f>
        <v>Túnez</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Cabo Verde</v>
      </c>
      <c r="D379" s="9" t="str">
        <f ca="1">+WORLDCUP!BD66</f>
        <v>Noruega</v>
      </c>
      <c r="E379" s="9" t="str">
        <f ca="1">+WORLDCUP!BD59</f>
        <v>Canadá</v>
      </c>
      <c r="F379" s="9" t="str">
        <f ca="1">+WORLDCUP!BD60</f>
        <v>Haití</v>
      </c>
      <c r="G379" s="9" t="str">
        <f ca="1">+WORLDCUP!BD58</f>
        <v>Sudáfrica</v>
      </c>
      <c r="H379" s="9" t="str">
        <f ca="1">+WORLDCUP!BD63</f>
        <v>Túnez</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Cabo Verde</v>
      </c>
      <c r="D380" s="9" t="str">
        <f ca="1">+WORLDCUP!BD67</f>
        <v>Argelia</v>
      </c>
      <c r="E380" s="9" t="str">
        <f ca="1">+WORLDCUP!BD59</f>
        <v>Canadá</v>
      </c>
      <c r="F380" s="9" t="str">
        <f ca="1">+WORLDCUP!BD60</f>
        <v>Haití</v>
      </c>
      <c r="G380" s="9" t="str">
        <f ca="1">+WORLDCUP!BD58</f>
        <v>Sudáfrica</v>
      </c>
      <c r="H380" s="9" t="str">
        <f ca="1">+WORLDCUP!BD63</f>
        <v>Túnez</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Cabo Verde</v>
      </c>
      <c r="D381" s="9" t="str">
        <f ca="1">+WORLDCUP!BD67</f>
        <v>Argelia</v>
      </c>
      <c r="E381" s="9" t="str">
        <f ca="1">+WORLDCUP!BD59</f>
        <v>Canadá</v>
      </c>
      <c r="F381" s="9" t="str">
        <f ca="1">+WORLDCUP!BD60</f>
        <v>Haití</v>
      </c>
      <c r="G381" s="9" t="str">
        <f ca="1">+WORLDCUP!BD58</f>
        <v>Sudáfrica</v>
      </c>
      <c r="H381" s="9" t="str">
        <f ca="1">+WORLDCUP!BD63</f>
        <v>Túnez</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Haití</v>
      </c>
      <c r="D382" s="9" t="str">
        <f ca="1">+WORLDCUP!BD67</f>
        <v>Argelia</v>
      </c>
      <c r="E382" s="9" t="str">
        <f ca="1">+WORLDCUP!BD59</f>
        <v>Canadá</v>
      </c>
      <c r="F382" s="9" t="str">
        <f ca="1">+WORLDCUP!BD63</f>
        <v>Túnez</v>
      </c>
      <c r="G382" s="9" t="str">
        <f ca="1">+WORLDCUP!BD58</f>
        <v>Sudáfrica</v>
      </c>
      <c r="H382" s="9" t="str">
        <f ca="1">+WORLDCUP!BD64</f>
        <v>Egipto</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Noruega</v>
      </c>
      <c r="D383" s="9" t="str">
        <f ca="1">+WORLDCUP!BD64</f>
        <v>Egipto</v>
      </c>
      <c r="E383" s="9" t="str">
        <f ca="1">+WORLDCUP!BD59</f>
        <v>Canadá</v>
      </c>
      <c r="F383" s="9" t="str">
        <f ca="1">+WORLDCUP!BD60</f>
        <v>Haití</v>
      </c>
      <c r="G383" s="9" t="str">
        <f ca="1">+WORLDCUP!BD58</f>
        <v>Sudáfrica</v>
      </c>
      <c r="H383" s="9" t="str">
        <f ca="1">+WORLDCUP!BD63</f>
        <v>Túnez</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Haití</v>
      </c>
      <c r="D384" s="9" t="str">
        <f ca="1">+WORLDCUP!BD67</f>
        <v>Argelia</v>
      </c>
      <c r="E384" s="9" t="str">
        <f ca="1">+WORLDCUP!BD59</f>
        <v>Canadá</v>
      </c>
      <c r="F384" s="9" t="str">
        <f ca="1">+WORLDCUP!BD63</f>
        <v>Túnez</v>
      </c>
      <c r="G384" s="9" t="str">
        <f ca="1">+WORLDCUP!BD58</f>
        <v>Sudáfrica</v>
      </c>
      <c r="H384" s="9" t="str">
        <f ca="1">+WORLDCUP!BD64</f>
        <v>Egipto</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Haití</v>
      </c>
      <c r="D385" s="9" t="str">
        <f ca="1">+WORLDCUP!BD67</f>
        <v>Argelia</v>
      </c>
      <c r="E385" s="9" t="str">
        <f ca="1">+WORLDCUP!BD59</f>
        <v>Canadá</v>
      </c>
      <c r="F385" s="9" t="str">
        <f ca="1">+WORLDCUP!BD63</f>
        <v>Túnez</v>
      </c>
      <c r="G385" s="9" t="str">
        <f ca="1">+WORLDCUP!BD58</f>
        <v>Sudáfrica</v>
      </c>
      <c r="H385" s="9" t="str">
        <f ca="1">+WORLDCUP!BD64</f>
        <v>Egipto</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Cabo Verde</v>
      </c>
      <c r="D386" s="9" t="str">
        <f ca="1">+WORLDCUP!BD64</f>
        <v>Egipto</v>
      </c>
      <c r="E386" s="9" t="str">
        <f ca="1">+WORLDCUP!BD59</f>
        <v>Canadá</v>
      </c>
      <c r="F386" s="9" t="str">
        <f ca="1">+WORLDCUP!BD60</f>
        <v>Haití</v>
      </c>
      <c r="G386" s="9" t="str">
        <f ca="1">+WORLDCUP!BD58</f>
        <v>Sudáfrica</v>
      </c>
      <c r="H386" s="9" t="str">
        <f ca="1">+WORLDCUP!BD63</f>
        <v>Túnez</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Cabo Verde</v>
      </c>
      <c r="D387" s="9" t="str">
        <f ca="1">+WORLDCUP!BD64</f>
        <v>Egipto</v>
      </c>
      <c r="E387" s="9" t="str">
        <f ca="1">+WORLDCUP!BD59</f>
        <v>Canadá</v>
      </c>
      <c r="F387" s="9" t="str">
        <f ca="1">+WORLDCUP!BD60</f>
        <v>Haití</v>
      </c>
      <c r="G387" s="9" t="str">
        <f ca="1">+WORLDCUP!BD58</f>
        <v>Sudáfrica</v>
      </c>
      <c r="H387" s="9" t="str">
        <f ca="1">+WORLDCUP!BD63</f>
        <v>Túnez</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Cabo Verde</v>
      </c>
      <c r="D388" s="9" t="str">
        <f ca="1">+WORLDCUP!BD64</f>
        <v>Egipto</v>
      </c>
      <c r="E388" s="9" t="str">
        <f ca="1">+WORLDCUP!BD59</f>
        <v>Canadá</v>
      </c>
      <c r="F388" s="9" t="str">
        <f ca="1">+WORLDCUP!BD60</f>
        <v>Haití</v>
      </c>
      <c r="G388" s="9" t="str">
        <f ca="1">+WORLDCUP!BD58</f>
        <v>Sudáfrica</v>
      </c>
      <c r="H388" s="9" t="str">
        <f ca="1">+WORLDCUP!BD63</f>
        <v>Túnez</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Cabo Verde</v>
      </c>
      <c r="D389" s="9" t="str">
        <f ca="1">+WORLDCUP!BD64</f>
        <v>Egipto</v>
      </c>
      <c r="E389" s="9" t="str">
        <f ca="1">+WORLDCUP!BD59</f>
        <v>Canadá</v>
      </c>
      <c r="F389" s="9" t="str">
        <f ca="1">+WORLDCUP!BD60</f>
        <v>Haití</v>
      </c>
      <c r="G389" s="9" t="str">
        <f ca="1">+WORLDCUP!BD58</f>
        <v>Sudáfrica</v>
      </c>
      <c r="H389" s="9" t="str">
        <f ca="1">+WORLDCUP!BD63</f>
        <v>Túnez</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Cabo Verde</v>
      </c>
      <c r="D390" s="9" t="str">
        <f ca="1">+WORLDCUP!BD64</f>
        <v>Egipto</v>
      </c>
      <c r="E390" s="9" t="str">
        <f ca="1">+WORLDCUP!BD59</f>
        <v>Canadá</v>
      </c>
      <c r="F390" s="9" t="str">
        <f ca="1">+WORLDCUP!BD60</f>
        <v>Haití</v>
      </c>
      <c r="G390" s="9" t="str">
        <f ca="1">+WORLDCUP!BD58</f>
        <v>Sudáfrica</v>
      </c>
      <c r="H390" s="9" t="str">
        <f ca="1">+WORLDCUP!BD63</f>
        <v>Túnez</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Cabo Verde</v>
      </c>
      <c r="D391" s="9" t="str">
        <f ca="1">+WORLDCUP!BD64</f>
        <v>Egipto</v>
      </c>
      <c r="E391" s="9" t="str">
        <f ca="1">+WORLDCUP!BD59</f>
        <v>Canadá</v>
      </c>
      <c r="F391" s="9" t="str">
        <f ca="1">+WORLDCUP!BD60</f>
        <v>Haití</v>
      </c>
      <c r="G391" s="9" t="str">
        <f ca="1">+WORLDCUP!BD58</f>
        <v>Sudáfrica</v>
      </c>
      <c r="H391" s="9" t="str">
        <f ca="1">+WORLDCUP!BD63</f>
        <v>Túnez</v>
      </c>
      <c r="I391" s="9" t="str">
        <f ca="1">+WORLDCUP!BD66</f>
        <v>Noruega</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Costa de Marfil</v>
      </c>
      <c r="D392" s="9" t="str">
        <f ca="1">+WORLDCUP!BD67</f>
        <v>Argelia</v>
      </c>
      <c r="E392" s="9" t="str">
        <f ca="1">+WORLDCUP!BD59</f>
        <v>Canadá</v>
      </c>
      <c r="F392" s="9" t="str">
        <f ca="1">+WORLDCUP!BD58</f>
        <v>Sudáfrica</v>
      </c>
      <c r="G392" s="9" t="str">
        <f ca="1">+WORLDCUP!BD66</f>
        <v>Noruega</v>
      </c>
      <c r="H392" s="9" t="str">
        <f ca="1">+WORLDCUP!BD60</f>
        <v>Haití</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Costa de Marfil</v>
      </c>
      <c r="D393" s="9" t="str">
        <f ca="1">+WORLDCUP!BD67</f>
        <v>Argelia</v>
      </c>
      <c r="E393" s="9" t="str">
        <f ca="1">+WORLDCUP!BD59</f>
        <v>Canadá</v>
      </c>
      <c r="F393" s="9" t="str">
        <f ca="1">+WORLDCUP!BD60</f>
        <v>Haití</v>
      </c>
      <c r="G393" s="9" t="str">
        <f ca="1">+WORLDCUP!BD58</f>
        <v>Sudáfrica</v>
      </c>
      <c r="H393" s="9" t="str">
        <f ca="1">+WORLDCUP!BD65</f>
        <v>Cabo Verde</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Costa de Marfil</v>
      </c>
      <c r="D394" s="9" t="str">
        <f ca="1">+WORLDCUP!BD66</f>
        <v>Noruega</v>
      </c>
      <c r="E394" s="9" t="str">
        <f ca="1">+WORLDCUP!BD59</f>
        <v>Canadá</v>
      </c>
      <c r="F394" s="9" t="str">
        <f ca="1">+WORLDCUP!BD60</f>
        <v>Haití</v>
      </c>
      <c r="G394" s="9" t="str">
        <f ca="1">+WORLDCUP!BD58</f>
        <v>Sudáfrica</v>
      </c>
      <c r="H394" s="9" t="str">
        <f ca="1">+WORLDCUP!BD65</f>
        <v>Cabo Verde</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Costa de Marfil</v>
      </c>
      <c r="D395" s="9" t="str">
        <f ca="1">+WORLDCUP!BD67</f>
        <v>Argelia</v>
      </c>
      <c r="E395" s="9" t="str">
        <f ca="1">+WORLDCUP!BD59</f>
        <v>Canadá</v>
      </c>
      <c r="F395" s="9" t="str">
        <f ca="1">+WORLDCUP!BD60</f>
        <v>Haití</v>
      </c>
      <c r="G395" s="9" t="str">
        <f ca="1">+WORLDCUP!BD58</f>
        <v>Sudáfrica</v>
      </c>
      <c r="H395" s="9" t="str">
        <f ca="1">+WORLDCUP!BD65</f>
        <v>Cabo Verde</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Costa de Marfil</v>
      </c>
      <c r="D396" s="9" t="str">
        <f ca="1">+WORLDCUP!BD67</f>
        <v>Argelia</v>
      </c>
      <c r="E396" s="9" t="str">
        <f ca="1">+WORLDCUP!BD59</f>
        <v>Canadá</v>
      </c>
      <c r="F396" s="9" t="str">
        <f ca="1">+WORLDCUP!BD60</f>
        <v>Haití</v>
      </c>
      <c r="G396" s="9" t="str">
        <f ca="1">+WORLDCUP!BD58</f>
        <v>Sudáfrica</v>
      </c>
      <c r="H396" s="9" t="str">
        <f ca="1">+WORLDCUP!BD65</f>
        <v>Cabo Verde</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Costa de Marfil</v>
      </c>
      <c r="D397" s="9" t="str">
        <f ca="1">+WORLDCUP!BD67</f>
        <v>Argelia</v>
      </c>
      <c r="E397" s="9" t="str">
        <f ca="1">+WORLDCUP!BD59</f>
        <v>Canadá</v>
      </c>
      <c r="F397" s="9" t="str">
        <f ca="1">+WORLDCUP!BD60</f>
        <v>Haití</v>
      </c>
      <c r="G397" s="9" t="str">
        <f ca="1">+WORLDCUP!BD58</f>
        <v>Sudáfrica</v>
      </c>
      <c r="H397" s="9" t="str">
        <f ca="1">+WORLDCUP!BD64</f>
        <v>Egipto</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Costa de Marfil</v>
      </c>
      <c r="D398" s="9" t="str">
        <f ca="1">+WORLDCUP!BD64</f>
        <v>Egipto</v>
      </c>
      <c r="E398" s="9" t="str">
        <f ca="1">+WORLDCUP!BD59</f>
        <v>Canadá</v>
      </c>
      <c r="F398" s="9" t="str">
        <f ca="1">+WORLDCUP!BD58</f>
        <v>Sudáfrica</v>
      </c>
      <c r="G398" s="9" t="str">
        <f ca="1">+WORLDCUP!BD66</f>
        <v>Noruega</v>
      </c>
      <c r="H398" s="9" t="str">
        <f ca="1">+WORLDCUP!BD60</f>
        <v>Haití</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Costa de Marfil</v>
      </c>
      <c r="D399" s="9" t="str">
        <f ca="1">+WORLDCUP!BD67</f>
        <v>Argelia</v>
      </c>
      <c r="E399" s="9" t="str">
        <f ca="1">+WORLDCUP!BD59</f>
        <v>Canadá</v>
      </c>
      <c r="F399" s="9" t="str">
        <f ca="1">+WORLDCUP!BD60</f>
        <v>Haití</v>
      </c>
      <c r="G399" s="9" t="str">
        <f ca="1">+WORLDCUP!BD58</f>
        <v>Sudáfrica</v>
      </c>
      <c r="H399" s="9" t="str">
        <f ca="1">+WORLDCUP!BD64</f>
        <v>Egipto</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Costa de Marfil</v>
      </c>
      <c r="D400" s="9" t="str">
        <f ca="1">+WORLDCUP!BD67</f>
        <v>Argelia</v>
      </c>
      <c r="E400" s="9" t="str">
        <f ca="1">+WORLDCUP!BD59</f>
        <v>Canadá</v>
      </c>
      <c r="F400" s="9" t="str">
        <f ca="1">+WORLDCUP!BD60</f>
        <v>Haití</v>
      </c>
      <c r="G400" s="9" t="str">
        <f ca="1">+WORLDCUP!BD58</f>
        <v>Sudáfrica</v>
      </c>
      <c r="H400" s="9" t="str">
        <f ca="1">+WORLDCUP!BD64</f>
        <v>Egipto</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Costa de Marfil</v>
      </c>
      <c r="D401" s="9" t="str">
        <f ca="1">+WORLDCUP!BD64</f>
        <v>Egipto</v>
      </c>
      <c r="E401" s="9" t="str">
        <f ca="1">+WORLDCUP!BD59</f>
        <v>Canadá</v>
      </c>
      <c r="F401" s="9" t="str">
        <f ca="1">+WORLDCUP!BD60</f>
        <v>Haití</v>
      </c>
      <c r="G401" s="9" t="str">
        <f ca="1">+WORLDCUP!BD58</f>
        <v>Sudáfrica</v>
      </c>
      <c r="H401" s="9" t="str">
        <f ca="1">+WORLDCUP!BD65</f>
        <v>Cabo Verde</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Cabo Verde</v>
      </c>
      <c r="D402" s="9" t="str">
        <f ca="1">+WORLDCUP!BD67</f>
        <v>Argelia</v>
      </c>
      <c r="E402" s="9" t="str">
        <f ca="1">+WORLDCUP!BD59</f>
        <v>Canadá</v>
      </c>
      <c r="F402" s="9" t="str">
        <f ca="1">+WORLDCUP!BD60</f>
        <v>Haití</v>
      </c>
      <c r="G402" s="9" t="str">
        <f ca="1">+WORLDCUP!BD58</f>
        <v>Sudáfrica</v>
      </c>
      <c r="H402" s="9" t="str">
        <f ca="1">+WORLDCUP!BD64</f>
        <v>Egipto</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Cabo Verde</v>
      </c>
      <c r="D403" s="9" t="str">
        <f ca="1">+WORLDCUP!BD67</f>
        <v>Argelia</v>
      </c>
      <c r="E403" s="9" t="str">
        <f ca="1">+WORLDCUP!BD59</f>
        <v>Canadá</v>
      </c>
      <c r="F403" s="9" t="str">
        <f ca="1">+WORLDCUP!BD60</f>
        <v>Haití</v>
      </c>
      <c r="G403" s="9" t="str">
        <f ca="1">+WORLDCUP!BD58</f>
        <v>Sudáfrica</v>
      </c>
      <c r="H403" s="9" t="str">
        <f ca="1">+WORLDCUP!BD64</f>
        <v>Egipto</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Costa de Marfil</v>
      </c>
      <c r="D404" s="9" t="str">
        <f ca="1">+WORLDCUP!BD64</f>
        <v>Egipto</v>
      </c>
      <c r="E404" s="9" t="str">
        <f ca="1">+WORLDCUP!BD59</f>
        <v>Canadá</v>
      </c>
      <c r="F404" s="9" t="str">
        <f ca="1">+WORLDCUP!BD60</f>
        <v>Haití</v>
      </c>
      <c r="G404" s="9" t="str">
        <f ca="1">+WORLDCUP!BD58</f>
        <v>Sudáfrica</v>
      </c>
      <c r="H404" s="9" t="str">
        <f ca="1">+WORLDCUP!BD65</f>
        <v>Cabo Verde</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Costa de Marfil</v>
      </c>
      <c r="D405" s="9" t="str">
        <f ca="1">+WORLDCUP!BD64</f>
        <v>Egipto</v>
      </c>
      <c r="E405" s="9" t="str">
        <f ca="1">+WORLDCUP!BD59</f>
        <v>Canadá</v>
      </c>
      <c r="F405" s="9" t="str">
        <f ca="1">+WORLDCUP!BD60</f>
        <v>Haití</v>
      </c>
      <c r="G405" s="9" t="str">
        <f ca="1">+WORLDCUP!BD58</f>
        <v>Sudáfrica</v>
      </c>
      <c r="H405" s="9" t="str">
        <f ca="1">+WORLDCUP!BD65</f>
        <v>Cabo Verde</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Cabo Verde</v>
      </c>
      <c r="D406" s="9" t="str">
        <f ca="1">+WORLDCUP!BD67</f>
        <v>Argelia</v>
      </c>
      <c r="E406" s="9" t="str">
        <f ca="1">+WORLDCUP!BD59</f>
        <v>Canadá</v>
      </c>
      <c r="F406" s="9" t="str">
        <f ca="1">+WORLDCUP!BD60</f>
        <v>Haití</v>
      </c>
      <c r="G406" s="9" t="str">
        <f ca="1">+WORLDCUP!BD58</f>
        <v>Sudáfrica</v>
      </c>
      <c r="H406" s="9" t="str">
        <f ca="1">+WORLDCUP!BD64</f>
        <v>Egipto</v>
      </c>
      <c r="I406" s="9" t="str">
        <f ca="1">+WORLDCUP!BD62</f>
        <v>Costa de Marfil</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Costa de Marfil</v>
      </c>
      <c r="D407" s="9" t="str">
        <f ca="1">+WORLDCUP!BD67</f>
        <v>Argelia</v>
      </c>
      <c r="E407" s="9" t="str">
        <f ca="1">+WORLDCUP!BD59</f>
        <v>Canadá</v>
      </c>
      <c r="F407" s="9" t="str">
        <f ca="1">+WORLDCUP!BD60</f>
        <v>Haití</v>
      </c>
      <c r="G407" s="9" t="str">
        <f ca="1">+WORLDCUP!BD58</f>
        <v>Sudáfrica</v>
      </c>
      <c r="H407" s="9" t="str">
        <f ca="1">+WORLDCUP!BD63</f>
        <v>Túnez</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Costa de Marfil</v>
      </c>
      <c r="D408" s="9" t="str">
        <f ca="1">+WORLDCUP!BD66</f>
        <v>Noruega</v>
      </c>
      <c r="E408" s="9" t="str">
        <f ca="1">+WORLDCUP!BD59</f>
        <v>Canadá</v>
      </c>
      <c r="F408" s="9" t="str">
        <f ca="1">+WORLDCUP!BD60</f>
        <v>Haití</v>
      </c>
      <c r="G408" s="9" t="str">
        <f ca="1">+WORLDCUP!BD58</f>
        <v>Sudáfrica</v>
      </c>
      <c r="H408" s="9" t="str">
        <f ca="1">+WORLDCUP!BD63</f>
        <v>Túnez</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Costa de Marfil</v>
      </c>
      <c r="D409" s="9" t="str">
        <f ca="1">+WORLDCUP!BD67</f>
        <v>Argelia</v>
      </c>
      <c r="E409" s="9" t="str">
        <f ca="1">+WORLDCUP!BD59</f>
        <v>Canadá</v>
      </c>
      <c r="F409" s="9" t="str">
        <f ca="1">+WORLDCUP!BD60</f>
        <v>Haití</v>
      </c>
      <c r="G409" s="9" t="str">
        <f ca="1">+WORLDCUP!BD58</f>
        <v>Sudáfrica</v>
      </c>
      <c r="H409" s="9" t="str">
        <f ca="1">+WORLDCUP!BD63</f>
        <v>Túnez</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Costa de Marfil</v>
      </c>
      <c r="D410" s="9" t="str">
        <f ca="1">+WORLDCUP!BD67</f>
        <v>Argelia</v>
      </c>
      <c r="E410" s="9" t="str">
        <f ca="1">+WORLDCUP!BD59</f>
        <v>Canadá</v>
      </c>
      <c r="F410" s="9" t="str">
        <f ca="1">+WORLDCUP!BD60</f>
        <v>Haití</v>
      </c>
      <c r="G410" s="9" t="str">
        <f ca="1">+WORLDCUP!BD58</f>
        <v>Sudáfrica</v>
      </c>
      <c r="H410" s="9" t="str">
        <f ca="1">+WORLDCUP!BD63</f>
        <v>Túnez</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Cabo Verde</v>
      </c>
      <c r="D411" s="9" t="str">
        <f ca="1">+WORLDCUP!BD62</f>
        <v>Costa de Marfil</v>
      </c>
      <c r="E411" s="9" t="str">
        <f ca="1">+WORLDCUP!BD59</f>
        <v>Canadá</v>
      </c>
      <c r="F411" s="9" t="str">
        <f ca="1">+WORLDCUP!BD60</f>
        <v>Haití</v>
      </c>
      <c r="G411" s="9" t="str">
        <f ca="1">+WORLDCUP!BD58</f>
        <v>Sudáfrica</v>
      </c>
      <c r="H411" s="9" t="str">
        <f ca="1">+WORLDCUP!BD63</f>
        <v>Túnez</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Cabo Verde</v>
      </c>
      <c r="D412" s="9" t="str">
        <f ca="1">+WORLDCUP!BD67</f>
        <v>Argelia</v>
      </c>
      <c r="E412" s="9" t="str">
        <f ca="1">+WORLDCUP!BD59</f>
        <v>Canadá</v>
      </c>
      <c r="F412" s="9" t="str">
        <f ca="1">+WORLDCUP!BD60</f>
        <v>Haití</v>
      </c>
      <c r="G412" s="9" t="str">
        <f ca="1">+WORLDCUP!BD58</f>
        <v>Sudáfrica</v>
      </c>
      <c r="H412" s="9" t="str">
        <f ca="1">+WORLDCUP!BD63</f>
        <v>Túnez</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Cabo Verde</v>
      </c>
      <c r="D413" s="9" t="str">
        <f ca="1">+WORLDCUP!BD67</f>
        <v>Argelia</v>
      </c>
      <c r="E413" s="9" t="str">
        <f ca="1">+WORLDCUP!BD59</f>
        <v>Canadá</v>
      </c>
      <c r="F413" s="9" t="str">
        <f ca="1">+WORLDCUP!BD60</f>
        <v>Haití</v>
      </c>
      <c r="G413" s="9" t="str">
        <f ca="1">+WORLDCUP!BD58</f>
        <v>Sudáfrica</v>
      </c>
      <c r="H413" s="9" t="str">
        <f ca="1">+WORLDCUP!BD63</f>
        <v>Túnez</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Cabo Verde</v>
      </c>
      <c r="D414" s="9" t="str">
        <f ca="1">+WORLDCUP!BD62</f>
        <v>Costa de Marfil</v>
      </c>
      <c r="E414" s="9" t="str">
        <f ca="1">+WORLDCUP!BD59</f>
        <v>Canadá</v>
      </c>
      <c r="F414" s="9" t="str">
        <f ca="1">+WORLDCUP!BD60</f>
        <v>Haití</v>
      </c>
      <c r="G414" s="9" t="str">
        <f ca="1">+WORLDCUP!BD58</f>
        <v>Sudáfrica</v>
      </c>
      <c r="H414" s="9" t="str">
        <f ca="1">+WORLDCUP!BD63</f>
        <v>Túnez</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Cabo Verde</v>
      </c>
      <c r="D415" s="9" t="str">
        <f ca="1">+WORLDCUP!BD62</f>
        <v>Costa de Marfil</v>
      </c>
      <c r="E415" s="9" t="str">
        <f ca="1">+WORLDCUP!BD59</f>
        <v>Canadá</v>
      </c>
      <c r="F415" s="9" t="str">
        <f ca="1">+WORLDCUP!BD60</f>
        <v>Haití</v>
      </c>
      <c r="G415" s="9" t="str">
        <f ca="1">+WORLDCUP!BD58</f>
        <v>Sudáfrica</v>
      </c>
      <c r="H415" s="9" t="str">
        <f ca="1">+WORLDCUP!BD63</f>
        <v>Túnez</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Cabo Verde</v>
      </c>
      <c r="D416" s="9" t="str">
        <f ca="1">+WORLDCUP!BD67</f>
        <v>Argelia</v>
      </c>
      <c r="E416" s="9" t="str">
        <f ca="1">+WORLDCUP!BD59</f>
        <v>Canadá</v>
      </c>
      <c r="F416" s="9" t="str">
        <f ca="1">+WORLDCUP!BD60</f>
        <v>Haití</v>
      </c>
      <c r="G416" s="9" t="str">
        <f ca="1">+WORLDCUP!BD58</f>
        <v>Sudáfrica</v>
      </c>
      <c r="H416" s="9" t="str">
        <f ca="1">+WORLDCUP!BD63</f>
        <v>Túnez</v>
      </c>
      <c r="I416" s="9" t="str">
        <f ca="1">+WORLDCUP!BD62</f>
        <v>Costa de Marfil</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Costa de Marfil</v>
      </c>
      <c r="D417" s="9" t="str">
        <f ca="1">+WORLDCUP!BD64</f>
        <v>Egipto</v>
      </c>
      <c r="E417" s="9" t="str">
        <f ca="1">+WORLDCUP!BD59</f>
        <v>Canadá</v>
      </c>
      <c r="F417" s="9" t="str">
        <f ca="1">+WORLDCUP!BD60</f>
        <v>Haití</v>
      </c>
      <c r="G417" s="9" t="str">
        <f ca="1">+WORLDCUP!BD58</f>
        <v>Sudáfrica</v>
      </c>
      <c r="H417" s="9" t="str">
        <f ca="1">+WORLDCUP!BD63</f>
        <v>Túnez</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Costa de Marfil</v>
      </c>
      <c r="D418" s="9" t="str">
        <f ca="1">+WORLDCUP!BD64</f>
        <v>Egipto</v>
      </c>
      <c r="E418" s="9" t="str">
        <f ca="1">+WORLDCUP!BD59</f>
        <v>Canadá</v>
      </c>
      <c r="F418" s="9" t="str">
        <f ca="1">+WORLDCUP!BD60</f>
        <v>Haití</v>
      </c>
      <c r="G418" s="9" t="str">
        <f ca="1">+WORLDCUP!BD58</f>
        <v>Sudáfrica</v>
      </c>
      <c r="H418" s="9" t="str">
        <f ca="1">+WORLDCUP!BD63</f>
        <v>Túnez</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Costa de Marfil</v>
      </c>
      <c r="D419" s="9" t="str">
        <f ca="1">+WORLDCUP!BD64</f>
        <v>Egipto</v>
      </c>
      <c r="E419" s="9" t="str">
        <f ca="1">+WORLDCUP!BD59</f>
        <v>Canadá</v>
      </c>
      <c r="F419" s="9" t="str">
        <f ca="1">+WORLDCUP!BD60</f>
        <v>Haití</v>
      </c>
      <c r="G419" s="9" t="str">
        <f ca="1">+WORLDCUP!BD58</f>
        <v>Sudáfrica</v>
      </c>
      <c r="H419" s="9" t="str">
        <f ca="1">+WORLDCUP!BD63</f>
        <v>Túnez</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Costa de Marfil</v>
      </c>
      <c r="D420" s="9" t="str">
        <f ca="1">+WORLDCUP!BD64</f>
        <v>Egipto</v>
      </c>
      <c r="E420" s="9" t="str">
        <f ca="1">+WORLDCUP!BD59</f>
        <v>Canadá</v>
      </c>
      <c r="F420" s="9" t="str">
        <f ca="1">+WORLDCUP!BD60</f>
        <v>Haití</v>
      </c>
      <c r="G420" s="9" t="str">
        <f ca="1">+WORLDCUP!BD58</f>
        <v>Sudáfrica</v>
      </c>
      <c r="H420" s="9" t="str">
        <f ca="1">+WORLDCUP!BD63</f>
        <v>Túnez</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Costa de Marfil</v>
      </c>
      <c r="D421" s="9" t="str">
        <f ca="1">+WORLDCUP!BD64</f>
        <v>Egipto</v>
      </c>
      <c r="E421" s="9" t="str">
        <f ca="1">+WORLDCUP!BD59</f>
        <v>Canadá</v>
      </c>
      <c r="F421" s="9" t="str">
        <f ca="1">+WORLDCUP!BD60</f>
        <v>Haití</v>
      </c>
      <c r="G421" s="9" t="str">
        <f ca="1">+WORLDCUP!BD58</f>
        <v>Sudáfrica</v>
      </c>
      <c r="H421" s="9" t="str">
        <f ca="1">+WORLDCUP!BD63</f>
        <v>Túnez</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Costa de Marfil</v>
      </c>
      <c r="D422" s="9" t="str">
        <f ca="1">+WORLDCUP!BD64</f>
        <v>Egipto</v>
      </c>
      <c r="E422" s="9" t="str">
        <f ca="1">+WORLDCUP!BD59</f>
        <v>Canadá</v>
      </c>
      <c r="F422" s="9" t="str">
        <f ca="1">+WORLDCUP!BD60</f>
        <v>Haití</v>
      </c>
      <c r="G422" s="9" t="str">
        <f ca="1">+WORLDCUP!BD58</f>
        <v>Sudáfrica</v>
      </c>
      <c r="H422" s="9" t="str">
        <f ca="1">+WORLDCUP!BD63</f>
        <v>Túnez</v>
      </c>
      <c r="I422" s="9" t="str">
        <f ca="1">+WORLDCUP!BD66</f>
        <v>Noruega</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Cabo Verde</v>
      </c>
      <c r="D423" s="9" t="str">
        <f ca="1">+WORLDCUP!BD64</f>
        <v>Egipto</v>
      </c>
      <c r="E423" s="9" t="str">
        <f ca="1">+WORLDCUP!BD59</f>
        <v>Canadá</v>
      </c>
      <c r="F423" s="9" t="str">
        <f ca="1">+WORLDCUP!BD60</f>
        <v>Haití</v>
      </c>
      <c r="G423" s="9" t="str">
        <f ca="1">+WORLDCUP!BD58</f>
        <v>Sudáfrica</v>
      </c>
      <c r="H423" s="9" t="str">
        <f ca="1">+WORLDCUP!BD63</f>
        <v>Túnez</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Cabo Verde</v>
      </c>
      <c r="D424" s="9" t="str">
        <f ca="1">+WORLDCUP!BD64</f>
        <v>Egipto</v>
      </c>
      <c r="E424" s="9" t="str">
        <f ca="1">+WORLDCUP!BD59</f>
        <v>Canadá</v>
      </c>
      <c r="F424" s="9" t="str">
        <f ca="1">+WORLDCUP!BD60</f>
        <v>Haití</v>
      </c>
      <c r="G424" s="9" t="str">
        <f ca="1">+WORLDCUP!BD58</f>
        <v>Sudáfrica</v>
      </c>
      <c r="H424" s="9" t="str">
        <f ca="1">+WORLDCUP!BD63</f>
        <v>Túnez</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Cabo Verde</v>
      </c>
      <c r="D425" s="9" t="str">
        <f ca="1">+WORLDCUP!BD64</f>
        <v>Egipto</v>
      </c>
      <c r="E425" s="9" t="str">
        <f ca="1">+WORLDCUP!BD59</f>
        <v>Canadá</v>
      </c>
      <c r="F425" s="9" t="str">
        <f ca="1">+WORLDCUP!BD60</f>
        <v>Haití</v>
      </c>
      <c r="G425" s="9" t="str">
        <f ca="1">+WORLDCUP!BD58</f>
        <v>Sudáfrica</v>
      </c>
      <c r="H425" s="9" t="str">
        <f ca="1">+WORLDCUP!BD63</f>
        <v>Túnez</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Cabo Verde</v>
      </c>
      <c r="D426" s="9" t="str">
        <f ca="1">+WORLDCUP!BD64</f>
        <v>Egipto</v>
      </c>
      <c r="E426" s="9" t="str">
        <f ca="1">+WORLDCUP!BD59</f>
        <v>Canadá</v>
      </c>
      <c r="F426" s="9" t="str">
        <f ca="1">+WORLDCUP!BD60</f>
        <v>Haití</v>
      </c>
      <c r="G426" s="9" t="str">
        <f ca="1">+WORLDCUP!BD58</f>
        <v>Sudáfrica</v>
      </c>
      <c r="H426" s="9" t="str">
        <f ca="1">+WORLDCUP!BD63</f>
        <v>Túnez</v>
      </c>
      <c r="I426" s="9" t="str">
        <f ca="1">+WORLDCUP!BD62</f>
        <v>Costa de Marfil</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Noruega</v>
      </c>
      <c r="D427" s="9" t="str">
        <f ca="1">+WORLDCUP!BD67</f>
        <v>Argelia</v>
      </c>
      <c r="E427" s="9" t="str">
        <f ca="1">+WORLDCUP!BD59</f>
        <v>Canadá</v>
      </c>
      <c r="F427" s="9" t="str">
        <f ca="1">+WORLDCUP!BD60</f>
        <v>Haití</v>
      </c>
      <c r="G427" s="9" t="str">
        <f ca="1">+WORLDCUP!BD58</f>
        <v>Sudáfrica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Cabo Verde</v>
      </c>
      <c r="D428" s="9" t="str">
        <f ca="1">+WORLDCUP!BD67</f>
        <v>Argelia</v>
      </c>
      <c r="E428" s="9" t="str">
        <f ca="1">+WORLDCUP!BD59</f>
        <v>Canadá</v>
      </c>
      <c r="F428" s="9" t="str">
        <f ca="1">+WORLDCUP!BD60</f>
        <v>Haití</v>
      </c>
      <c r="G428" s="9" t="str">
        <f ca="1">+WORLDCUP!BD58</f>
        <v>Sudáfrica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Cabo Verde</v>
      </c>
      <c r="D429" s="9" t="str">
        <f ca="1">+WORLDCUP!BD66</f>
        <v>Noruega</v>
      </c>
      <c r="E429" s="9" t="str">
        <f ca="1">+WORLDCUP!BD59</f>
        <v>Canadá</v>
      </c>
      <c r="F429" s="9" t="str">
        <f ca="1">+WORLDCUP!BD60</f>
        <v>Haití</v>
      </c>
      <c r="G429" s="9" t="str">
        <f ca="1">+WORLDCUP!BD58</f>
        <v>Sudáfrica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Cabo Verde</v>
      </c>
      <c r="D430" s="9" t="str">
        <f ca="1">+WORLDCUP!BD67</f>
        <v>Argelia</v>
      </c>
      <c r="E430" s="9" t="str">
        <f ca="1">+WORLDCUP!BD59</f>
        <v>Canadá</v>
      </c>
      <c r="F430" s="9" t="str">
        <f ca="1">+WORLDCUP!BD60</f>
        <v>Haití</v>
      </c>
      <c r="G430" s="9" t="str">
        <f ca="1">+WORLDCUP!BD58</f>
        <v>Sudáfrica</v>
      </c>
      <c r="H430" s="9" t="str">
        <f ca="1">+WORLDCUP!BD61</f>
        <v>Paraguay</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Cabo Verde</v>
      </c>
      <c r="D431" s="9" t="str">
        <f ca="1">+WORLDCUP!BD67</f>
        <v>Argelia</v>
      </c>
      <c r="E431" s="9" t="str">
        <f ca="1">+WORLDCUP!BD59</f>
        <v>Canadá</v>
      </c>
      <c r="F431" s="9" t="str">
        <f ca="1">+WORLDCUP!BD60</f>
        <v>Haití</v>
      </c>
      <c r="G431" s="9" t="str">
        <f ca="1">+WORLDCUP!BD58</f>
        <v>Sudáfrica</v>
      </c>
      <c r="H431" s="9" t="str">
        <f ca="1">+WORLDCUP!BD61</f>
        <v>Paraguay</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Haití</v>
      </c>
      <c r="D432" s="9" t="str">
        <f ca="1">+WORLDCUP!BD67</f>
        <v>Argelia</v>
      </c>
      <c r="E432" s="9" t="str">
        <f ca="1">+WORLDCUP!BD59</f>
        <v>Canadá</v>
      </c>
      <c r="F432" s="9" t="str">
        <f ca="1">+WORLDCUP!BD61</f>
        <v>Paraguay</v>
      </c>
      <c r="G432" s="9" t="str">
        <f ca="1">+WORLDCUP!BD58</f>
        <v>Sudáfrica</v>
      </c>
      <c r="H432" s="9" t="str">
        <f ca="1">+WORLDCUP!BD64</f>
        <v>Egipto</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Noruega</v>
      </c>
      <c r="D433" s="9" t="str">
        <f ca="1">+WORLDCUP!BD64</f>
        <v>Egipto</v>
      </c>
      <c r="E433" s="9" t="str">
        <f ca="1">+WORLDCUP!BD59</f>
        <v>Canadá</v>
      </c>
      <c r="F433" s="9" t="str">
        <f ca="1">+WORLDCUP!BD60</f>
        <v>Haití</v>
      </c>
      <c r="G433" s="9" t="str">
        <f ca="1">+WORLDCUP!BD58</f>
        <v>Sudáfrica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Haití</v>
      </c>
      <c r="D434" s="9" t="str">
        <f ca="1">+WORLDCUP!BD67</f>
        <v>Argelia</v>
      </c>
      <c r="E434" s="9" t="str">
        <f ca="1">+WORLDCUP!BD59</f>
        <v>Canadá</v>
      </c>
      <c r="F434" s="9" t="str">
        <f ca="1">+WORLDCUP!BD61</f>
        <v>Paraguay</v>
      </c>
      <c r="G434" s="9" t="str">
        <f ca="1">+WORLDCUP!BD58</f>
        <v>Sudáfrica</v>
      </c>
      <c r="H434" s="9" t="str">
        <f ca="1">+WORLDCUP!BD64</f>
        <v>Egipto</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Haití</v>
      </c>
      <c r="D435" s="9" t="str">
        <f ca="1">+WORLDCUP!BD67</f>
        <v>Argelia</v>
      </c>
      <c r="E435" s="9" t="str">
        <f ca="1">+WORLDCUP!BD59</f>
        <v>Canadá</v>
      </c>
      <c r="F435" s="9" t="str">
        <f ca="1">+WORLDCUP!BD61</f>
        <v>Paraguay</v>
      </c>
      <c r="G435" s="9" t="str">
        <f ca="1">+WORLDCUP!BD58</f>
        <v>Sudáfrica</v>
      </c>
      <c r="H435" s="9" t="str">
        <f ca="1">+WORLDCUP!BD64</f>
        <v>Egipto</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Cabo Verde</v>
      </c>
      <c r="D436" s="9" t="str">
        <f ca="1">+WORLDCUP!BD64</f>
        <v>Egipto</v>
      </c>
      <c r="E436" s="9" t="str">
        <f ca="1">+WORLDCUP!BD59</f>
        <v>Canadá</v>
      </c>
      <c r="F436" s="9" t="str">
        <f ca="1">+WORLDCUP!BD60</f>
        <v>Haití</v>
      </c>
      <c r="G436" s="9" t="str">
        <f ca="1">+WORLDCUP!BD58</f>
        <v>Sudáfrica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Cabo Verde</v>
      </c>
      <c r="D437" s="9" t="str">
        <f ca="1">+WORLDCUP!BD64</f>
        <v>Egipto</v>
      </c>
      <c r="E437" s="9" t="str">
        <f ca="1">+WORLDCUP!BD59</f>
        <v>Canadá</v>
      </c>
      <c r="F437" s="9" t="str">
        <f ca="1">+WORLDCUP!BD60</f>
        <v>Haití</v>
      </c>
      <c r="G437" s="9" t="str">
        <f ca="1">+WORLDCUP!BD58</f>
        <v>Sudáfrica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Cabo Verde</v>
      </c>
      <c r="D438" s="9" t="str">
        <f ca="1">+WORLDCUP!BD64</f>
        <v>Egipto</v>
      </c>
      <c r="E438" s="9" t="str">
        <f ca="1">+WORLDCUP!BD59</f>
        <v>Canadá</v>
      </c>
      <c r="F438" s="9" t="str">
        <f ca="1">+WORLDCUP!BD60</f>
        <v>Haití</v>
      </c>
      <c r="G438" s="9" t="str">
        <f ca="1">+WORLDCUP!BD58</f>
        <v>Sudáfrica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Cabo Verde</v>
      </c>
      <c r="D439" s="9" t="str">
        <f ca="1">+WORLDCUP!BD64</f>
        <v>Egipto</v>
      </c>
      <c r="E439" s="9" t="str">
        <f ca="1">+WORLDCUP!BD59</f>
        <v>Canadá</v>
      </c>
      <c r="F439" s="9" t="str">
        <f ca="1">+WORLDCUP!BD60</f>
        <v>Haití</v>
      </c>
      <c r="G439" s="9" t="str">
        <f ca="1">+WORLDCUP!BD58</f>
        <v>Sudáfrica</v>
      </c>
      <c r="H439" s="9" t="str">
        <f ca="1">+WORLDCUP!BD61</f>
        <v>Paraguay</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Cabo Verde</v>
      </c>
      <c r="D440" s="9" t="str">
        <f ca="1">+WORLDCUP!BD64</f>
        <v>Egipto</v>
      </c>
      <c r="E440" s="9" t="str">
        <f ca="1">+WORLDCUP!BD59</f>
        <v>Canadá</v>
      </c>
      <c r="F440" s="9" t="str">
        <f ca="1">+WORLDCUP!BD60</f>
        <v>Haití</v>
      </c>
      <c r="G440" s="9" t="str">
        <f ca="1">+WORLDCUP!BD58</f>
        <v>Sudáfrica</v>
      </c>
      <c r="H440" s="9" t="str">
        <f ca="1">+WORLDCUP!BD61</f>
        <v>Paraguay</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Cabo Verde</v>
      </c>
      <c r="D441" s="9" t="str">
        <f ca="1">+WORLDCUP!BD64</f>
        <v>Egipto</v>
      </c>
      <c r="E441" s="9" t="str">
        <f ca="1">+WORLDCUP!BD59</f>
        <v>Canadá</v>
      </c>
      <c r="F441" s="9" t="str">
        <f ca="1">+WORLDCUP!BD60</f>
        <v>Haití</v>
      </c>
      <c r="G441" s="9" t="str">
        <f ca="1">+WORLDCUP!BD58</f>
        <v>Sudáfrica</v>
      </c>
      <c r="H441" s="9" t="str">
        <f ca="1">+WORLDCUP!BD61</f>
        <v>Paraguay</v>
      </c>
      <c r="I441" s="9" t="str">
        <f ca="1">+WORLDCUP!BD66</f>
        <v>Noruega</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Haití</v>
      </c>
      <c r="D442" s="9" t="str">
        <f ca="1">+WORLDCUP!BD67</f>
        <v>Argelia</v>
      </c>
      <c r="E442" s="9" t="str">
        <f ca="1">+WORLDCUP!BD59</f>
        <v>Canadá</v>
      </c>
      <c r="F442" s="9" t="str">
        <f ca="1">+WORLDCUP!BD61</f>
        <v>Paraguay</v>
      </c>
      <c r="G442" s="9" t="str">
        <f ca="1">+WORLDCUP!BD58</f>
        <v>Sudáfrica</v>
      </c>
      <c r="H442" s="9" t="str">
        <f ca="1">+WORLDCUP!BD63</f>
        <v>Túnez</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Haití</v>
      </c>
      <c r="D443" s="9" t="str">
        <f ca="1">+WORLDCUP!BD66</f>
        <v>Noruega</v>
      </c>
      <c r="E443" s="9" t="str">
        <f ca="1">+WORLDCUP!BD59</f>
        <v>Canadá</v>
      </c>
      <c r="F443" s="9" t="str">
        <f ca="1">+WORLDCUP!BD61</f>
        <v>Paraguay</v>
      </c>
      <c r="G443" s="9" t="str">
        <f ca="1">+WORLDCUP!BD58</f>
        <v>Sudáfrica</v>
      </c>
      <c r="H443" s="9" t="str">
        <f ca="1">+WORLDCUP!BD63</f>
        <v>Túnez</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Haití</v>
      </c>
      <c r="D444" s="9" t="str">
        <f ca="1">+WORLDCUP!BD67</f>
        <v>Argelia</v>
      </c>
      <c r="E444" s="9" t="str">
        <f ca="1">+WORLDCUP!BD59</f>
        <v>Canadá</v>
      </c>
      <c r="F444" s="9" t="str">
        <f ca="1">+WORLDCUP!BD61</f>
        <v>Paraguay</v>
      </c>
      <c r="G444" s="9" t="str">
        <f ca="1">+WORLDCUP!BD58</f>
        <v>Sudáfrica</v>
      </c>
      <c r="H444" s="9" t="str">
        <f ca="1">+WORLDCUP!BD63</f>
        <v>Túnez</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Haití</v>
      </c>
      <c r="D445" s="9" t="str">
        <f ca="1">+WORLDCUP!BD67</f>
        <v>Argelia</v>
      </c>
      <c r="E445" s="9" t="str">
        <f ca="1">+WORLDCUP!BD59</f>
        <v>Canadá</v>
      </c>
      <c r="F445" s="9" t="str">
        <f ca="1">+WORLDCUP!BD61</f>
        <v>Paraguay</v>
      </c>
      <c r="G445" s="9" t="str">
        <f ca="1">+WORLDCUP!BD58</f>
        <v>Sudáfrica</v>
      </c>
      <c r="H445" s="9" t="str">
        <f ca="1">+WORLDCUP!BD63</f>
        <v>Túnez</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Cabo Verde</v>
      </c>
      <c r="D446" s="9" t="str">
        <f ca="1">+WORLDCUP!BD63</f>
        <v>Túnez</v>
      </c>
      <c r="E446" s="9" t="str">
        <f ca="1">+WORLDCUP!BD59</f>
        <v>Canadá</v>
      </c>
      <c r="F446" s="9" t="str">
        <f ca="1">+WORLDCUP!BD60</f>
        <v>Haití</v>
      </c>
      <c r="G446" s="9" t="str">
        <f ca="1">+WORLDCUP!BD58</f>
        <v>Sudáfrica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Haití</v>
      </c>
      <c r="D447" s="9" t="str">
        <f ca="1">+WORLDCUP!BD67</f>
        <v>Argelia</v>
      </c>
      <c r="E447" s="9" t="str">
        <f ca="1">+WORLDCUP!BD59</f>
        <v>Canadá</v>
      </c>
      <c r="F447" s="9" t="str">
        <f ca="1">+WORLDCUP!BD61</f>
        <v>Paraguay</v>
      </c>
      <c r="G447" s="9" t="str">
        <f ca="1">+WORLDCUP!BD58</f>
        <v>Sudáfrica</v>
      </c>
      <c r="H447" s="9" t="str">
        <f ca="1">+WORLDCUP!BD63</f>
        <v>Túnez</v>
      </c>
      <c r="I447" s="9" t="str">
        <f ca="1">+WORLDCUP!BD69</f>
        <v>Ghana</v>
      </c>
      <c r="J447" s="9" t="str">
        <f ca="1">+WORLDCUP!BD65</f>
        <v>Cabo Verde</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Cabo Verde</v>
      </c>
      <c r="D448" s="9" t="str">
        <f ca="1">+WORLDCUP!BD67</f>
        <v>Argelia</v>
      </c>
      <c r="E448" s="9" t="str">
        <f ca="1">+WORLDCUP!BD59</f>
        <v>Canadá</v>
      </c>
      <c r="F448" s="9" t="str">
        <f ca="1">+WORLDCUP!BD60</f>
        <v>Haití</v>
      </c>
      <c r="G448" s="9" t="str">
        <f ca="1">+WORLDCUP!BD58</f>
        <v>Sudáfrica</v>
      </c>
      <c r="H448" s="9" t="str">
        <f ca="1">+WORLDCUP!BD63</f>
        <v>Túnez</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Cabo Verde</v>
      </c>
      <c r="D449" s="9" t="str">
        <f ca="1">+WORLDCUP!BD63</f>
        <v>Túnez</v>
      </c>
      <c r="E449" s="9" t="str">
        <f ca="1">+WORLDCUP!BD59</f>
        <v>Canadá</v>
      </c>
      <c r="F449" s="9" t="str">
        <f ca="1">+WORLDCUP!BD60</f>
        <v>Haití</v>
      </c>
      <c r="G449" s="9" t="str">
        <f ca="1">+WORLDCUP!BD58</f>
        <v>Sudáfrica</v>
      </c>
      <c r="H449" s="9" t="str">
        <f ca="1">+WORLDCUP!BD61</f>
        <v>Paraguay</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Cabo Verde</v>
      </c>
      <c r="D450" s="9" t="str">
        <f ca="1">+WORLDCUP!BD63</f>
        <v>Túnez</v>
      </c>
      <c r="E450" s="9" t="str">
        <f ca="1">+WORLDCUP!BD59</f>
        <v>Canadá</v>
      </c>
      <c r="F450" s="9" t="str">
        <f ca="1">+WORLDCUP!BD60</f>
        <v>Haití</v>
      </c>
      <c r="G450" s="9" t="str">
        <f ca="1">+WORLDCUP!BD58</f>
        <v>Sudáfrica</v>
      </c>
      <c r="H450" s="9" t="str">
        <f ca="1">+WORLDCUP!BD61</f>
        <v>Paraguay</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Cabo Verde</v>
      </c>
      <c r="D451" s="9" t="str">
        <f ca="1">+WORLDCUP!BD67</f>
        <v>Argelia</v>
      </c>
      <c r="E451" s="9" t="str">
        <f ca="1">+WORLDCUP!BD59</f>
        <v>Canadá</v>
      </c>
      <c r="F451" s="9" t="str">
        <f ca="1">+WORLDCUP!BD60</f>
        <v>Haití</v>
      </c>
      <c r="G451" s="9" t="str">
        <f ca="1">+WORLDCUP!BD58</f>
        <v>Sudáfrica</v>
      </c>
      <c r="H451" s="9" t="str">
        <f ca="1">+WORLDCUP!BD63</f>
        <v>Túnez</v>
      </c>
      <c r="I451" s="9" t="str">
        <f ca="1">+WORLDCUP!BD61</f>
        <v>Paraguay</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Haití</v>
      </c>
      <c r="D452" s="9" t="str">
        <f ca="1">+WORLDCUP!BD64</f>
        <v>Egipto</v>
      </c>
      <c r="E452" s="9" t="str">
        <f ca="1">+WORLDCUP!BD59</f>
        <v>Canadá</v>
      </c>
      <c r="F452" s="9" t="str">
        <f ca="1">+WORLDCUP!BD61</f>
        <v>Paraguay</v>
      </c>
      <c r="G452" s="9" t="str">
        <f ca="1">+WORLDCUP!BD58</f>
        <v>Sudáfrica</v>
      </c>
      <c r="H452" s="9" t="str">
        <f ca="1">+WORLDCUP!BD63</f>
        <v>Túnez</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Haití</v>
      </c>
      <c r="D453" s="9" t="str">
        <f ca="1">+WORLDCUP!BD64</f>
        <v>Egipto</v>
      </c>
      <c r="E453" s="9" t="str">
        <f ca="1">+WORLDCUP!BD59</f>
        <v>Canadá</v>
      </c>
      <c r="F453" s="9" t="str">
        <f ca="1">+WORLDCUP!BD61</f>
        <v>Paraguay</v>
      </c>
      <c r="G453" s="9" t="str">
        <f ca="1">+WORLDCUP!BD58</f>
        <v>Sudáfrica</v>
      </c>
      <c r="H453" s="9" t="str">
        <f ca="1">+WORLDCUP!BD63</f>
        <v>Túnez</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Haití</v>
      </c>
      <c r="D454" s="9" t="str">
        <f ca="1">+WORLDCUP!BD64</f>
        <v>Egipto</v>
      </c>
      <c r="E454" s="9" t="str">
        <f ca="1">+WORLDCUP!BD59</f>
        <v>Canadá</v>
      </c>
      <c r="F454" s="9" t="str">
        <f ca="1">+WORLDCUP!BD61</f>
        <v>Paraguay</v>
      </c>
      <c r="G454" s="9" t="str">
        <f ca="1">+WORLDCUP!BD58</f>
        <v>Sudáfrica</v>
      </c>
      <c r="H454" s="9" t="str">
        <f ca="1">+WORLDCUP!BD63</f>
        <v>Túnez</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Haití</v>
      </c>
      <c r="D455" s="9" t="str">
        <f ca="1">+WORLDCUP!BD64</f>
        <v>Egipto</v>
      </c>
      <c r="E455" s="9" t="str">
        <f ca="1">+WORLDCUP!BD59</f>
        <v>Canadá</v>
      </c>
      <c r="F455" s="9" t="str">
        <f ca="1">+WORLDCUP!BD61</f>
        <v>Paraguay</v>
      </c>
      <c r="G455" s="9" t="str">
        <f ca="1">+WORLDCUP!BD58</f>
        <v>Sudáfrica</v>
      </c>
      <c r="H455" s="9" t="str">
        <f ca="1">+WORLDCUP!BD63</f>
        <v>Túnez</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Haití</v>
      </c>
      <c r="D456" s="9" t="str">
        <f ca="1">+WORLDCUP!BD64</f>
        <v>Egipto</v>
      </c>
      <c r="E456" s="9" t="str">
        <f ca="1">+WORLDCUP!BD59</f>
        <v>Canadá</v>
      </c>
      <c r="F456" s="9" t="str">
        <f ca="1">+WORLDCUP!BD61</f>
        <v>Paraguay</v>
      </c>
      <c r="G456" s="9" t="str">
        <f ca="1">+WORLDCUP!BD58</f>
        <v>Sudáfrica</v>
      </c>
      <c r="H456" s="9" t="str">
        <f ca="1">+WORLDCUP!BD63</f>
        <v>Túnez</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Haití</v>
      </c>
      <c r="D457" s="9" t="str">
        <f ca="1">+WORLDCUP!BD64</f>
        <v>Egipto</v>
      </c>
      <c r="E457" s="9" t="str">
        <f ca="1">+WORLDCUP!BD59</f>
        <v>Canadá</v>
      </c>
      <c r="F457" s="9" t="str">
        <f ca="1">+WORLDCUP!BD61</f>
        <v>Paraguay</v>
      </c>
      <c r="G457" s="9" t="str">
        <f ca="1">+WORLDCUP!BD58</f>
        <v>Sudáfrica</v>
      </c>
      <c r="H457" s="9" t="str">
        <f ca="1">+WORLDCUP!BD63</f>
        <v>Túnez</v>
      </c>
      <c r="I457" s="9" t="str">
        <f ca="1">+WORLDCUP!BD66</f>
        <v>Noruega</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Haití</v>
      </c>
      <c r="D458" s="9" t="str">
        <f ca="1">+WORLDCUP!BD64</f>
        <v>Egipto</v>
      </c>
      <c r="E458" s="9" t="str">
        <f ca="1">+WORLDCUP!BD59</f>
        <v>Canadá</v>
      </c>
      <c r="F458" s="9" t="str">
        <f ca="1">+WORLDCUP!BD61</f>
        <v>Paraguay</v>
      </c>
      <c r="G458" s="9" t="str">
        <f ca="1">+WORLDCUP!BD58</f>
        <v>Sudáfrica</v>
      </c>
      <c r="H458" s="9" t="str">
        <f ca="1">+WORLDCUP!BD63</f>
        <v>Túnez</v>
      </c>
      <c r="I458" s="9" t="str">
        <f ca="1">+WORLDCUP!BD69</f>
        <v>Ghana</v>
      </c>
      <c r="J458" s="9" t="str">
        <f ca="1">+WORLDCUP!BD65</f>
        <v>Cabo Verde</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Cabo Verde</v>
      </c>
      <c r="D459" s="9" t="str">
        <f ca="1">+WORLDCUP!BD64</f>
        <v>Egipto</v>
      </c>
      <c r="E459" s="9" t="str">
        <f ca="1">+WORLDCUP!BD59</f>
        <v>Canadá</v>
      </c>
      <c r="F459" s="9" t="str">
        <f ca="1">+WORLDCUP!BD60</f>
        <v>Haití</v>
      </c>
      <c r="G459" s="9" t="str">
        <f ca="1">+WORLDCUP!BD58</f>
        <v>Sudáfrica</v>
      </c>
      <c r="H459" s="9" t="str">
        <f ca="1">+WORLDCUP!BD63</f>
        <v>Túnez</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Cabo Verde</v>
      </c>
      <c r="D460" s="9" t="str">
        <f ca="1">+WORLDCUP!BD64</f>
        <v>Egipto</v>
      </c>
      <c r="E460" s="9" t="str">
        <f ca="1">+WORLDCUP!BD59</f>
        <v>Canadá</v>
      </c>
      <c r="F460" s="9" t="str">
        <f ca="1">+WORLDCUP!BD60</f>
        <v>Haití</v>
      </c>
      <c r="G460" s="9" t="str">
        <f ca="1">+WORLDCUP!BD58</f>
        <v>Sudáfrica</v>
      </c>
      <c r="H460" s="9" t="str">
        <f ca="1">+WORLDCUP!BD63</f>
        <v>Túnez</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Cabo Verde</v>
      </c>
      <c r="D461" s="9" t="str">
        <f ca="1">+WORLDCUP!BD64</f>
        <v>Egipto</v>
      </c>
      <c r="E461" s="9" t="str">
        <f ca="1">+WORLDCUP!BD59</f>
        <v>Canadá</v>
      </c>
      <c r="F461" s="9" t="str">
        <f ca="1">+WORLDCUP!BD60</f>
        <v>Haití</v>
      </c>
      <c r="G461" s="9" t="str">
        <f ca="1">+WORLDCUP!BD58</f>
        <v>Sudáfrica</v>
      </c>
      <c r="H461" s="9" t="str">
        <f ca="1">+WORLDCUP!BD63</f>
        <v>Túnez</v>
      </c>
      <c r="I461" s="9" t="str">
        <f ca="1">+WORLDCUP!BD61</f>
        <v>Paraguay</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Costa de Marfil</v>
      </c>
      <c r="D462" s="9" t="str">
        <f ca="1">+WORLDCUP!BD67</f>
        <v>Argelia</v>
      </c>
      <c r="E462" s="9" t="str">
        <f ca="1">+WORLDCUP!BD59</f>
        <v>Canadá</v>
      </c>
      <c r="F462" s="9" t="str">
        <f ca="1">+WORLDCUP!BD60</f>
        <v>Haití</v>
      </c>
      <c r="G462" s="9" t="str">
        <f ca="1">+WORLDCUP!BD58</f>
        <v>Sudáfrica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Costa de Marfil</v>
      </c>
      <c r="D463" s="9" t="str">
        <f ca="1">+WORLDCUP!BD66</f>
        <v>Noruega</v>
      </c>
      <c r="E463" s="9" t="str">
        <f ca="1">+WORLDCUP!BD59</f>
        <v>Canadá</v>
      </c>
      <c r="F463" s="9" t="str">
        <f ca="1">+WORLDCUP!BD60</f>
        <v>Haití</v>
      </c>
      <c r="G463" s="9" t="str">
        <f ca="1">+WORLDCUP!BD58</f>
        <v>Sudáfrica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Costa de Marfil</v>
      </c>
      <c r="D464" s="9" t="str">
        <f ca="1">+WORLDCUP!BD67</f>
        <v>Argelia</v>
      </c>
      <c r="E464" s="9" t="str">
        <f ca="1">+WORLDCUP!BD59</f>
        <v>Canadá</v>
      </c>
      <c r="F464" s="9" t="str">
        <f ca="1">+WORLDCUP!BD60</f>
        <v>Haití</v>
      </c>
      <c r="G464" s="9" t="str">
        <f ca="1">+WORLDCUP!BD58</f>
        <v>Sudáfrica</v>
      </c>
      <c r="H464" s="9" t="str">
        <f ca="1">+WORLDCUP!BD61</f>
        <v>Paraguay</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Costa de Marfil</v>
      </c>
      <c r="D465" s="9" t="str">
        <f ca="1">+WORLDCUP!BD67</f>
        <v>Argelia</v>
      </c>
      <c r="E465" s="9" t="str">
        <f ca="1">+WORLDCUP!BD59</f>
        <v>Canadá</v>
      </c>
      <c r="F465" s="9" t="str">
        <f ca="1">+WORLDCUP!BD60</f>
        <v>Haití</v>
      </c>
      <c r="G465" s="9" t="str">
        <f ca="1">+WORLDCUP!BD58</f>
        <v>Sudáfrica</v>
      </c>
      <c r="H465" s="9" t="str">
        <f ca="1">+WORLDCUP!BD61</f>
        <v>Paraguay</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Cabo Verde</v>
      </c>
      <c r="D466" s="9" t="str">
        <f ca="1">+WORLDCUP!BD62</f>
        <v>Costa de Marfil</v>
      </c>
      <c r="E466" s="9" t="str">
        <f ca="1">+WORLDCUP!BD59</f>
        <v>Canadá</v>
      </c>
      <c r="F466" s="9" t="str">
        <f ca="1">+WORLDCUP!BD60</f>
        <v>Haití</v>
      </c>
      <c r="G466" s="9" t="str">
        <f ca="1">+WORLDCUP!BD58</f>
        <v>Sudáfrica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Cabo Verde</v>
      </c>
      <c r="D467" s="9" t="str">
        <f ca="1">+WORLDCUP!BD67</f>
        <v>Argelia</v>
      </c>
      <c r="E467" s="9" t="str">
        <f ca="1">+WORLDCUP!BD59</f>
        <v>Canadá</v>
      </c>
      <c r="F467" s="9" t="str">
        <f ca="1">+WORLDCUP!BD60</f>
        <v>Haití</v>
      </c>
      <c r="G467" s="9" t="str">
        <f ca="1">+WORLDCUP!BD58</f>
        <v>Sudáfrica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Cabo Verde</v>
      </c>
      <c r="D468" s="9" t="str">
        <f ca="1">+WORLDCUP!BD67</f>
        <v>Argelia</v>
      </c>
      <c r="E468" s="9" t="str">
        <f ca="1">+WORLDCUP!BD59</f>
        <v>Canadá</v>
      </c>
      <c r="F468" s="9" t="str">
        <f ca="1">+WORLDCUP!BD60</f>
        <v>Haití</v>
      </c>
      <c r="G468" s="9" t="str">
        <f ca="1">+WORLDCUP!BD58</f>
        <v>Sudáfrica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Cabo Verde</v>
      </c>
      <c r="D469" s="9" t="str">
        <f ca="1">+WORLDCUP!BD62</f>
        <v>Costa de Marfil</v>
      </c>
      <c r="E469" s="9" t="str">
        <f ca="1">+WORLDCUP!BD59</f>
        <v>Canadá</v>
      </c>
      <c r="F469" s="9" t="str">
        <f ca="1">+WORLDCUP!BD60</f>
        <v>Haití</v>
      </c>
      <c r="G469" s="9" t="str">
        <f ca="1">+WORLDCUP!BD58</f>
        <v>Sudáfrica</v>
      </c>
      <c r="H469" s="9" t="str">
        <f ca="1">+WORLDCUP!BD61</f>
        <v>Paraguay</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Cabo Verde</v>
      </c>
      <c r="D470" s="9" t="str">
        <f ca="1">+WORLDCUP!BD62</f>
        <v>Costa de Marfil</v>
      </c>
      <c r="E470" s="9" t="str">
        <f ca="1">+WORLDCUP!BD59</f>
        <v>Canadá</v>
      </c>
      <c r="F470" s="9" t="str">
        <f ca="1">+WORLDCUP!BD60</f>
        <v>Haití</v>
      </c>
      <c r="G470" s="9" t="str">
        <f ca="1">+WORLDCUP!BD58</f>
        <v>Sudáfrica</v>
      </c>
      <c r="H470" s="9" t="str">
        <f ca="1">+WORLDCUP!BD61</f>
        <v>Paraguay</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Cabo Verde</v>
      </c>
      <c r="D471" s="9" t="str">
        <f ca="1">+WORLDCUP!BD67</f>
        <v>Argelia</v>
      </c>
      <c r="E471" s="9" t="str">
        <f ca="1">+WORLDCUP!BD59</f>
        <v>Canadá</v>
      </c>
      <c r="F471" s="9" t="str">
        <f ca="1">+WORLDCUP!BD60</f>
        <v>Haití</v>
      </c>
      <c r="G471" s="9" t="str">
        <f ca="1">+WORLDCUP!BD58</f>
        <v>Sudáfrica</v>
      </c>
      <c r="H471" s="9" t="str">
        <f ca="1">+WORLDCUP!BD61</f>
        <v>Paraguay</v>
      </c>
      <c r="I471" s="9" t="str">
        <f ca="1">+WORLDCUP!BD62</f>
        <v>Costa de Marfil</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Costa de Marfil</v>
      </c>
      <c r="D472" s="9" t="str">
        <f ca="1">+WORLDCUP!BD64</f>
        <v>Egipto</v>
      </c>
      <c r="E472" s="9" t="str">
        <f ca="1">+WORLDCUP!BD59</f>
        <v>Canadá</v>
      </c>
      <c r="F472" s="9" t="str">
        <f ca="1">+WORLDCUP!BD60</f>
        <v>Haití</v>
      </c>
      <c r="G472" s="9" t="str">
        <f ca="1">+WORLDCUP!BD58</f>
        <v>Sudáfrica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Costa de Marfil</v>
      </c>
      <c r="D473" s="9" t="str">
        <f ca="1">+WORLDCUP!BD64</f>
        <v>Egipto</v>
      </c>
      <c r="E473" s="9" t="str">
        <f ca="1">+WORLDCUP!BD59</f>
        <v>Canadá</v>
      </c>
      <c r="F473" s="9" t="str">
        <f ca="1">+WORLDCUP!BD60</f>
        <v>Haití</v>
      </c>
      <c r="G473" s="9" t="str">
        <f ca="1">+WORLDCUP!BD58</f>
        <v>Sudáfrica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Costa de Marfil</v>
      </c>
      <c r="D474" s="9" t="str">
        <f ca="1">+WORLDCUP!BD64</f>
        <v>Egipto</v>
      </c>
      <c r="E474" s="9" t="str">
        <f ca="1">+WORLDCUP!BD59</f>
        <v>Canadá</v>
      </c>
      <c r="F474" s="9" t="str">
        <f ca="1">+WORLDCUP!BD60</f>
        <v>Haití</v>
      </c>
      <c r="G474" s="9" t="str">
        <f ca="1">+WORLDCUP!BD58</f>
        <v>Sudáfrica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Costa de Marfil</v>
      </c>
      <c r="D475" s="9" t="str">
        <f ca="1">+WORLDCUP!BD64</f>
        <v>Egipto</v>
      </c>
      <c r="E475" s="9" t="str">
        <f ca="1">+WORLDCUP!BD59</f>
        <v>Canadá</v>
      </c>
      <c r="F475" s="9" t="str">
        <f ca="1">+WORLDCUP!BD60</f>
        <v>Haití</v>
      </c>
      <c r="G475" s="9" t="str">
        <f ca="1">+WORLDCUP!BD58</f>
        <v>Sudáfrica</v>
      </c>
      <c r="H475" s="9" t="str">
        <f ca="1">+WORLDCUP!BD61</f>
        <v>Paraguay</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Costa de Marfil</v>
      </c>
      <c r="D476" s="9" t="str">
        <f ca="1">+WORLDCUP!BD64</f>
        <v>Egipto</v>
      </c>
      <c r="E476" s="9" t="str">
        <f ca="1">+WORLDCUP!BD59</f>
        <v>Canadá</v>
      </c>
      <c r="F476" s="9" t="str">
        <f ca="1">+WORLDCUP!BD60</f>
        <v>Haití</v>
      </c>
      <c r="G476" s="9" t="str">
        <f ca="1">+WORLDCUP!BD58</f>
        <v>Sudáfrica</v>
      </c>
      <c r="H476" s="9" t="str">
        <f ca="1">+WORLDCUP!BD61</f>
        <v>Paraguay</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Costa de Marfil</v>
      </c>
      <c r="D477" s="9" t="str">
        <f ca="1">+WORLDCUP!BD64</f>
        <v>Egipto</v>
      </c>
      <c r="E477" s="9" t="str">
        <f ca="1">+WORLDCUP!BD59</f>
        <v>Canadá</v>
      </c>
      <c r="F477" s="9" t="str">
        <f ca="1">+WORLDCUP!BD60</f>
        <v>Haití</v>
      </c>
      <c r="G477" s="9" t="str">
        <f ca="1">+WORLDCUP!BD58</f>
        <v>Sudáfrica</v>
      </c>
      <c r="H477" s="9" t="str">
        <f ca="1">+WORLDCUP!BD61</f>
        <v>Paraguay</v>
      </c>
      <c r="I477" s="9" t="str">
        <f ca="1">+WORLDCUP!BD66</f>
        <v>Noruega</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Cabo Verde</v>
      </c>
      <c r="D478" s="9" t="str">
        <f ca="1">+WORLDCUP!BD64</f>
        <v>Egipto</v>
      </c>
      <c r="E478" s="9" t="str">
        <f ca="1">+WORLDCUP!BD59</f>
        <v>Canadá</v>
      </c>
      <c r="F478" s="9" t="str">
        <f ca="1">+WORLDCUP!BD60</f>
        <v>Haití</v>
      </c>
      <c r="G478" s="9" t="str">
        <f ca="1">+WORLDCUP!BD58</f>
        <v>Sudáfrica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Cabo Verde</v>
      </c>
      <c r="D479" s="9" t="str">
        <f ca="1">+WORLDCUP!BD64</f>
        <v>Egipto</v>
      </c>
      <c r="E479" s="9" t="str">
        <f ca="1">+WORLDCUP!BD59</f>
        <v>Canadá</v>
      </c>
      <c r="F479" s="9" t="str">
        <f ca="1">+WORLDCUP!BD60</f>
        <v>Haití</v>
      </c>
      <c r="G479" s="9" t="str">
        <f ca="1">+WORLDCUP!BD58</f>
        <v>Sudáfrica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Cabo Verde</v>
      </c>
      <c r="D480" s="9" t="str">
        <f ca="1">+WORLDCUP!BD64</f>
        <v>Egipto</v>
      </c>
      <c r="E480" s="9" t="str">
        <f ca="1">+WORLDCUP!BD59</f>
        <v>Canadá</v>
      </c>
      <c r="F480" s="9" t="str">
        <f ca="1">+WORLDCUP!BD60</f>
        <v>Haití</v>
      </c>
      <c r="G480" s="9" t="str">
        <f ca="1">+WORLDCUP!BD58</f>
        <v>Sudáfrica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Cabo Verde</v>
      </c>
      <c r="D481" s="9" t="str">
        <f ca="1">+WORLDCUP!BD64</f>
        <v>Egipto</v>
      </c>
      <c r="E481" s="9" t="str">
        <f ca="1">+WORLDCUP!BD59</f>
        <v>Canadá</v>
      </c>
      <c r="F481" s="9" t="str">
        <f ca="1">+WORLDCUP!BD60</f>
        <v>Haití</v>
      </c>
      <c r="G481" s="9" t="str">
        <f ca="1">+WORLDCUP!BD58</f>
        <v>Sudáfrica</v>
      </c>
      <c r="H481" s="9" t="str">
        <f ca="1">+WORLDCUP!BD61</f>
        <v>Paraguay</v>
      </c>
      <c r="I481" s="9" t="str">
        <f ca="1">+WORLDCUP!BD62</f>
        <v>Costa de Marfil</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Haití</v>
      </c>
      <c r="D482" s="9" t="str">
        <f ca="1">+WORLDCUP!BD62</f>
        <v>Costa de Marfil</v>
      </c>
      <c r="E482" s="9" t="str">
        <f ca="1">+WORLDCUP!BD59</f>
        <v>Canadá</v>
      </c>
      <c r="F482" s="9" t="str">
        <f ca="1">+WORLDCUP!BD61</f>
        <v>Paraguay</v>
      </c>
      <c r="G482" s="9" t="str">
        <f ca="1">+WORLDCUP!BD58</f>
        <v>Sudáfrica</v>
      </c>
      <c r="H482" s="9" t="str">
        <f ca="1">+WORLDCUP!BD63</f>
        <v>Túnez</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Haití</v>
      </c>
      <c r="D483" s="9" t="str">
        <f ca="1">+WORLDCUP!BD67</f>
        <v>Argelia</v>
      </c>
      <c r="E483" s="9" t="str">
        <f ca="1">+WORLDCUP!BD59</f>
        <v>Canadá</v>
      </c>
      <c r="F483" s="9" t="str">
        <f ca="1">+WORLDCUP!BD61</f>
        <v>Paraguay</v>
      </c>
      <c r="G483" s="9" t="str">
        <f ca="1">+WORLDCUP!BD58</f>
        <v>Sudáfrica</v>
      </c>
      <c r="H483" s="9" t="str">
        <f ca="1">+WORLDCUP!BD63</f>
        <v>Túnez</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Haití</v>
      </c>
      <c r="D484" s="9" t="str">
        <f ca="1">+WORLDCUP!BD67</f>
        <v>Argelia</v>
      </c>
      <c r="E484" s="9" t="str">
        <f ca="1">+WORLDCUP!BD59</f>
        <v>Canadá</v>
      </c>
      <c r="F484" s="9" t="str">
        <f ca="1">+WORLDCUP!BD61</f>
        <v>Paraguay</v>
      </c>
      <c r="G484" s="9" t="str">
        <f ca="1">+WORLDCUP!BD58</f>
        <v>Sudáfrica</v>
      </c>
      <c r="H484" s="9" t="str">
        <f ca="1">+WORLDCUP!BD63</f>
        <v>Túnez</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Haití</v>
      </c>
      <c r="D485" s="9" t="str">
        <f ca="1">+WORLDCUP!BD62</f>
        <v>Costa de Marfil</v>
      </c>
      <c r="E485" s="9" t="str">
        <f ca="1">+WORLDCUP!BD59</f>
        <v>Canadá</v>
      </c>
      <c r="F485" s="9" t="str">
        <f ca="1">+WORLDCUP!BD61</f>
        <v>Paraguay</v>
      </c>
      <c r="G485" s="9" t="str">
        <f ca="1">+WORLDCUP!BD58</f>
        <v>Sudáfrica</v>
      </c>
      <c r="H485" s="9" t="str">
        <f ca="1">+WORLDCUP!BD63</f>
        <v>Túnez</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Haití</v>
      </c>
      <c r="D486" s="9" t="str">
        <f ca="1">+WORLDCUP!BD62</f>
        <v>Costa de Marfil</v>
      </c>
      <c r="E486" s="9" t="str">
        <f ca="1">+WORLDCUP!BD59</f>
        <v>Canadá</v>
      </c>
      <c r="F486" s="9" t="str">
        <f ca="1">+WORLDCUP!BD61</f>
        <v>Paraguay</v>
      </c>
      <c r="G486" s="9" t="str">
        <f ca="1">+WORLDCUP!BD58</f>
        <v>Sudáfrica</v>
      </c>
      <c r="H486" s="9" t="str">
        <f ca="1">+WORLDCUP!BD63</f>
        <v>Túnez</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Haití</v>
      </c>
      <c r="D487" s="9" t="str">
        <f ca="1">+WORLDCUP!BD67</f>
        <v>Argelia</v>
      </c>
      <c r="E487" s="9" t="str">
        <f ca="1">+WORLDCUP!BD59</f>
        <v>Canadá</v>
      </c>
      <c r="F487" s="9" t="str">
        <f ca="1">+WORLDCUP!BD61</f>
        <v>Paraguay</v>
      </c>
      <c r="G487" s="9" t="str">
        <f ca="1">+WORLDCUP!BD58</f>
        <v>Sudáfrica</v>
      </c>
      <c r="H487" s="9" t="str">
        <f ca="1">+WORLDCUP!BD63</f>
        <v>Túnez</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Cabo Verde</v>
      </c>
      <c r="D488" s="9" t="str">
        <f ca="1">+WORLDCUP!BD63</f>
        <v>Túnez</v>
      </c>
      <c r="E488" s="9" t="str">
        <f ca="1">+WORLDCUP!BD59</f>
        <v>Canadá</v>
      </c>
      <c r="F488" s="9" t="str">
        <f ca="1">+WORLDCUP!BD60</f>
        <v>Haití</v>
      </c>
      <c r="G488" s="9" t="str">
        <f ca="1">+WORLDCUP!BD58</f>
        <v>Sudáfrica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Cabo Verde</v>
      </c>
      <c r="D489" s="9" t="str">
        <f ca="1">+WORLDCUP!BD62</f>
        <v>Costa de Marfil</v>
      </c>
      <c r="E489" s="9" t="str">
        <f ca="1">+WORLDCUP!BD59</f>
        <v>Canadá</v>
      </c>
      <c r="F489" s="9" t="str">
        <f ca="1">+WORLDCUP!BD60</f>
        <v>Haití</v>
      </c>
      <c r="G489" s="9" t="str">
        <f ca="1">+WORLDCUP!BD58</f>
        <v>Sudáfrica</v>
      </c>
      <c r="H489" s="9" t="str">
        <f ca="1">+WORLDCUP!BD63</f>
        <v>Túnez</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Cabo Verde</v>
      </c>
      <c r="D490" s="9" t="str">
        <f ca="1">+WORLDCUP!BD67</f>
        <v>Argelia</v>
      </c>
      <c r="E490" s="9" t="str">
        <f ca="1">+WORLDCUP!BD59</f>
        <v>Canadá</v>
      </c>
      <c r="F490" s="9" t="str">
        <f ca="1">+WORLDCUP!BD60</f>
        <v>Haití</v>
      </c>
      <c r="G490" s="9" t="str">
        <f ca="1">+WORLDCUP!BD58</f>
        <v>Sudáfrica</v>
      </c>
      <c r="H490" s="9" t="str">
        <f ca="1">+WORLDCUP!BD63</f>
        <v>Túnez</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Cabo Verde</v>
      </c>
      <c r="D491" s="9" t="str">
        <f ca="1">+WORLDCUP!BD62</f>
        <v>Costa de Marfil</v>
      </c>
      <c r="E491" s="9" t="str">
        <f ca="1">+WORLDCUP!BD59</f>
        <v>Canadá</v>
      </c>
      <c r="F491" s="9" t="str">
        <f ca="1">+WORLDCUP!BD60</f>
        <v>Haití</v>
      </c>
      <c r="G491" s="9" t="str">
        <f ca="1">+WORLDCUP!BD58</f>
        <v>Sudáfrica</v>
      </c>
      <c r="H491" s="9" t="str">
        <f ca="1">+WORLDCUP!BD63</f>
        <v>Túnez</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Haití</v>
      </c>
      <c r="D492" s="9" t="str">
        <f ca="1">+WORLDCUP!BD64</f>
        <v>Egipto</v>
      </c>
      <c r="E492" s="9" t="str">
        <f ca="1">+WORLDCUP!BD59</f>
        <v>Canadá</v>
      </c>
      <c r="F492" s="9" t="str">
        <f ca="1">+WORLDCUP!BD61</f>
        <v>Paraguay</v>
      </c>
      <c r="G492" s="9" t="str">
        <f ca="1">+WORLDCUP!BD58</f>
        <v>Sudáfrica</v>
      </c>
      <c r="H492" s="9" t="str">
        <f ca="1">+WORLDCUP!BD63</f>
        <v>Túnez</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Haití</v>
      </c>
      <c r="D493" s="9" t="str">
        <f ca="1">+WORLDCUP!BD64</f>
        <v>Egipto</v>
      </c>
      <c r="E493" s="9" t="str">
        <f ca="1">+WORLDCUP!BD59</f>
        <v>Canadá</v>
      </c>
      <c r="F493" s="9" t="str">
        <f ca="1">+WORLDCUP!BD61</f>
        <v>Paraguay</v>
      </c>
      <c r="G493" s="9" t="str">
        <f ca="1">+WORLDCUP!BD58</f>
        <v>Sudáfrica</v>
      </c>
      <c r="H493" s="9" t="str">
        <f ca="1">+WORLDCUP!BD63</f>
        <v>Túnez</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Haití</v>
      </c>
      <c r="D494" s="9" t="str">
        <f ca="1">+WORLDCUP!BD64</f>
        <v>Egipto</v>
      </c>
      <c r="E494" s="9" t="str">
        <f ca="1">+WORLDCUP!BD59</f>
        <v>Canadá</v>
      </c>
      <c r="F494" s="9" t="str">
        <f ca="1">+WORLDCUP!BD61</f>
        <v>Paraguay</v>
      </c>
      <c r="G494" s="9" t="str">
        <f ca="1">+WORLDCUP!BD58</f>
        <v>Sudáfrica</v>
      </c>
      <c r="H494" s="9" t="str">
        <f ca="1">+WORLDCUP!BD63</f>
        <v>Túnez</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Haití</v>
      </c>
      <c r="D495" s="9" t="str">
        <f ca="1">+WORLDCUP!BD64</f>
        <v>Egipto</v>
      </c>
      <c r="E495" s="9" t="str">
        <f ca="1">+WORLDCUP!BD59</f>
        <v>Canadá</v>
      </c>
      <c r="F495" s="9" t="str">
        <f ca="1">+WORLDCUP!BD61</f>
        <v>Paraguay</v>
      </c>
      <c r="G495" s="9" t="str">
        <f ca="1">+WORLDCUP!BD58</f>
        <v>Sudáfrica</v>
      </c>
      <c r="H495" s="9" t="str">
        <f ca="1">+WORLDCUP!BD63</f>
        <v>Túnez</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Cabo Verde</v>
      </c>
      <c r="D496" s="9" t="str">
        <f ca="1">+WORLDCUP!BD64</f>
        <v>Egipto</v>
      </c>
      <c r="E496" s="9" t="str">
        <f ca="1">+WORLDCUP!BD59</f>
        <v>Canadá</v>
      </c>
      <c r="F496" s="9" t="str">
        <f ca="1">+WORLDCUP!BD60</f>
        <v>Haití</v>
      </c>
      <c r="G496" s="9" t="str">
        <f ca="1">+WORLDCUP!BD58</f>
        <v>Sudáfrica</v>
      </c>
      <c r="H496" s="9" t="str">
        <f ca="1">+WORLDCUP!BD63</f>
        <v>Túnez</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x14ac:dyDescent="0.2">
      <c r="L88" s="3"/>
      <c r="M88" s="3"/>
      <c r="N88" s="3"/>
      <c r="O88" s="6"/>
      <c r="P88" s="6"/>
      <c r="Q88" s="6"/>
      <c r="R88" s="6"/>
      <c r="T88" s="16" t="s">
        <v>1478</v>
      </c>
      <c r="U88" s="9" t="s">
        <v>1463</v>
      </c>
      <c r="V88" s="9" t="s">
        <v>1464</v>
      </c>
      <c r="W88" s="9" t="s">
        <v>1465</v>
      </c>
      <c r="X88" s="584" t="e" vm="51">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52">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3">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Marco Rampone</cp:lastModifiedBy>
  <cp:lastPrinted>2018-12-06T18:06:35Z</cp:lastPrinted>
  <dcterms:created xsi:type="dcterms:W3CDTF">2015-10-31T09:41:54Z</dcterms:created>
  <dcterms:modified xsi:type="dcterms:W3CDTF">2026-06-10T21:44:38Z</dcterms:modified>
</cp:coreProperties>
</file>