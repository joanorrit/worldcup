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autoCompressPictures="0" defaultThemeVersion="124226"/>
  <mc:AlternateContent xmlns:mc="http://schemas.openxmlformats.org/markup-compatibility/2006">
    <mc:Choice Requires="x15">
      <x15ac:absPath xmlns:x15ac="http://schemas.microsoft.com/office/spreadsheetml/2010/11/ac" url="/Users/lucasllobet/Downloads/"/>
    </mc:Choice>
  </mc:AlternateContent>
  <xr:revisionPtr revIDLastSave="0" documentId="8_{E9FBB7C1-EEA8-9347-86CA-032E12EE2249}" xr6:coauthVersionLast="36" xr6:coauthVersionMax="36"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500" windowWidth="33600" windowHeight="1878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V26" i="32"/>
  <c r="V30" i="32"/>
  <c r="AY101" i="3"/>
  <c r="AK99" i="3"/>
  <c r="C60" i="32" l="1"/>
  <c r="Y60" i="3" s="1"/>
  <c r="C84" i="32"/>
  <c r="X84" i="3" s="1"/>
  <c r="C69" i="32"/>
  <c r="Y69" i="3" s="1"/>
  <c r="C106" i="32"/>
  <c r="Y106" i="3" s="1"/>
  <c r="C28" i="32"/>
  <c r="X28" i="3" s="1"/>
  <c r="C13" i="32"/>
  <c r="Y13" i="3" s="1"/>
  <c r="C64" i="32"/>
  <c r="Y64" i="3" s="1"/>
  <c r="C23" i="32"/>
  <c r="X23" i="3" s="1"/>
  <c r="C92" i="32"/>
  <c r="X92" i="3" s="1"/>
  <c r="C139" i="32"/>
  <c r="X139" i="3" s="1"/>
  <c r="C45" i="32"/>
  <c r="X45" i="3" s="1"/>
  <c r="C38" i="32"/>
  <c r="Y38" i="3" s="1"/>
  <c r="C6" i="32"/>
  <c r="X6" i="3" s="1"/>
  <c r="C79" i="32"/>
  <c r="Y79" i="3" s="1"/>
  <c r="C103" i="32"/>
  <c r="X103" i="3" s="1"/>
  <c r="C110" i="32"/>
  <c r="X110" i="3" s="1"/>
  <c r="C88" i="32"/>
  <c r="X88" i="3" s="1"/>
  <c r="C29" i="32"/>
  <c r="Y29" i="3" s="1"/>
  <c r="C101" i="32"/>
  <c r="Y101" i="3" s="1"/>
  <c r="C65" i="32"/>
  <c r="Y65" i="3" s="1"/>
  <c r="C93" i="32"/>
  <c r="Y93" i="3" s="1"/>
  <c r="C17" i="32"/>
  <c r="X17" i="3" s="1"/>
  <c r="C85" i="32"/>
  <c r="X85" i="3" s="1"/>
  <c r="C95" i="32"/>
  <c r="X95" i="3" s="1"/>
  <c r="C33" i="32"/>
  <c r="X33" i="3" s="1"/>
  <c r="C105" i="32"/>
  <c r="X105" i="3" s="1"/>
  <c r="C16" i="32"/>
  <c r="X16" i="3" s="1"/>
  <c r="C61" i="32"/>
  <c r="X61" i="3" s="1"/>
  <c r="C41" i="32"/>
  <c r="X41" i="3" s="1"/>
  <c r="C21" i="32"/>
  <c r="X21" i="3" s="1"/>
  <c r="C138" i="32"/>
  <c r="Y138" i="3" s="1"/>
  <c r="C120" i="32"/>
  <c r="X120" i="3" s="1"/>
  <c r="C78" i="32"/>
  <c r="Y78" i="3" s="1"/>
  <c r="C25" i="32"/>
  <c r="X25" i="3" s="1"/>
  <c r="C12" i="32"/>
  <c r="X12" i="3" s="1"/>
  <c r="C49" i="32"/>
  <c r="X49" i="3" s="1"/>
  <c r="C54" i="32"/>
  <c r="Y54" i="3" s="1"/>
  <c r="C86" i="32"/>
  <c r="X86" i="3" s="1"/>
  <c r="C108" i="32"/>
  <c r="Y108" i="3" s="1"/>
  <c r="C20" i="32"/>
  <c r="Y20" i="3" s="1"/>
  <c r="C116" i="32"/>
  <c r="X116" i="3" s="1"/>
  <c r="C55" i="32"/>
  <c r="Y55" i="3" s="1"/>
  <c r="C14" i="32"/>
  <c r="X14" i="3" s="1"/>
  <c r="C56" i="32"/>
  <c r="X56" i="3" s="1"/>
  <c r="C62" i="32"/>
  <c r="Y62" i="3" s="1"/>
  <c r="C94" i="32"/>
  <c r="X94" i="3" s="1"/>
  <c r="C125" i="32"/>
  <c r="Y125" i="3" s="1"/>
  <c r="C81" i="32"/>
  <c r="X81" i="3" s="1"/>
  <c r="C134" i="32"/>
  <c r="Y134" i="3" s="1"/>
  <c r="C9" i="32"/>
  <c r="X9" i="3" s="1"/>
  <c r="C31" i="32"/>
  <c r="Y31" i="3" s="1"/>
  <c r="C7" i="32"/>
  <c r="X7" i="3" s="1"/>
  <c r="C5" i="32"/>
  <c r="Y5" i="3" s="1"/>
  <c r="C113" i="32"/>
  <c r="X113" i="3" s="1"/>
  <c r="C115" i="32"/>
  <c r="Y115"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3" i="3"/>
  <c r="X106" i="3"/>
  <c r="Y28" i="3"/>
  <c r="Y92" i="3"/>
  <c r="X13" i="3"/>
  <c r="X64" i="3"/>
  <c r="Y139" i="3"/>
  <c r="Y84" i="3"/>
  <c r="X60" i="3"/>
  <c r="X69" i="3"/>
  <c r="Y6" i="3" l="1"/>
  <c r="Y45" i="3"/>
  <c r="Y95" i="3"/>
  <c r="X38" i="3"/>
  <c r="X79" i="3"/>
  <c r="Y110" i="3"/>
  <c r="X101" i="3"/>
  <c r="Y103" i="3"/>
  <c r="Y88" i="3"/>
  <c r="X29" i="3"/>
  <c r="Y23" i="3"/>
  <c r="X93" i="3"/>
  <c r="Y17" i="3"/>
  <c r="X65" i="3"/>
  <c r="Y56" i="3"/>
  <c r="Y85" i="3"/>
  <c r="X138" i="3"/>
  <c r="Y120" i="3"/>
  <c r="Y33" i="3"/>
  <c r="Y16" i="3"/>
  <c r="Y61" i="3"/>
  <c r="Y14" i="3"/>
  <c r="Y105" i="3"/>
  <c r="Y41" i="3"/>
  <c r="Y21" i="3"/>
  <c r="Y94" i="3"/>
  <c r="X125" i="3"/>
  <c r="X78" i="3"/>
  <c r="Y25" i="3"/>
  <c r="Y49" i="3"/>
  <c r="Y12" i="3"/>
  <c r="X20" i="3"/>
  <c r="Y86" i="3"/>
  <c r="X55" i="3"/>
  <c r="X54" i="3"/>
  <c r="Y116" i="3"/>
  <c r="X108" i="3"/>
  <c r="X134" i="3"/>
  <c r="X62" i="3"/>
  <c r="X31" i="3"/>
  <c r="Y81" i="3"/>
  <c r="Y133" i="3"/>
  <c r="Y7" i="3"/>
  <c r="X44" i="3"/>
  <c r="Y113" i="3"/>
  <c r="X5" i="3"/>
  <c r="Y9" i="3"/>
  <c r="Y114" i="3"/>
  <c r="Y127" i="3"/>
  <c r="X123" i="3"/>
  <c r="Y76" i="3"/>
  <c r="Y22" i="3"/>
  <c r="X131" i="3"/>
  <c r="X115" i="3"/>
  <c r="X89" i="3"/>
  <c r="X53" i="3"/>
  <c r="X48" i="3"/>
  <c r="X24" i="3"/>
  <c r="Y4" i="3"/>
  <c r="Y102" i="3"/>
  <c r="X63" i="3"/>
  <c r="X68" i="3"/>
  <c r="X124" i="3"/>
  <c r="Y121" i="3"/>
  <c r="Y104" i="3"/>
  <c r="X57" i="3"/>
  <c r="X47" i="3"/>
  <c r="X12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BU28" i="3" s="1"/>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BU31" i="3" s="1"/>
  <c r="F39" i="3"/>
  <c r="F36" i="3"/>
  <c r="BU22" i="3" s="1"/>
  <c r="E40" i="3"/>
  <c r="F48" i="3"/>
  <c r="BU27" i="3" s="1"/>
  <c r="F46" i="3"/>
  <c r="E45" i="3"/>
  <c r="BW29" i="3" s="1"/>
  <c r="F92" i="3"/>
  <c r="F95" i="3"/>
  <c r="E97" i="3"/>
  <c r="BV52" i="3" s="1"/>
  <c r="F81" i="3"/>
  <c r="E76" i="3"/>
  <c r="E78" i="3"/>
  <c r="BW44" i="3" s="1"/>
  <c r="E48" i="3"/>
  <c r="F44" i="3"/>
  <c r="F47" i="3"/>
  <c r="E38" i="3"/>
  <c r="BW24" i="3" s="1"/>
  <c r="BW22" i="3"/>
  <c r="F41" i="3"/>
  <c r="E36" i="3"/>
  <c r="BW23" i="3" s="1"/>
  <c r="E39" i="3"/>
  <c r="F37" i="3"/>
  <c r="E41" i="3"/>
  <c r="BU34" i="3"/>
  <c r="BW34" i="3"/>
  <c r="E62" i="3"/>
  <c r="E60" i="3"/>
  <c r="BW35" i="3" s="1"/>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BW40" i="3" s="1"/>
  <c r="E55" i="3"/>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E65" i="3"/>
  <c r="E63" i="3"/>
  <c r="E9" i="3"/>
  <c r="F4" i="3"/>
  <c r="F6" i="3"/>
  <c r="F79" i="3"/>
  <c r="BW43" i="3"/>
  <c r="E80" i="3"/>
  <c r="BU43" i="3"/>
  <c r="F76" i="3"/>
  <c r="BW42" i="3" s="1"/>
  <c r="F80" i="3"/>
  <c r="E77" i="3"/>
  <c r="BW45" i="3" s="1"/>
  <c r="F78" i="3"/>
  <c r="BU42" i="3" s="1"/>
  <c r="BW36" i="3"/>
  <c r="E61" i="3"/>
  <c r="BW37" i="3" s="1"/>
  <c r="F62" i="3"/>
  <c r="BU36" i="3"/>
  <c r="F64" i="3"/>
  <c r="BU35" i="3" s="1"/>
  <c r="F72" i="3"/>
  <c r="E68" i="3"/>
  <c r="BW39" i="3" s="1"/>
  <c r="BW38" i="3"/>
  <c r="E70" i="3"/>
  <c r="BW53" i="3" l="1"/>
  <c r="BU41" i="3"/>
  <c r="BU38" i="3"/>
  <c r="BU37" i="3"/>
  <c r="BU24" i="3"/>
  <c r="BU25"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1" i="3" l="1"/>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c r="I24" i="3"/>
  <c r="H23" i="3"/>
  <c r="H20" i="3"/>
  <c r="I23" i="3" l="1"/>
  <c r="H21" i="3"/>
  <c r="H25"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4" i="3"/>
  <c r="L87" i="3" l="1"/>
  <c r="K93" i="3"/>
  <c r="L97" i="3"/>
  <c r="L84" i="3"/>
  <c r="K24" i="3"/>
  <c r="K12"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H40" i="3"/>
  <c r="CH11" i="3"/>
  <c r="O12" i="3" s="1"/>
  <c r="CH14" i="3"/>
  <c r="CH13" i="3"/>
  <c r="O13" i="3" s="1"/>
  <c r="O94" i="3"/>
  <c r="N96" i="3"/>
  <c r="O97" i="3"/>
  <c r="O93" i="3"/>
  <c r="N95" i="3"/>
  <c r="O64" i="3" l="1"/>
  <c r="N61" i="3"/>
  <c r="CK36" i="3"/>
  <c r="CI36" i="3"/>
  <c r="O95" i="3"/>
  <c r="O47" i="3"/>
  <c r="O44" i="3"/>
  <c r="N56" i="3"/>
  <c r="CI51" i="3"/>
  <c r="N29" i="3"/>
  <c r="CJ50" i="3"/>
  <c r="CI9" i="3"/>
  <c r="O55" i="3"/>
  <c r="O33" i="3"/>
  <c r="CJ19" i="3" s="1"/>
  <c r="N9" i="3"/>
  <c r="N36" i="3"/>
  <c r="O41" i="3"/>
  <c r="O4" i="3"/>
  <c r="O69" i="3"/>
  <c r="CK40" i="3" s="1"/>
  <c r="CI35" i="3"/>
  <c r="N72" i="3"/>
  <c r="CK21" i="3"/>
  <c r="O30" i="3"/>
  <c r="N32" i="3"/>
  <c r="CJ18" i="3" s="1"/>
  <c r="N7" i="3"/>
  <c r="O29" i="3"/>
  <c r="CI20" i="3" s="1"/>
  <c r="N49" i="3"/>
  <c r="N52" i="3"/>
  <c r="CK24" i="3"/>
  <c r="N54" i="3"/>
  <c r="CI44" i="3"/>
  <c r="N37" i="3"/>
  <c r="N8" i="3"/>
  <c r="CI6" i="3" s="1"/>
  <c r="CK22" i="3"/>
  <c r="CK41" i="3"/>
  <c r="O52" i="3"/>
  <c r="CK30" i="3" s="1"/>
  <c r="N97" i="3"/>
  <c r="O77" i="3"/>
  <c r="N80" i="3"/>
  <c r="N55" i="3"/>
  <c r="N81" i="3"/>
  <c r="N84" i="3"/>
  <c r="CI45" i="3"/>
  <c r="O5" i="3"/>
  <c r="N47" i="3"/>
  <c r="CI27" i="3" s="1"/>
  <c r="CK46" i="3"/>
  <c r="CI33" i="3"/>
  <c r="O53" i="3"/>
  <c r="O79" i="3"/>
  <c r="N6" i="3"/>
  <c r="N86" i="3"/>
  <c r="CK48" i="3" s="1"/>
  <c r="O32" i="3"/>
  <c r="CI21" i="3" s="1"/>
  <c r="CI12" i="3"/>
  <c r="N88" i="3"/>
  <c r="N30" i="3"/>
  <c r="CI25" i="3"/>
  <c r="CK6" i="3"/>
  <c r="CK18" i="3"/>
  <c r="CI18" i="3"/>
  <c r="CK25" i="3"/>
  <c r="N73" i="3"/>
  <c r="N15" i="3"/>
  <c r="CK12" i="3" s="1"/>
  <c r="CI11" i="3"/>
  <c r="O96" i="3"/>
  <c r="CJ53" i="3" s="1"/>
  <c r="CL53" i="3" s="1"/>
  <c r="CK34" i="3"/>
  <c r="CK8" i="3"/>
  <c r="CI39" i="3"/>
  <c r="N68" i="3"/>
  <c r="CK50" i="3"/>
  <c r="O40" i="3"/>
  <c r="O15" i="3"/>
  <c r="CI10" i="3" s="1"/>
  <c r="N65" i="3"/>
  <c r="O9" i="3"/>
  <c r="CI7" i="3" s="1"/>
  <c r="CI23" i="3"/>
  <c r="O36" i="3"/>
  <c r="CJ22" i="3" s="1"/>
  <c r="CK23" i="3"/>
  <c r="O61" i="3"/>
  <c r="CJ36" i="3" s="1"/>
  <c r="CL36" i="3" s="1"/>
  <c r="CI8" i="3"/>
  <c r="CI47" i="3"/>
  <c r="CK37" i="3"/>
  <c r="N13" i="3"/>
  <c r="O68" i="3"/>
  <c r="O57" i="3"/>
  <c r="O65" i="3"/>
  <c r="N40" i="3"/>
  <c r="O31" i="3"/>
  <c r="CJ21" i="3" s="1"/>
  <c r="N92" i="3"/>
  <c r="CK51" i="3" s="1"/>
  <c r="N77" i="3"/>
  <c r="CK45" i="3" s="1"/>
  <c r="CI19" i="3"/>
  <c r="CI50" i="3"/>
  <c r="O25" i="3"/>
  <c r="CI15" i="3" s="1"/>
  <c r="O37" i="3"/>
  <c r="CI24" i="3" s="1"/>
  <c r="N5" i="3"/>
  <c r="CJ9" i="3" s="1"/>
  <c r="O72" i="3"/>
  <c r="O84" i="3"/>
  <c r="CI46" i="3" s="1"/>
  <c r="CK39" i="3"/>
  <c r="O87" i="3"/>
  <c r="CI49" i="3" s="1"/>
  <c r="N60" i="3"/>
  <c r="CK35" i="3" s="1"/>
  <c r="O78" i="3"/>
  <c r="O23" i="3"/>
  <c r="N94" i="3"/>
  <c r="CK52" i="3" s="1"/>
  <c r="N39" i="3"/>
  <c r="CK38" i="3"/>
  <c r="CI52" i="3"/>
  <c r="N4" i="3"/>
  <c r="CK7" i="3" s="1"/>
  <c r="CK19" i="3"/>
  <c r="N87" i="3"/>
  <c r="N25" i="3"/>
  <c r="O22" i="3"/>
  <c r="N76" i="3"/>
  <c r="CJ43" i="3" s="1"/>
  <c r="O49" i="3"/>
  <c r="CI29" i="3" s="1"/>
  <c r="N46" i="3"/>
  <c r="CJ28" i="3" s="1"/>
  <c r="N53" i="3"/>
  <c r="CK28" i="3"/>
  <c r="N85" i="3"/>
  <c r="N44" i="3"/>
  <c r="CK27" i="3" s="1"/>
  <c r="N12" i="3"/>
  <c r="O54" i="3"/>
  <c r="O89" i="3"/>
  <c r="O56" i="3"/>
  <c r="N24" i="3"/>
  <c r="O46" i="3"/>
  <c r="CI26" i="3" s="1"/>
  <c r="CI28" i="3"/>
  <c r="O21" i="3"/>
  <c r="CI16" i="3" s="1"/>
  <c r="N45" i="3"/>
  <c r="CK29" i="3" s="1"/>
  <c r="CK32" i="3"/>
  <c r="N16" i="3"/>
  <c r="CI48" i="3"/>
  <c r="CK26" i="3"/>
  <c r="CJ48" i="3"/>
  <c r="O20" i="3"/>
  <c r="CI14" i="3" s="1"/>
  <c r="N33" i="3"/>
  <c r="CK10" i="3"/>
  <c r="N69" i="3"/>
  <c r="O73" i="3"/>
  <c r="O60" i="3"/>
  <c r="CI34" i="3" s="1"/>
  <c r="O63" i="3"/>
  <c r="CI37" i="3" s="1"/>
  <c r="CI40" i="3"/>
  <c r="O70" i="3"/>
  <c r="N22" i="3"/>
  <c r="CK42" i="3"/>
  <c r="N78" i="3"/>
  <c r="CK44" i="3" s="1"/>
  <c r="O81" i="3"/>
  <c r="N14" i="3"/>
  <c r="CK11" i="3" s="1"/>
  <c r="CK13" i="3"/>
  <c r="N23" i="3"/>
  <c r="N20" i="3"/>
  <c r="CK15" i="3" s="1"/>
  <c r="O24" i="3"/>
  <c r="CK17" i="3" s="1"/>
  <c r="N17" i="3"/>
  <c r="O14" i="3"/>
  <c r="CI13" i="3" s="1"/>
  <c r="CK14" i="3"/>
  <c r="CK49" i="3"/>
  <c r="CK31" i="3"/>
  <c r="CK43" i="3" l="1"/>
  <c r="CK53" i="3"/>
  <c r="CK47" i="3"/>
  <c r="CI43" i="3"/>
  <c r="CL43" i="3" s="1"/>
  <c r="CI38" i="3"/>
  <c r="CK33" i="3"/>
  <c r="CI41" i="3"/>
  <c r="CI22" i="3"/>
  <c r="CK20" i="3"/>
  <c r="CK1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38" i="3" l="1"/>
  <c r="CL41"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41" i="3"/>
  <c r="R37" i="3"/>
  <c r="Q17" i="3"/>
  <c r="R14" i="3"/>
  <c r="R86" i="3" l="1"/>
  <c r="R89" i="3"/>
  <c r="R78" i="3"/>
  <c r="R29" i="3"/>
  <c r="Q9" i="3"/>
  <c r="R6" i="3"/>
  <c r="R80" i="3"/>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Q48" i="3"/>
  <c r="Q64" i="3"/>
  <c r="CP36" i="3" s="1"/>
  <c r="R68" i="3"/>
  <c r="R8" i="3"/>
  <c r="CO9" i="3" s="1"/>
  <c r="R60" i="3"/>
  <c r="Q4" i="3"/>
  <c r="CP30" i="3"/>
  <c r="CP45" i="3"/>
  <c r="CO30" i="3"/>
  <c r="CP47" i="3"/>
  <c r="CO47" i="3"/>
  <c r="CO12" i="3"/>
  <c r="CP23" i="3"/>
  <c r="CO53" i="3" l="1"/>
  <c r="CP53" i="3"/>
  <c r="CQ53" i="3" s="1"/>
  <c r="CO26" i="3"/>
  <c r="CO22" i="3"/>
  <c r="CP49" i="3"/>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U57" i="3" l="1"/>
  <c r="T54" i="3"/>
  <c r="T41" i="3"/>
  <c r="U37" i="3"/>
  <c r="CT24" i="3" s="1"/>
  <c r="U33" i="3"/>
  <c r="U25" i="3"/>
  <c r="T21" i="3"/>
  <c r="CT17" i="3" s="1"/>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CT49" i="3" s="1"/>
  <c r="U86" i="3"/>
  <c r="T97" i="3"/>
  <c r="T32"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CT15" i="3" s="1"/>
  <c r="T96" i="3"/>
  <c r="U72" i="3"/>
  <c r="U96" i="3"/>
  <c r="CT53" i="3" s="1"/>
  <c r="T44" i="3"/>
  <c r="T5" i="3"/>
  <c r="U39" i="3"/>
  <c r="CT25" i="3" s="1"/>
  <c r="T72" i="3"/>
  <c r="T57" i="3"/>
  <c r="U94" i="3"/>
  <c r="CT50" i="3" s="1"/>
  <c r="U36" i="3"/>
  <c r="CT22" i="3" s="1"/>
  <c r="T65" i="3"/>
  <c r="CT34" i="3" s="1"/>
  <c r="U61" i="3"/>
  <c r="U17" i="3"/>
  <c r="CT11" i="3" s="1"/>
  <c r="T23" i="3"/>
  <c r="U69" i="3"/>
  <c r="T55" i="3"/>
  <c r="U97" i="3"/>
  <c r="CT51" i="3" s="1"/>
  <c r="U6" i="3"/>
  <c r="T25" i="3"/>
  <c r="U79" i="3"/>
  <c r="T60" i="3"/>
  <c r="CT35" i="3" s="1"/>
  <c r="T4" i="3"/>
  <c r="T62" i="3"/>
  <c r="T7" i="3"/>
  <c r="U20" i="3"/>
  <c r="T48" i="3"/>
  <c r="CT28" i="3" s="1"/>
  <c r="U44" i="3"/>
  <c r="U76" i="3"/>
  <c r="CT43" i="3"/>
  <c r="U46" i="3"/>
  <c r="T45" i="3"/>
  <c r="T47" i="3"/>
  <c r="T9" i="3"/>
  <c r="T49" i="3"/>
  <c r="CT40" i="3"/>
  <c r="CT31" i="3"/>
  <c r="CT7" i="3" l="1"/>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D112" i="3"/>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1"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M132" i="3"/>
  <c r="AA132" i="3" s="1"/>
  <c r="D132" i="3" s="1"/>
  <c r="AG124" i="3"/>
  <c r="M131" i="3"/>
  <c r="AA131" i="3" s="1"/>
  <c r="D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20" i="3" l="1"/>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AM38" i="45" a="1"/>
  <c r="AM38" i="45" s="1"/>
  <c r="C229" i="31"/>
  <c r="C228" i="31"/>
  <c r="AM14" i="45"/>
  <c r="AM13" i="45"/>
  <c r="B232" i="31"/>
  <c r="C226" i="31"/>
  <c r="C232" i="31"/>
  <c r="B220" i="31" l="1"/>
  <c r="C220" i="31"/>
  <c r="C214" i="31"/>
  <c r="AI8" i="45"/>
  <c r="BV61" i="3"/>
  <c r="BV60" i="3"/>
  <c r="BV66" i="3"/>
  <c r="BV69" i="3"/>
  <c r="BV65" i="3"/>
  <c r="BV68" i="3"/>
  <c r="BV62" i="3"/>
  <c r="BV59" i="3"/>
  <c r="BV64" i="3"/>
  <c r="BV58" i="3"/>
  <c r="BV67" i="3"/>
  <c r="BV63" i="3"/>
  <c r="H147" i="3"/>
  <c r="AA151" i="3"/>
  <c r="AA152" i="3"/>
  <c r="D143" i="3"/>
  <c r="AG143" i="3" s="1"/>
  <c r="C237" i="31"/>
  <c r="AQ32" i="45"/>
  <c r="C240"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AG152" i="3"/>
  <c r="C252" i="31"/>
  <c r="AZ25" i="45"/>
  <c r="BY59" i="3" l="1"/>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7" i="3" l="1"/>
  <c r="D139" i="3"/>
  <c r="C233" i="31"/>
  <c r="B233" i="31"/>
  <c r="C227" i="31"/>
  <c r="AM37" i="45"/>
  <c r="D147" i="3" l="1"/>
  <c r="AG147" i="3" s="1"/>
  <c r="AA150" i="3"/>
  <c r="AG139" i="3"/>
  <c r="N143" i="3"/>
  <c r="N147" i="3"/>
  <c r="AU26" i="45"/>
  <c r="B247" i="31"/>
  <c r="C247" i="31"/>
  <c r="C241" i="31"/>
  <c r="BA21" i="45" l="1"/>
  <c r="AG150" i="3"/>
  <c r="C250" i="31"/>
  <c r="AJ155" i="3"/>
  <c r="AJ151" i="3"/>
  <c r="BO37" i="45" l="1"/>
  <c r="BL37" i="45" s="1"/>
  <c r="BK37" i="45" s="1"/>
  <c r="BJ37" i="45" s="1"/>
  <c r="BI37" i="45" s="1"/>
  <c r="BH37" i="45" s="1"/>
  <c r="BO30" i="45"/>
  <c r="BL30" i="45" s="1"/>
  <c r="BK30" i="45" s="1"/>
  <c r="BJ30" i="45" s="1"/>
  <c r="BI30" i="45" s="1"/>
  <c r="BH30" i="45" s="1"/>
  <c r="BO39" i="45"/>
  <c r="BL39" i="45" s="1"/>
  <c r="BK39" i="45" s="1"/>
  <c r="BJ39" i="45" s="1"/>
  <c r="BI39" i="45" s="1"/>
  <c r="BH39" i="45" s="1"/>
  <c r="BO20" i="45"/>
  <c r="BL20" i="45" s="1"/>
  <c r="BK20" i="45" s="1"/>
  <c r="BJ20" i="45" s="1"/>
  <c r="BI20" i="45" s="1"/>
  <c r="BH20" i="45" s="1"/>
  <c r="BO5" i="45"/>
  <c r="BL5" i="45" s="1"/>
  <c r="BK5" i="45" s="1"/>
  <c r="BJ5" i="45" s="1"/>
  <c r="BI5" i="45" s="1"/>
  <c r="BH5" i="45" s="1"/>
  <c r="BO9" i="45"/>
  <c r="BL9" i="45" s="1"/>
  <c r="BK9" i="45" s="1"/>
  <c r="BJ9" i="45" s="1"/>
  <c r="BI9" i="45" s="1"/>
  <c r="BH9" i="45" s="1"/>
  <c r="BO27" i="45"/>
  <c r="BL27" i="45" s="1"/>
  <c r="BK27" i="45" s="1"/>
  <c r="BJ27" i="45" s="1"/>
  <c r="BI27" i="45" s="1"/>
  <c r="BH27" i="45" s="1"/>
  <c r="BO19" i="45"/>
  <c r="BL19" i="45" s="1"/>
  <c r="BK19" i="45" s="1"/>
  <c r="BJ19" i="45" s="1"/>
  <c r="BI19" i="45" s="1"/>
  <c r="BH19" i="45" s="1"/>
  <c r="BO46" i="45"/>
  <c r="BL46" i="45" s="1"/>
  <c r="BK46" i="45" s="1"/>
  <c r="BJ46" i="45" s="1"/>
  <c r="BI46" i="45" s="1"/>
  <c r="BH46" i="45" s="1"/>
  <c r="BO43" i="45"/>
  <c r="BL43" i="45" s="1"/>
  <c r="BK43" i="45" s="1"/>
  <c r="BJ43" i="45" s="1"/>
  <c r="BI43" i="45" s="1"/>
  <c r="BH43" i="45" s="1"/>
  <c r="BO34" i="45"/>
  <c r="BL34" i="45" s="1"/>
  <c r="BK34" i="45" s="1"/>
  <c r="BJ34" i="45" s="1"/>
  <c r="BI34" i="45" s="1"/>
  <c r="BH34" i="45" s="1"/>
  <c r="BO7" i="45"/>
  <c r="BL7" i="45" s="1"/>
  <c r="BK7" i="45" s="1"/>
  <c r="BJ7" i="45" s="1"/>
  <c r="BI7" i="45" s="1"/>
  <c r="BH7" i="45" s="1"/>
  <c r="BO13" i="45"/>
  <c r="BL13" i="45" s="1"/>
  <c r="BK13" i="45" s="1"/>
  <c r="BJ13" i="45" s="1"/>
  <c r="BI13" i="45" s="1"/>
  <c r="BH13" i="45" s="1"/>
  <c r="BO15" i="45"/>
  <c r="BL15" i="45" s="1"/>
  <c r="BK15" i="45" s="1"/>
  <c r="BJ15" i="45" s="1"/>
  <c r="BI15" i="45" s="1"/>
  <c r="BH15" i="45" s="1"/>
  <c r="BO50" i="45"/>
  <c r="BL50" i="45" s="1"/>
  <c r="BK50" i="45" s="1"/>
  <c r="BJ50" i="45" s="1"/>
  <c r="BI50" i="45" s="1"/>
  <c r="BH50" i="45" s="1"/>
  <c r="BO14" i="45"/>
  <c r="BL14" i="45" s="1"/>
  <c r="BK14" i="45" s="1"/>
  <c r="BJ14" i="45" s="1"/>
  <c r="BI14" i="45" s="1"/>
  <c r="BH14" i="45" s="1"/>
  <c r="BO47" i="45"/>
  <c r="BL47" i="45" s="1"/>
  <c r="BK47" i="45" s="1"/>
  <c r="BJ47" i="45" s="1"/>
  <c r="BI47" i="45" s="1"/>
  <c r="BH47" i="45" s="1"/>
  <c r="BO26" i="45"/>
  <c r="BL26" i="45" s="1"/>
  <c r="BK26" i="45" s="1"/>
  <c r="BJ26" i="45" s="1"/>
  <c r="BI26" i="45" s="1"/>
  <c r="BH26" i="45" s="1"/>
  <c r="BO8" i="45"/>
  <c r="BL8" i="45" s="1"/>
  <c r="BK8" i="45" s="1"/>
  <c r="BJ8" i="45" s="1"/>
  <c r="BI8" i="45" s="1"/>
  <c r="BH8" i="45" s="1"/>
  <c r="BO4" i="45"/>
  <c r="BL4" i="45" s="1"/>
  <c r="BK4" i="45" s="1"/>
  <c r="BJ4" i="45" s="1"/>
  <c r="BI4" i="45" s="1"/>
  <c r="BH4" i="45" s="1"/>
  <c r="BO17" i="45"/>
  <c r="BL17" i="45" s="1"/>
  <c r="BK17" i="45" s="1"/>
  <c r="BJ17" i="45" s="1"/>
  <c r="BI17" i="45" s="1"/>
  <c r="BH17" i="45" s="1"/>
  <c r="BO35" i="45"/>
  <c r="BL35" i="45" s="1"/>
  <c r="BK35" i="45" s="1"/>
  <c r="BJ35" i="45" s="1"/>
  <c r="BI35" i="45" s="1"/>
  <c r="BH35" i="45" s="1"/>
  <c r="BO31" i="45"/>
  <c r="BL31" i="45" s="1"/>
  <c r="BK31" i="45" s="1"/>
  <c r="BJ31" i="45" s="1"/>
  <c r="BI31" i="45" s="1"/>
  <c r="BH31" i="45" s="1"/>
  <c r="BO6" i="45"/>
  <c r="BL6" i="45" s="1"/>
  <c r="BK6" i="45" s="1"/>
  <c r="BJ6" i="45" s="1"/>
  <c r="BI6" i="45" s="1"/>
  <c r="BH6" i="45" s="1"/>
  <c r="BO11" i="45"/>
  <c r="BL11" i="45" s="1"/>
  <c r="BK11" i="45" s="1"/>
  <c r="BJ11" i="45" s="1"/>
  <c r="BI11" i="45" s="1"/>
  <c r="BH11" i="45" s="1"/>
  <c r="BO25" i="45"/>
  <c r="BL25" i="45" s="1"/>
  <c r="BK25" i="45" s="1"/>
  <c r="BJ25" i="45" s="1"/>
  <c r="BI25" i="45" s="1"/>
  <c r="BH25" i="45" s="1"/>
  <c r="BO28" i="45"/>
  <c r="BL28" i="45" s="1"/>
  <c r="BK28" i="45" s="1"/>
  <c r="BJ28" i="45" s="1"/>
  <c r="BI28" i="45" s="1"/>
  <c r="BH28" i="45" s="1"/>
  <c r="BO40" i="45"/>
  <c r="BL40" i="45" s="1"/>
  <c r="BK40" i="45" s="1"/>
  <c r="BJ40" i="45" s="1"/>
  <c r="BI40" i="45" s="1"/>
  <c r="BH40" i="45" s="1"/>
  <c r="BO16" i="45"/>
  <c r="BL16" i="45" s="1"/>
  <c r="BK16" i="45" s="1"/>
  <c r="BJ16" i="45" s="1"/>
  <c r="BI16" i="45" s="1"/>
  <c r="BH16" i="45" s="1"/>
  <c r="BO45" i="45"/>
  <c r="BL45" i="45" s="1"/>
  <c r="BK45" i="45" s="1"/>
  <c r="BJ45" i="45" s="1"/>
  <c r="BI45" i="45" s="1"/>
  <c r="BH45" i="45" s="1"/>
  <c r="BO44" i="45"/>
  <c r="BL44" i="45" s="1"/>
  <c r="BK44" i="45" s="1"/>
  <c r="BJ44" i="45" s="1"/>
  <c r="BI44" i="45" s="1"/>
  <c r="BH44" i="45" s="1"/>
  <c r="BO33" i="45"/>
  <c r="BL33" i="45" s="1"/>
  <c r="BK33" i="45" s="1"/>
  <c r="BJ33" i="45" s="1"/>
  <c r="BI33" i="45" s="1"/>
  <c r="BH33" i="45" s="1"/>
  <c r="BO32" i="45"/>
  <c r="BL32" i="45" s="1"/>
  <c r="BK32" i="45" s="1"/>
  <c r="BJ32" i="45" s="1"/>
  <c r="BI32" i="45" s="1"/>
  <c r="BH32" i="45" s="1"/>
  <c r="BO12" i="45"/>
  <c r="BL12" i="45" s="1"/>
  <c r="BK12" i="45" s="1"/>
  <c r="BJ12" i="45" s="1"/>
  <c r="BI12" i="45" s="1"/>
  <c r="BH12" i="45" s="1"/>
  <c r="BO23" i="45"/>
  <c r="BL23" i="45" s="1"/>
  <c r="BK23" i="45" s="1"/>
  <c r="BJ23" i="45" s="1"/>
  <c r="BI23" i="45" s="1"/>
  <c r="BH23" i="45" s="1"/>
  <c r="BO10" i="45"/>
  <c r="BL10" i="45" s="1"/>
  <c r="BK10" i="45" s="1"/>
  <c r="BJ10" i="45" s="1"/>
  <c r="BI10" i="45" s="1"/>
  <c r="BH10" i="45" s="1"/>
  <c r="BO21" i="45"/>
  <c r="BL21" i="45" s="1"/>
  <c r="BK21" i="45" s="1"/>
  <c r="BJ21" i="45" s="1"/>
  <c r="BI21" i="45" s="1"/>
  <c r="BH21" i="45" s="1"/>
  <c r="BO41" i="45"/>
  <c r="BL41" i="45" s="1"/>
  <c r="BK41" i="45" s="1"/>
  <c r="BJ41" i="45" s="1"/>
  <c r="BI41" i="45" s="1"/>
  <c r="BH41" i="45" s="1"/>
  <c r="BO38" i="45"/>
  <c r="BL38" i="45" s="1"/>
  <c r="BK38" i="45" s="1"/>
  <c r="BJ38" i="45" s="1"/>
  <c r="BI38" i="45" s="1"/>
  <c r="BH38" i="45" s="1"/>
  <c r="BO42" i="45"/>
  <c r="BL42" i="45" s="1"/>
  <c r="BK42" i="45" s="1"/>
  <c r="BJ42" i="45" s="1"/>
  <c r="BI42" i="45" s="1"/>
  <c r="BH42" i="45" s="1"/>
  <c r="BO49" i="45"/>
  <c r="BL49" i="45" s="1"/>
  <c r="BK49" i="45" s="1"/>
  <c r="BJ49" i="45" s="1"/>
  <c r="BI49" i="45" s="1"/>
  <c r="BH49" i="45" s="1"/>
  <c r="BO18" i="45"/>
  <c r="BL18" i="45" s="1"/>
  <c r="BK18" i="45" s="1"/>
  <c r="BJ18" i="45" s="1"/>
  <c r="BI18" i="45" s="1"/>
  <c r="BH18" i="45" s="1"/>
  <c r="BO24" i="45"/>
  <c r="BL24" i="45" s="1"/>
  <c r="BK24" i="45" s="1"/>
  <c r="BJ24" i="45" s="1"/>
  <c r="BI24" i="45" s="1"/>
  <c r="BH24" i="45" s="1"/>
  <c r="BO36" i="45"/>
  <c r="BL36" i="45" s="1"/>
  <c r="BK36" i="45" s="1"/>
  <c r="BJ36" i="45" s="1"/>
  <c r="BI36" i="45" s="1"/>
  <c r="BH36" i="45" s="1"/>
  <c r="BO51" i="45"/>
  <c r="BL51" i="45" s="1"/>
  <c r="BK51" i="45" s="1"/>
  <c r="BJ51" i="45" s="1"/>
  <c r="BI51" i="45" s="1"/>
  <c r="BH51" i="45" s="1"/>
  <c r="BO29" i="45"/>
  <c r="BL29" i="45" s="1"/>
  <c r="BK29" i="45" s="1"/>
  <c r="BJ29" i="45" s="1"/>
  <c r="BI29" i="45" s="1"/>
  <c r="BH29" i="45" s="1"/>
  <c r="BO22" i="45"/>
  <c r="BL22" i="45" s="1"/>
  <c r="BK22" i="45" s="1"/>
  <c r="BJ22" i="45" s="1"/>
  <c r="BI22" i="45" s="1"/>
  <c r="BH22" i="45" s="1"/>
  <c r="BO48" i="45"/>
  <c r="BL48" i="45" s="1"/>
  <c r="BK48" i="45" s="1"/>
  <c r="BJ48" i="45" s="1"/>
  <c r="BI48" i="45" s="1"/>
  <c r="BH48"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<sst xmlns="http://schemas.openxmlformats.org/spreadsheetml/2006/main" count="6764" uniqueCount="1523">
  <si>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</si>
  <si>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</si>
  <si>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</si>
  <si>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</si>
  <si>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</si>
  <si>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</si>
  <si>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</si>
  <si>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</si>
  <si>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</si>
  <si>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</si>
  <si>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</si>
  <si>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</si>
  <si>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</si>
  <si>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</si>
  <si>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</si>
  <si>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</si>
  <si>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</si>
  <si>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</si>
  <si>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</si>
  <si>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</si>
  <si>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</si>
  <si>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</si>
  <si>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</si>
  <si>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</si>
  <si>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</si>
  <si>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</si>
  <si>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</si>
  <si>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</si>
  <si>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</si>
  <si>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</si>
  <si>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</si>
  <si>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</si>
  <si>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</si>
  <si>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</si>
  <si>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</si>
  <si>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</si>
  <si>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</si>
  <si>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</si>
  <si>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</si>
  <si>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</si>
  <si>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</si>
  <si>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</si>
  <si>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</si>
  <si>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</si>
  <si>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</si>
  <si>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</si>
  <si>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</si>
  <si>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</si>
  <si>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</si>
  <si>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</si>
  <si>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</si>
  <si>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</si>
  <si>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</si>
  <si>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</si>
  <si>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</si>
  <si>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</si>
  <si>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</si>
  <si>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</si>
  <si>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</si>
  <si>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</si>
  <si>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</si>
  <si>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</si>
  <si>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</si>
  <si>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</si>
  <si>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</si>
  <si>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</si>
  <si>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</si>
  <si>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</si>
  <si>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</si>
  <si>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</si>
  <si>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</si>
  <si>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</si>
  <si>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</si>
  <si>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</si>
  <si>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</si>
  <si>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</si>
  <si>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</si>
  <si>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</si>
  <si>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</si>
  <si>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</si>
  <si>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</si>
  <si>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</si>
  <si>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</si>
  <si>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</si>
  <si>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</si>
  <si>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</si>
  <si>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</si>
  <si>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</si>
  <si>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</si>
  <si>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</si>
  <si>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</si>
  <si>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</si>
  <si>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</si>
  <si>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</si>
  <si>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</si>
  <si>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</si>
  <si>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</si>
  <si>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</si>
  <si>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</si>
  <si>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</si>
  <si>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</si>
  <si>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</si>
  <si>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</si>
  <si>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</si>
  <si>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</si>
  <si>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</si>
  <si>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</si>
  <si>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</si>
  <si>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</si>
  <si>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</si>
  <si>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</si>
  <si>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</si>
  <si>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</si>
  <si>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</si>
  <si>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</si>
  <si>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</si>
  <si>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</si>
  <si>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</si>
  <si>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</si>
  <si>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</si>
  <si>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</si>
  <si>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</si>
  <si>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</si>
  <si>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</si>
  <si>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</si>
  <si>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</si>
  <si>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</si>
  <si>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</si>
  <si>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</si>
  <si>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</si>
  <si>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</si>
  <si>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</si>
  <si>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</si>
  <si>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</si>
  <si>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</si>
  <si>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</si>
  <si>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</si>
  <si>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</si>
  <si>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</si>
  <si>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</si>
  <si>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</si>
  <si>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</si>
  <si>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</si>
  <si>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</si>
  <si>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</si>
  <si>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</si>
  <si>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</si>
  <si>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</si>
  <si>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</si>
  <si>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</si>
  <si>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</si>
  <si>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</si>
  <si>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</si>
  <si>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</si>
  <si>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</si>
  <si>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</si>
  <si>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</si>
  <si>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</si>
  <si>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</si>
  <si>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</si>
  <si>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</si>
  <si>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</si>
  <si>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</si>
  <si>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</si>
  <si>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</si>
  <si>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</si>
  <si>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</si>
  <si>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</si>
  <si>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</si>
  <si>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</si>
  <si>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</si>
  <si>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</si>
  <si>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</si>
  <si>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</si>
  <si>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</si>
  <si>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</si>
  <si>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</si>
  <si>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</si>
  <si>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</si>
  <si>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</si>
  <si>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</si>
  <si>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</si>
  <si>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</si>
  <si>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</si>
  <si>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</si>
  <si>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</si>
  <si>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</si>
  <si>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</si>
  <si>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</si>
  <si>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</si>
  <si>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</si>
  <si>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</si>
  <si>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</si>
  <si>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</si>
  <si>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</si>
  <si>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</si>
  <si>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</si>
  <si>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</si>
  <si>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</si>
  <si>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</si>
  <si>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</si>
  <si>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</si>
  <si>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</si>
  <si>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</si>
  <si>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</si>
  <si>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</si>
  <si>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</si>
  <si>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</si>
  <si>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</si>
  <si>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</si>
  <si>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</si>
  <si>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</si>
  <si>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</si>
  <si>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</si>
  <si>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</si>
  <si>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</si>
  <si>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</si>
  <si>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</si>
  <si>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</si>
  <si>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</si>
  <si>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</si>
  <si>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</si>
  <si>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</si>
  <si>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</si>
  <si>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</si>
  <si>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</si>
  <si>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</si>
  <si>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</si>
  <si>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</si>
  <si>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</si>
  <si>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</si>
  <si>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</si>
  <si>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</si>
  <si>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</si>
  <si>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</si>
  <si>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</si>
  <si>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</si>
  <si>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</si>
  <si>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</si>
  <si>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</si>
  <si>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</si>
  <si>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</si>
  <si>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</si>
  <si>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</si>
  <si>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</si>
  <si>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</si>
  <si>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</si>
  <si>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</si>
  <si>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</si>
  <si>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</si>
  <si>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</si>
  <si>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</si>
  <si>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</si>
  <si>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</si>
  <si>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</si>
  <si>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</si>
  <si>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</si>
  <si>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</si>
  <si>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</si>
  <si>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</si>
  <si>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</si>
  <si>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</si>
  <si>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</si>
  <si>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</si>
  <si>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</si>
  <si>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</si>
  <si>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</si>
  <si>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</si>
  <si>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</si>
  <si>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</si>
  <si>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</si>
  <si>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</si>
  <si>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</si>
  <si>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</si>
  <si>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</si>
  <si>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</si>
  <si>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</si>
  <si>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</si>
  <si>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</si>
  <si>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</si>
  <si>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</si>
  <si>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</si>
  <si>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</si>
  <si>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</si>
  <si>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</si>
  <si>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</si>
  <si>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</si>
  <si>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</si>
  <si>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</si>
  <si>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</si>
  <si>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</si>
  <si>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</si>
  <si>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</si>
  <si>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</si>
  <si>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</si>
  <si>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</si>
  <si>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</si>
  <si>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</si>
  <si>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</si>
  <si>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</si>
  <si>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</si>
  <si>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</si>
  <si>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</si>
  <si>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</si>
  <si>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</si>
  <si>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</si>
  <si>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</si>
  <si>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</si>
  <si>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</si>
  <si>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</si>
  <si>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</si>
  <si>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</si>
  <si>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</si>
  <si>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</si>
  <si>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</si>
  <si>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</si>
  <si>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</si>
  <si>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</si>
  <si>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</si>
  <si>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</si>
  <si>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</si>
  <si>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</si>
  <si>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</si>
  <si>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</si>
  <si>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</si>
  <si>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</si>
  <si>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</si>
  <si>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</si>
  <si>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</si>
  <si>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</si>
  <si>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</si>
  <si>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</si>
  <si>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</si>
  <si>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</si>
  <si>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</si>
  <si>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</si>
  <si>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</si>
  <si>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</si>
  <si>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</si>
  <si>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</si>
  <si>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</si>
  <si>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</si>
  <si>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</si>
  <si>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</si>
  <si>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</si>
  <si>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</si>
  <si>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</si>
  <si>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</si>
  <si>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</si>
  <si>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</si>
  <si>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</si>
  <si>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</si>
  <si>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</si>
  <si>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</si>
  <si>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</si>
  <si>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</si>
  <si>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</si>
  <si>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</si>
  <si>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</si>
  <si>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</si>
  <si>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</si>
  <si>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</si>
  <si>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</si>
  <si>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</si>
  <si>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</si>
  <si>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</si>
  <si>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</si>
  <si>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</si>
  <si>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</si>
  <si>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</si>
  <si>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</si>
  <si>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</si>
  <si>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</si>
  <si>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</si>
  <si>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</si>
  <si>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</si>
  <si>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</si>
  <si>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</si>
  <si>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</si>
  <si>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</si>
  <si>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</si>
  <si>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</si>
  <si>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</si>
  <si>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</si>
  <si>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</si>
  <si>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</si>
  <si>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</si>
  <si>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</si>
  <si>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</si>
  <si>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</si>
  <si>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</si>
  <si>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</si>
  <si>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</si>
  <si>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</si>
  <si>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</si>
  <si>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</si>
  <si>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</si>
  <si>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</si>
  <si>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</si>
  <si>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</si>
  <si>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</si>
  <si>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</si>
  <si>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</si>
  <si>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</si>
  <si>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</si>
  <si>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</si>
  <si>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</si>
  <si>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</si>
  <si>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</si>
  <si>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</si>
  <si>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</si>
  <si>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</si>
  <si>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</si>
  <si>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</si>
  <si>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</si>
  <si>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</si>
  <si>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</si>
  <si>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</si>
  <si>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</si>
  <si>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</si>
  <si>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</si>
  <si>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</si>
  <si>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</si>
  <si>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</si>
  <si>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</si>
  <si>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</si>
  <si>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</si>
  <si>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</si>
  <si>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</si>
  <si>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</si>
  <si>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</si>
  <si>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</si>
  <si>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</si>
  <si>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</si>
  <si>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</si>
  <si>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</si>
  <si>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</si>
  <si>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</si>
  <si>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</si>
  <si>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</si>
  <si>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</si>
  <si>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</si>
  <si>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</si>
  <si>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</si>
  <si>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</si>
  <si>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</si>
  <si>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</si>
  <si>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</si>
  <si>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</si>
  <si>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</si>
  <si>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</si>
  <si>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</si>
  <si>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</si>
  <si>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</si>
  <si>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</si>
  <si>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</si>
  <si>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</si>
  <si>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</si>
  <si>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</si>
  <si>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</si>
  <si>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</si>
  <si>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</si>
  <si>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</si>
  <si>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</si>
  <si>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</si>
  <si>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</si>
  <si>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</si>
  <si>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</si>
  <si>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</si>
  <si>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</si>
  <si>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</si>
  <si>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</si>
  <si>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</si>
  <si>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</si>
  <si>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</si>
  <si>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</si>
  <si>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</si>
  <si>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</si>
  <si>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</si>
  <si>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</si>
  <si>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</si>
  <si>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</si>
  <si>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</si>
  <si>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</si>
  <si>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</si>
  <si>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</si>
  <si>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</si>
  <si>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</si>
  <si>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</si>
  <si>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</si>
  <si>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</si>
  <si>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</si>
  <si>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</si>
  <si>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</si>
  <si>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</si>
  <si>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</si>
  <si>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</si>
  <si>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</si>
  <si>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</si>
  <si>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</si>
  <si>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</si>
  <si>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</si>
  <si>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</si>
  <si>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</si>
  <si>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</si>
  <si>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</si>
  <si>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</si>
  <si>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</si>
  <si>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</si>
  <si>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</si>
  <si>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</si>
  <si>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</si>
  <si>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</si>
  <si>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</si>
  <si>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</si>
  <si>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</si>
  <si>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</si>
  <si>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</si>
  <si>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</si>
  <si>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</si>
  <si>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</si>
  <si>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</si>
  <si>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</si>
  <si>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</si>
  <si>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</si>
  <si>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</si>
  <si>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</si>
  <si>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</si>
  <si>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</si>
  <si>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</si>
  <si>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</si>
  <si>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</si>
  <si>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</si>
  <si>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</si>
  <si>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</si>
  <si>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</si>
  <si>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</si>
  <si>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</si>
  <si>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</si>
  <si>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</si>
  <si>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</si>
  <si>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</si>
  <si>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</si>
  <si>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</si>
  <si>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</si>
  <si>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</si>
  <si>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</si>
  <si>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</si>
  <si>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</si>
  <si>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</si>
  <si>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</si>
  <si>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</si>
  <si>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</si>
  <si>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</si>
  <si>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</si>
  <si>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</si>
  <si>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</si>
  <si>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</si>
  <si>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</si>
  <si>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</si>
  <si>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</si>
  <si>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</si>
  <si>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</si>
  <si>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</si>
  <si>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</si>
  <si>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</si>
  <si>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</si>
  <si>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</si>
  <si>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</si>
  <si>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</si>
  <si>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</si>
  <si>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</si>
  <si>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</si>
  <si>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</si>
  <si>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</si>
  <si>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</si>
  <si>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</si>
  <si>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</si>
  <si>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</si>
  <si>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</si>
  <si>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</si>
  <si>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</si>
  <si>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</si>
  <si>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</si>
  <si>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</si>
  <si>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</si>
  <si>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</si>
  <si>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</si>
  <si>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</si>
  <si>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</si>
  <si>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</si>
  <si>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</si>
  <si>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</si>
  <si>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</si>
  <si>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</si>
  <si>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</si>
  <si>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</si>
  <si>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</si>
  <si>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</si>
  <si>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</si>
  <si>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</si>
  <si>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</si>
  <si>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</si>
  <si>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</si>
  <si>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</si>
  <si>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</si>
  <si>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</si>
  <si>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</si>
  <si>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</si>
  <si>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</si>
  <si>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</si>
  <si>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</si>
  <si>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</si>
  <si>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</si>
  <si>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</si>
  <si>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</si>
  <si>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</si>
  <si>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</si>
  <si>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</si>
  <si>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</si>
  <si>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</si>
  <si>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</si>
  <si>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</si>
  <si>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</si>
  <si>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</si>
  <si>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</si>
  <si>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</si>
  <si>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</si>
  <si>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</si>
  <si>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</si>
  <si>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</si>
  <si>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</si>
  <si>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</si>
  <si>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</si>
  <si>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</si>
  <si>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</si>
  <si>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</si>
  <si>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</si>
  <si>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</si>
  <si>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</si>
  <si>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</si>
  <si>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</si>
  <si>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</si>
  <si>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</si>
  <si>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</si>
  <si>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</si>
  <si>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</si>
  <si>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</si>
  <si>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</si>
  <si>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</si>
  <si>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</si>
  <si>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</si>
  <si>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</si>
  <si>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</si>
  <si>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</si>
  <si>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</si>
  <si>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</si>
  <si>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</si>
  <si>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</si>
  <si>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</si>
  <si>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</si>
  <si>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</si>
  <si>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</si>
  <si>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</si>
  <si>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</si>
  <si>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</si>
  <si>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</si>
  <si>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</si>
  <si>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</si>
  <si>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</si>
  <si>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</si>
  <si>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</si>
  <si>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</si>
  <si>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</si>
  <si>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</si>
  <si>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</si>
  <si>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</si>
  <si>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</si>
  <si>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</si>
  <si>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</si>
  <si>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</si>
  <si>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</si>
  <si>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</si>
  <si>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</si>
  <si>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</si>
  <si>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</si>
  <si>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</si>
  <si>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</si>
  <si>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</si>
  <si>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</si>
  <si>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</si>
  <si>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</si>
  <si>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</si>
  <si>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</si>
  <si>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</si>
  <si>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</si>
  <si>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</si>
  <si>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</si>
  <si>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</si>
  <si>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</si>
  <si>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</si>
  <si>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</si>
  <si>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</si>
  <si>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</si>
  <si>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</si>
  <si>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</si>
  <si>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</si>
  <si>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</si>
  <si>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</si>
  <si>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</si>
  <si>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</si>
  <si>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</si>
  <si>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</si>
  <si>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</si>
  <si>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</si>
  <si>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</si>
  <si>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</si>
  <si>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</si>
  <si>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</si>
  <si>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</si>
  <si>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</si>
  <si>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</si>
  <si>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</si>
  <si>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</si>
  <si>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</si>
  <si>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</si>
  <si>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</si>
  <si>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</si>
  <si>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</si>
  <si>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</si>
  <si>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</si>
  <si>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</si>
  <si>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</si>
  <si>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</si>
  <si>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</si>
  <si>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</si>
  <si>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</si>
  <si>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</si>
  <si>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</si>
  <si>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</si>
  <si>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</si>
  <si>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</si>
  <si>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</si>
  <si>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</si>
  <si>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</si>
  <si>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</si>
  <si>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</si>
  <si>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</si>
  <si>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</si>
  <si>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</si>
  <si>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</si>
  <si>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</si>
  <si>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</si>
  <si>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</si>
  <si>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</si>
  <si>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</si>
  <si>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</si>
  <si>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</si>
  <si>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</si>
  <si>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</si>
  <si>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</si>
  <si>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</si>
  <si>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</si>
  <si>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</si>
  <si>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</si>
  <si>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</si>
  <si>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</si>
  <si>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</si>
  <si>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</si>
  <si>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</si>
  <si>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</si>
  <si>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</si>
  <si>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</si>
  <si>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</si>
  <si>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</si>
  <si>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</si>
  <si>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</si>
  <si>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</si>
  <si>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</si>
  <si>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</si>
  <si>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</si>
  <si>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</si>
  <si>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</si>
  <si>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</si>
  <si>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</si>
  <si>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</si>
  <si>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</si>
  <si>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</si>
  <si>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</si>
  <si>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</si>
  <si>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</si>
  <si>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</si>
  <si>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</si>
  <si>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</si>
  <si>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</si>
  <si>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</si>
  <si>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</si>
  <si>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</si>
  <si>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</si>
  <si>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</si>
  <si>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</si>
  <si>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</si>
  <si>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</si>
  <si>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</si>
  <si>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</si>
  <si>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</si>
  <si>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</si>
  <si>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</si>
  <si>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</si>
  <si>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</si>
  <si>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</si>
  <si>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</si>
  <si>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</si>
  <si>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</si>
  <si>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</si>
  <si>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</si>
  <si>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</si>
  <si>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</si>
  <si>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</si>
  <si>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</si>
  <si>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</si>
  <si>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</si>
  <si>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</si>
  <si>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</si>
  <si>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</si>
  <si>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</si>
  <si>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</si>
  <si>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</si>
  <si>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</si>
  <si>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</si>
  <si>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</si>
  <si>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</si>
  <si>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</si>
  <si>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</si>
  <si>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</si>
  <si>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</si>
  <si>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</si>
  <si>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</si>
  <si>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</si>
  <si>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</si>
  <si>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</si>
  <si>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</si>
  <si>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</si>
  <si>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</si>
  <si>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</si>
  <si>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</si>
  <si>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</si>
  <si>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</si>
  <si>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</si>
  <si>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</si>
  <si>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</si>
  <si>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</si>
  <si>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</si>
  <si>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</si>
  <si>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</si>
  <si>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</si>
  <si>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</si>
  <si>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</si>
  <si>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</si>
  <si>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</si>
  <si>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</si>
  <si>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</si>
  <si>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</si>
  <si>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</si>
  <si>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</si>
  <si>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</si>
  <si>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</si>
  <si>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</si>
  <si>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</si>
  <si>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</si>
  <si>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</si>
  <si>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</si>
  <si>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</si>
  <si>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</si>
  <si>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</si>
  <si>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</si>
  <si>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</si>
  <si>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</si>
  <si>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</si>
  <si>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</si>
  <si>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</si>
  <si>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</si>
  <si>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</si>
  <si>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</si>
  <si>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</si>
  <si>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</si>
  <si>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</si>
  <si>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</si>
  <si>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</si>
  <si>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</si>
  <si>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</si>
  <si>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</si>
  <si>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</si>
  <si>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</si>
  <si>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</si>
  <si>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</si>
  <si>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</si>
  <si>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</si>
  <si>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</si>
  <si>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</si>
  <si>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</si>
  <si>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</si>
  <si>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</si>
  <si>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</si>
  <si>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</si>
  <si>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</si>
  <si>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</si>
  <si>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</si>
  <si>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</si>
  <si>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</si>
  <si>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</si>
  <si>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</si>
  <si>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</si>
  <si>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</si>
  <si>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</si>
  <si>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</si>
  <si>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</si>
  <si>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</si>
  <si>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</si>
  <si>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</si>
  <si>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</si>
  <si>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</si>
  <si>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</si>
  <si>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</si>
  <si>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</si>
  <si>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</si>
  <si>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</si>
  <si>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</si>
  <si>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</si>
  <si>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</si>
  <si>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</si>
  <si>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</si>
  <si>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</si>
  <si>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</si>
  <si>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</si>
  <si>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</si>
  <si>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</si>
  <si>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</si>
  <si>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</si>
  <si>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</si>
  <si>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</si>
  <si>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</si>
  <si>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</si>
  <si>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</si>
  <si>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</si>
  <si>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</si>
  <si>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</si>
  <si>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</si>
  <si>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</si>
  <si>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</si>
  <si>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</si>
  <si>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</si>
  <si>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</si>
  <si>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</si>
  <si>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</si>
  <si>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</si>
  <si>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</si>
  <si>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</si>
  <si>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</si>
  <si>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</si>
  <si>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</si>
  <si>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</si>
  <si>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</si>
  <si>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</si>
  <si>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</si>
  <si>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</si>
  <si>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</si>
  <si>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</si>
  <si>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</si>
  <si>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</si>
  <si>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</si>
  <si>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</si>
  <si>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</si>
  <si>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</si>
  <si>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</si>
  <si>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</si>
  <si>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</si>
  <si>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</si>
  <si>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</si>
  <si>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</si>
  <si>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</si>
  <si>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</si>
  <si>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</si>
  <si>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</si>
  <si>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</si>
  <si>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</si>
  <si>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</si>
  <si>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</si>
  <si>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</si>
  <si>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</si>
  <si>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</si>
  <si>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</si>
  <si>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</si>
  <si>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</si>
  <si>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</si>
  <si>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</si>
  <si>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</si>
  <si>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</si>
  <si>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</si>
  <si>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</si>
  <si>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</si>
  <si>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</si>
  <si>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</si>
  <si>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</si>
  <si>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</si>
  <si>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</si>
  <si>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</si>
  <si>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</si>
  <si>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</si>
  <si>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</si>
  <si>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</si>
  <si>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</si>
  <si>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</si>
  <si>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</si>
  <si>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</si>
  <si>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</si>
  <si>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</si>
  <si>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</si>
  <si>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</si>
  <si>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</si>
  <si>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</si>
  <si>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</si>
  <si>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</si>
  <si>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</si>
  <si>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</si>
  <si>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</si>
  <si>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</si>
  <si>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</si>
  <si>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</si>
  <si>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</si>
  <si>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</si>
  <si>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</si>
  <si>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</si>
  <si>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</si>
  <si>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</si>
  <si>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</si>
  <si>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</si>
  <si>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</si>
  <si>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</si>
  <si>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</si>
  <si>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</si>
  <si>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</si>
  <si>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</si>
  <si>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</si>
  <si>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</si>
  <si>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</si>
  <si>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</si>
  <si>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</si>
  <si>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</si>
  <si>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</si>
  <si>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</si>
  <si>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</si>
  <si>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</si>
  <si>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</si>
  <si>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</si>
  <si>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</si>
  <si>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</si>
  <si>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</si>
  <si>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</si>
  <si>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</si>
  <si>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</si>
  <si>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</si>
  <si>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</si>
  <si>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</si>
  <si>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</si>
  <si>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</si>
  <si>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</si>
  <si>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</si>
  <si>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</si>
  <si>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</si>
  <si>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</si>
  <si>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</si>
  <si>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</si>
  <si>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</si>
  <si>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</si>
  <si>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</si>
  <si>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</si>
  <si>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</si>
  <si>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</si>
  <si>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</si>
  <si>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</si>
  <si>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</si>
  <si>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</si>
  <si>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</si>
  <si>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</si>
  <si>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</si>
  <si>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</si>
  <si>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</si>
  <si>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</si>
  <si>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</si>
  <si>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</si>
  <si>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</si>
  <si>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</si>
  <si>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</si>
  <si>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</si>
  <si>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</si>
  <si>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</si>
  <si>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</si>
  <si>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</si>
  <si>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</si>
  <si>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</si>
  <si>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</si>
  <si>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</si>
  <si>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</si>
  <si>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</si>
  <si>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</si>
  <si>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</si>
  <si>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</si>
  <si>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</si>
  <si>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</si>
  <si>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</si>
  <si>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</si>
  <si>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</si>
  <si>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</si>
  <si>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</si>
  <si>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</si>
  <si>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</si>
  <si>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</si>
  <si>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</si>
  <si>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</si>
  <si>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</si>
  <si>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</si>
  <si>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</si>
  <si>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</si>
  <si>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</si>
  <si>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</si>
  <si>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</si>
  <si>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</si>
  <si>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</si>
  <si>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</si>
  <si>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</si>
  <si>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</si>
  <si>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</si>
  <si>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</si>
  <si>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</si>
  <si>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</si>
  <si>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</si>
  <si>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</si>
  <si>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</si>
  <si>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</si>
  <si>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</si>
  <si>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</si>
  <si>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</si>
  <si>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</si>
  <si>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</si>
  <si>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</si>
  <si>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</si>
  <si>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</si>
  <si>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</si>
  <si>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</si>
  <si>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</si>
  <si>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</si>
  <si>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</si>
  <si>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</si>
  <si>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</si>
  <si>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</si>
  <si>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</si>
  <si>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</si>
  <si>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</si>
  <si>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</si>
  <si>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</si>
  <si>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</si>
  <si>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</si>
  <si>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</si>
  <si>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</si>
  <si>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</si>
  <si>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</si>
  <si>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</si>
  <si>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</si>
  <si>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</si>
  <si>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</si>
  <si>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</si>
  <si>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</si>
  <si>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</si>
  <si>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</si>
  <si>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</si>
  <si>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</si>
  <si>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</si>
  <si>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</si>
  <si>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</si>
  <si>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</si>
  <si>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</si>
  <si>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</si>
  <si>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</si>
  <si>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</si>
  <si>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</si>
  <si>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</si>
  <si>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</si>
  <si>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</si>
  <si>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</si>
  <si>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</si>
  <si>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</si>
  <si>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</si>
  <si>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</si>
  <si>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</si>
  <si>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</si>
  <si>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</si>
  <si>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</si>
  <si>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</si>
  <si>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</si>
  <si>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</si>
  <si>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</si>
  <si>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</si>
  <si>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</si>
  <si>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</si>
  <si>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</si>
  <si>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</si>
  <si>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</si>
  <si>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</si>
  <si>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</si>
  <si>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</si>
  <si>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</si>
  <si>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</si>
  <si>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</si>
  <si>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</si>
  <si>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</si>
  <si>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</si>
  <si>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</si>
  <si>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</si>
  <si>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</si>
  <si>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</si>
  <si>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</si>
  <si>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</si>
  <si>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</si>
  <si>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</si>
  <si>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</si>
  <si>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</si>
  <si>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</si>
  <si>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</si>
  <si>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</si>
  <si>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</si>
  <si>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</si>
  <si>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</si>
  <si>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</si>
  <si>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</si>
  <si>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</si>
  <si>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</si>
  <si>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</si>
  <si>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</si>
  <si>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</si>
  <si>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</si>
  <si>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</si>
  <si>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</si>
  <si>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</si>
  <si>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</si>
  <si>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</si>
  <si>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</si>
  <si>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</si>
  <si>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</si>
  <si>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</si>
  <si>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</si>
  <si>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</si>
  <si>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</si>
  <si>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</si>
  <si>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</si>
  <si>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</si>
  <si>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</si>
  <si>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</si>
  <si>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</si>
  <si>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</si>
  <si>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</si>
  <si>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</si>
  <si>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</si>
  <si>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</si>
  <si>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</si>
  <si>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</si>
  <si>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</si>
  <si>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</si>
  <si>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</si>
  <si>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</si>
  <si>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</si>
  <si>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</si>
  <si>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</si>
  <si>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</si>
  <si>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</si>
  <si>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</si>
  <si>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</si>
  <si>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</si>
  <si>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</si>
  <si>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</si>
  <si>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</si>
  <si>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</si>
  <si>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</si>
  <si>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</si>
  <si>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</si>
  <si>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</si>
  <si>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</si>
  <si>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</si>
  <si>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</si>
  <si>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</si>
  <si>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</si>
  <si>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</si>
  <si>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</si>
  <si>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</si>
  <si>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</si>
  <si>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</si>
  <si>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</si>
  <si>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</si>
  <si>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</si>
  <si>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</si>
  <si>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</si>
  <si>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</si>
  <si>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</si>
  <si>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</si>
  <si>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</si>
  <si>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</si>
  <si>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</si>
  <si>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</si>
  <si>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</si>
  <si>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</si>
  <si>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</si>
  <si>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</si>
  <si>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</si>
  <si>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</si>
  <si>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</si>
  <si>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</si>
  <si>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</si>
  <si>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</si>
  <si>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</si>
  <si>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</si>
  <si>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</si>
  <si>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</si>
  <si>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</si>
  <si>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</si>
  <si>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</si>
  <si>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</si>
  <si>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</si>
  <si>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</si>
  <si>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</si>
  <si>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</si>
  <si>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</si>
  <si>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</si>
  <si>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</si>
  <si>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</si>
  <si>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</si>
  <si>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</si>
  <si>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</si>
  <si>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</si>
  <si>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</si>
  <si>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</si>
  <si>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</si>
  <si>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</si>
  <si>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</si>
  <si>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</si>
  <si>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</si>
  <si>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</si>
  <si>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</si>
  <si>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</si>
  <si>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</si>
  <si>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</si>
  <si>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</si>
  <si>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</si>
  <si>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</si>
  <si>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</si>
  <si>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</si>
  <si>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</si>
  <si>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</si>
  <si>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</si>
  <si>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</si>
  <si>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</si>
  <si>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</si>
  <si>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</si>
  <si>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</si>
  <si>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</si>
  <si>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</si>
  <si>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</si>
  <si>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</si>
  <si>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</si>
  <si>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</si>
  <si>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</si>
  <si>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</si>
  <si>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</si>
  <si>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</si>
  <si>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</si>
  <si>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</si>
  <si>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</si>
  <si>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</si>
  <si>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</si>
  <si>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</si>
  <si>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</si>
  <si>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</si>
  <si>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</si>
  <si>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</si>
  <si>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</si>
  <si>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</si>
  <si>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</si>
  <si>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</si>
  <si>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</si>
  <si>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</si>
  <si>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</si>
  <si>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</si>
  <si>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</si>
  <si>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</si>
  <si>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</si>
  <si>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</si>
  <si>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</si>
  <si>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</si>
  <si>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</si>
  <si>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</si>
  <si>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</si>
  <si>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</si>
  <si>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</si>
  <si>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</si>
  <si>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</si>
  <si>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</si>
  <si>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</si>
  <si>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</si>
  <si>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</si>
  <si>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</si>
  <si>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</si>
  <si>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</si>
  <si>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</si>
  <si>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</si>
  <si>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</si>
  <si>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</si>
  <si>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</si>
  <si>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</si>
  <si>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</si>
  <si>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</si>
  <si>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</si>
  <si>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</si>
  <si>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</si>
  <si>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</si>
  <si>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</si>
  <si>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</si>
  <si>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</si>
  <si>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</si>
  <si>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</si>
  <si>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</si>
  <si>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</si>
  <si>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</si>
  <si>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</si>
  <si>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</si>
  <si>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</si>
  <si>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</si>
  <si>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</si>
  <si>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</si>
  <si>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</si>
  <si>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</si>
  <si>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</si>
  <si>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</si>
  <si>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</si>
  <si>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</si>
  <si>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</si>
  <si>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</si>
  <si>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</si>
  <si>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</si>
  <si>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</si>
  <si>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</si>
  <si>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</si>
  <si>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</si>
  <si>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</si>
  <si>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</si>
  <si>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</si>
  <si>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</si>
  <si>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</si>
  <si>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</si>
  <si>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</si>
  <si>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</si>
  <si>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</si>
  <si>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</si>
  <si>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</si>
  <si>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</si>
  <si>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</si>
  <si>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</si>
  <si>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</si>
  <si>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</si>
  <si>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</si>
  <si>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</si>
  <si>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</si>
  <si>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</si>
  <si>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</si>
  <si>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</si>
  <si>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</si>
  <si>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</si>
  <si>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</si>
  <si>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</si>
  <si>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</si>
  <si>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</si>
  <si>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</si>
  <si>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</si>
  <si>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</si>
  <si>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</si>
  <si>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</si>
  <si>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</si>
  <si>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</si>
  <si>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</si>
  <si>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</si>
  <si>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</si>
  <si>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</si>
  <si>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</si>
  <si>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</si>
  <si>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</si>
  <si>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</si>
  <si>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</si>
  <si>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</si>
  <si>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</si>
  <si>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</si>
  <si>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</si>
  <si>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</si>
  <si>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</si>
  <si>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</si>
  <si>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</si>
  <si>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</si>
  <si>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</si>
  <si>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</si>
  <si>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</si>
  <si>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</si>
  <si>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</si>
  <si>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</si>
  <si>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</si>
  <si>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</si>
  <si>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</si>
  <si>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</si>
  <si>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</si>
  <si>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</si>
  <si>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Lucas</t>
  </si>
  <si>
    <t>harry kane</t>
  </si>
  <si>
    <t>Mbape</t>
  </si>
  <si>
    <t>Hakimi</t>
  </si>
  <si>
    <t>Lamine yamal</t>
  </si>
  <si>
    <t>messi</t>
  </si>
  <si>
    <t>Vinicius jr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</si>
</sst>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D147" sqref="AD147"/>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68" t="s">
        <v>0</v>
      </c>
      <c r="X4" s="24">
        <f ca="1">Horarios!C4</f>
        <v>46184.875</v>
      </c>
      <c r="Y4" s="25">
        <f ca="1">Horarios!C4</f>
        <v>46184.875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c r="A5" s="16" t="str">
        <f ca="1">+Equipos!B2</f>
        <v>México</v>
      </c>
      <c r="B5" s="16"/>
      <c r="C5" s="16"/>
      <c r="D5" s="16" t="str">
        <f t="shared" si="0"/>
        <v>Empate</v>
      </c>
      <c r="E5" s="16" t="str">
        <f t="shared" ca="1" si="1"/>
        <v>-</v>
      </c>
      <c r="F5" s="16" t="str">
        <f t="shared" ca="1" si="2"/>
        <v>P.3 (2)</v>
      </c>
      <c r="G5" s="16"/>
      <c r="H5" s="16" t="str">
        <f t="shared" ca="1" si="3"/>
        <v>-</v>
      </c>
      <c r="I5" s="16" t="str">
        <f t="shared" ca="1" si="4"/>
        <v>P.3 (2)</v>
      </c>
      <c r="J5" s="16"/>
      <c r="K5" s="16" t="str">
        <f t="shared" ca="1" si="5"/>
        <v>-</v>
      </c>
      <c r="L5" s="16" t="str">
        <f t="shared" ca="1" si="6"/>
        <v>P.3 (2)</v>
      </c>
      <c r="M5" s="16"/>
      <c r="N5" s="16" t="str">
        <f t="shared" ca="1" si="7"/>
        <v>-</v>
      </c>
      <c r="O5" s="16" t="str">
        <f t="shared" ca="1" si="8"/>
        <v>P.3 (2)</v>
      </c>
      <c r="P5" s="16"/>
      <c r="Q5" s="16" t="str">
        <f t="shared" ca="1" si="9"/>
        <v>-</v>
      </c>
      <c r="R5" s="16" t="str">
        <f t="shared" ca="1" si="10"/>
        <v>P.3 (2)</v>
      </c>
      <c r="S5" s="16"/>
      <c r="T5" s="16" t="str">
        <f t="shared" ca="1" si="11"/>
        <v>-</v>
      </c>
      <c r="U5" s="16" t="str">
        <f t="shared" ca="1" si="12"/>
        <v>P.3 (2)</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68"/>
      <c r="X6" s="24">
        <f ca="1">Horarios!C6</f>
        <v>46191.75</v>
      </c>
      <c r="Y6" s="25">
        <f ca="1">Horarios!C6</f>
        <v>46191.75</v>
      </c>
      <c r="Z6" s="26" t="str">
        <f>Idiomas!D62</f>
        <v>J2</v>
      </c>
      <c r="AA6" s="27" t="str">
        <f ca="1">A8</f>
        <v>República Checa</v>
      </c>
      <c r="AB6" s="49" t="str" cm="1">
        <f t="array" aca="1" ref="AB6" ca="1">Ver_flag_local</f>
        <v/>
      </c>
      <c r="AC6" s="50">
        <v>0</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6</v>
      </c>
      <c r="AN6" s="36">
        <f t="shared" ca="1" si="15"/>
        <v>3</v>
      </c>
      <c r="AO6" s="36">
        <f t="shared" ca="1" si="15"/>
        <v>2</v>
      </c>
      <c r="AP6" s="36">
        <f t="shared" ca="1" si="15"/>
        <v>0</v>
      </c>
      <c r="AQ6" s="36">
        <f t="shared" ca="1" si="15"/>
        <v>1</v>
      </c>
      <c r="AR6" s="36">
        <f t="shared" ca="1" si="15"/>
        <v>4</v>
      </c>
      <c r="AS6" s="36">
        <f t="shared" ca="1" si="15"/>
        <v>2</v>
      </c>
      <c r="AT6" s="41">
        <f t="shared" ca="1" si="15"/>
        <v>2</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ca="1">+BG6+BH6+BI6</f>
        <v>3</v>
      </c>
      <c r="BG6" s="16">
        <f t="shared" ref="BG6:BG53" ca="1" si="17">+COUNTIFS(FGLocal,BD6,Ganador,"Local")+COUNTIFS(FGVisitante,BD6,Ganador,"Visitante")</f>
        <v>2</v>
      </c>
      <c r="BH6" s="16">
        <f t="shared" ref="BH6:BH53" ca="1" si="18">+COUNTIFS(FGLocal,BD6,Ganador,"Empate")+COUNTIFS(FGVisitante,BD6,Ganador,"Empate")</f>
        <v>0</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6</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c r="A7" s="16" t="str">
        <f ca="1">+Equipos!B4</f>
        <v>Corea del Sur</v>
      </c>
      <c r="B7" s="16"/>
      <c r="C7" s="16"/>
      <c r="D7" s="16" t="str">
        <f t="shared" si="0"/>
        <v>Visitante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0</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4</v>
      </c>
      <c r="AS7" s="39">
        <f t="shared" ca="1" si="15"/>
        <v>3</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2</v>
      </c>
      <c r="BK7" s="16">
        <f t="shared" ca="1" si="21"/>
        <v>4</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0</v>
      </c>
      <c r="CB7" s="16">
        <f t="shared" ca="1" si="28"/>
        <v>0</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0</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0</v>
      </c>
      <c r="CP7" s="16">
        <f t="shared" ca="1" si="34"/>
        <v>0</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0</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-2</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 customHeight="1">
      <c r="A8" s="16" t="str">
        <f ca="1">+Equipos!B5</f>
        <v>República Checa</v>
      </c>
      <c r="B8" s="16"/>
      <c r="C8" s="16"/>
      <c r="D8" s="16" t="str">
        <f t="shared" si="0"/>
        <v>Visitante</v>
      </c>
      <c r="E8" s="16" t="str">
        <f t="shared" ca="1" si="1"/>
        <v>P.3 (2)</v>
      </c>
      <c r="F8" s="16" t="str">
        <f t="shared" ca="1" si="2"/>
        <v>-</v>
      </c>
      <c r="G8" s="16"/>
      <c r="H8" s="16" t="str">
        <f t="shared" ca="1" si="3"/>
        <v>P.3 (2)</v>
      </c>
      <c r="I8" s="16" t="str">
        <f t="shared" ca="1" si="4"/>
        <v>-</v>
      </c>
      <c r="J8" s="16"/>
      <c r="K8" s="16" t="str">
        <f t="shared" ca="1" si="5"/>
        <v>P.3 (2)</v>
      </c>
      <c r="L8" s="16" t="str">
        <f t="shared" ca="1" si="6"/>
        <v>-</v>
      </c>
      <c r="M8" s="16"/>
      <c r="N8" s="16" t="str">
        <f t="shared" ca="1" si="7"/>
        <v>P.3 (2)</v>
      </c>
      <c r="O8" s="16" t="str">
        <f t="shared" ca="1" si="8"/>
        <v>-</v>
      </c>
      <c r="P8" s="16"/>
      <c r="Q8" s="16" t="str">
        <f t="shared" ca="1" si="9"/>
        <v>P.3 (2)</v>
      </c>
      <c r="R8" s="16" t="str">
        <f t="shared" ca="1" si="10"/>
        <v>-</v>
      </c>
      <c r="S8" s="16"/>
      <c r="T8" s="16" t="str">
        <f t="shared" ca="1" si="11"/>
        <v>P.3 (2)</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1</v>
      </c>
      <c r="AD8" s="51">
        <v>2</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2</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4</v>
      </c>
      <c r="BK8" s="16">
        <f t="shared" ca="1" si="21"/>
        <v>3</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 customHeight="1" thickBot="1">
      <c r="A9" s="16"/>
      <c r="B9" s="16"/>
      <c r="C9" s="16"/>
      <c r="D9" s="16" t="str">
        <f t="shared" si="0"/>
        <v>Empate</v>
      </c>
      <c r="E9" s="16" t="str">
        <f t="shared" ca="1" si="1"/>
        <v>P.3 (2)</v>
      </c>
      <c r="F9" s="16" t="str">
        <f t="shared" ca="1" si="2"/>
        <v>-</v>
      </c>
      <c r="G9" s="16"/>
      <c r="H9" s="16" t="str">
        <f t="shared" ca="1" si="3"/>
        <v>P.3 (2)</v>
      </c>
      <c r="I9" s="16" t="str">
        <f t="shared" ca="1" si="4"/>
        <v>-</v>
      </c>
      <c r="J9" s="16"/>
      <c r="K9" s="16" t="str">
        <f t="shared" ca="1" si="5"/>
        <v>P.3 (2)</v>
      </c>
      <c r="L9" s="16" t="str">
        <f t="shared" ca="1" si="6"/>
        <v>-</v>
      </c>
      <c r="M9" s="16"/>
      <c r="N9" s="16" t="str">
        <f t="shared" ca="1" si="7"/>
        <v>P.3 (2)</v>
      </c>
      <c r="O9" s="16" t="str">
        <f t="shared" ca="1" si="8"/>
        <v>-</v>
      </c>
      <c r="P9" s="16"/>
      <c r="Q9" s="16" t="str">
        <f t="shared" ca="1" si="9"/>
        <v>P.3 (2)</v>
      </c>
      <c r="R9" s="16" t="str">
        <f t="shared" ca="1" si="10"/>
        <v>-</v>
      </c>
      <c r="S9" s="16"/>
      <c r="T9" s="16" t="str">
        <f t="shared" ca="1" si="11"/>
        <v>P.3 (2)</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2</v>
      </c>
      <c r="AD9" s="54">
        <v>2</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2</v>
      </c>
      <c r="AN9" s="47">
        <f t="shared" ca="1" si="15"/>
        <v>3</v>
      </c>
      <c r="AO9" s="47">
        <f t="shared" ca="1" si="15"/>
        <v>0</v>
      </c>
      <c r="AP9" s="47">
        <f t="shared" ca="1" si="15"/>
        <v>2</v>
      </c>
      <c r="AQ9" s="47">
        <f t="shared" ca="1" si="15"/>
        <v>1</v>
      </c>
      <c r="AR9" s="47">
        <f t="shared" ca="1" si="15"/>
        <v>2</v>
      </c>
      <c r="AS9" s="47">
        <f t="shared" ca="1" si="15"/>
        <v>4</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2</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0</v>
      </c>
      <c r="CB9" s="16">
        <f t="shared" ca="1" si="28"/>
        <v>0</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0</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0</v>
      </c>
      <c r="CP9" s="16">
        <f t="shared" ca="1" si="34"/>
        <v>0</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0</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-1</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6</v>
      </c>
      <c r="BK10" s="16">
        <f t="shared" ca="1" si="21"/>
        <v>4</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2</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9</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4</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8</v>
      </c>
      <c r="BK13" s="16">
        <f t="shared" ca="1" si="21"/>
        <v>1</v>
      </c>
      <c r="BL13" s="16">
        <f t="shared" ca="1" si="42"/>
        <v>7</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1</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8</v>
      </c>
      <c r="AS14" s="36">
        <f t="shared" ca="1" si="69"/>
        <v>1</v>
      </c>
      <c r="AT14" s="72">
        <f t="shared" ca="1" si="69"/>
        <v>7</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3</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6</v>
      </c>
      <c r="AS15" s="39">
        <f t="shared" ca="1" si="69"/>
        <v>4</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6</v>
      </c>
      <c r="BK15" s="16">
        <f t="shared" ca="1" si="21"/>
        <v>4</v>
      </c>
      <c r="BL15" s="16">
        <f t="shared" ca="1" si="42"/>
        <v>2</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P.2 (2)</v>
      </c>
      <c r="BU15" s="16">
        <f t="shared" ca="1" si="24"/>
        <v>0</v>
      </c>
      <c r="BV15" s="16">
        <f t="shared" ca="1" si="25"/>
        <v>1</v>
      </c>
      <c r="BW15" s="16">
        <f t="shared" ca="1" si="26"/>
        <v>0</v>
      </c>
      <c r="BX15" s="16">
        <f t="shared" ca="1" si="48"/>
        <v>1</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P.2 (2)</v>
      </c>
      <c r="CA15" s="16">
        <f t="shared" ca="1" si="27"/>
        <v>1</v>
      </c>
      <c r="CB15" s="16">
        <f t="shared" ca="1" si="28"/>
        <v>1</v>
      </c>
      <c r="CC15" s="16">
        <f t="shared" ca="1" si="49"/>
        <v>0</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P.2 (2)</v>
      </c>
      <c r="CF15" s="16">
        <f t="shared" ca="1" si="29"/>
        <v>1</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P.2 (2)</v>
      </c>
      <c r="CI15" s="16">
        <f t="shared" ca="1" si="30"/>
        <v>0</v>
      </c>
      <c r="CJ15" s="16">
        <f t="shared" ca="1" si="31"/>
        <v>1</v>
      </c>
      <c r="CK15" s="16">
        <f t="shared" ca="1" si="32"/>
        <v>0</v>
      </c>
      <c r="CL15" s="16">
        <f t="shared" ca="1" si="50"/>
        <v>1</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P.2 (2)</v>
      </c>
      <c r="CO15" s="16">
        <f t="shared" ca="1" si="33"/>
        <v>1</v>
      </c>
      <c r="CP15" s="16">
        <f t="shared" ca="1" si="34"/>
        <v>1</v>
      </c>
      <c r="CQ15" s="16">
        <f t="shared" ca="1" si="51"/>
        <v>0</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P.2 (2)</v>
      </c>
      <c r="CT15" s="16">
        <f t="shared" ca="1" si="35"/>
        <v>1</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P.2 (2)</v>
      </c>
      <c r="CW15" s="16">
        <f t="shared" ca="1" si="36"/>
        <v>2</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3</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3</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9</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2</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9</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3</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P.2 (2)</v>
      </c>
      <c r="BU17" s="16">
        <f t="shared" ca="1" si="24"/>
        <v>0</v>
      </c>
      <c r="BV17" s="16">
        <f t="shared" ca="1" si="25"/>
        <v>1</v>
      </c>
      <c r="BW17" s="16">
        <f t="shared" ca="1" si="26"/>
        <v>0</v>
      </c>
      <c r="BX17" s="16">
        <f t="shared" ca="1" si="48"/>
        <v>1</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P.2 (2)</v>
      </c>
      <c r="CA17" s="16">
        <f t="shared" ca="1" si="27"/>
        <v>1</v>
      </c>
      <c r="CB17" s="16">
        <f t="shared" ca="1" si="28"/>
        <v>1</v>
      </c>
      <c r="CC17" s="16">
        <f t="shared" ca="1" si="49"/>
        <v>0</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P.2 (2)</v>
      </c>
      <c r="CF17" s="16">
        <f t="shared" ca="1" si="29"/>
        <v>1</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P.2 (2)</v>
      </c>
      <c r="CI17" s="16">
        <f t="shared" ca="1" si="30"/>
        <v>0</v>
      </c>
      <c r="CJ17" s="16">
        <f t="shared" ca="1" si="31"/>
        <v>1</v>
      </c>
      <c r="CK17" s="16">
        <f t="shared" ca="1" si="32"/>
        <v>0</v>
      </c>
      <c r="CL17" s="16">
        <f t="shared" ca="1" si="50"/>
        <v>1</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P.2 (2)</v>
      </c>
      <c r="CO17" s="16">
        <f t="shared" ca="1" si="33"/>
        <v>1</v>
      </c>
      <c r="CP17" s="16">
        <f t="shared" ca="1" si="34"/>
        <v>1</v>
      </c>
      <c r="CQ17" s="16">
        <f t="shared" ca="1" si="51"/>
        <v>0</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P.2 (2)</v>
      </c>
      <c r="CT17" s="16">
        <f t="shared" ca="1" si="35"/>
        <v>1</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P.2 (2)</v>
      </c>
      <c r="CW17" s="16">
        <f t="shared" ca="1" si="36"/>
        <v>0</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5</v>
      </c>
      <c r="BK18" s="16">
        <f t="shared" ca="1" si="21"/>
        <v>3</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1</v>
      </c>
      <c r="BK19" s="16">
        <f t="shared" ca="1" si="21"/>
        <v>6</v>
      </c>
      <c r="BL19" s="16">
        <f t="shared" ca="1" si="42"/>
        <v>-5</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P.2 (2)</v>
      </c>
      <c r="G20" s="16"/>
      <c r="H20" s="16" t="str">
        <f t="shared" ref="H20:H25" ca="1" si="74">IF(D20="Pendiente","-",INDEX($BZ$6:$BZ$53,MATCH($AA20,$BD$6:$BD$53,0)))</f>
        <v>-</v>
      </c>
      <c r="I20" s="16" t="str">
        <f t="shared" ref="I20:I25" ca="1" si="75">IF(D20="Pendiente","-",INDEX($BZ$6:$BZ$53,MATCH($AF20,$BD$6:$BD$53,0)))</f>
        <v>P.2 (2)</v>
      </c>
      <c r="J20" s="16"/>
      <c r="K20" s="16" t="str">
        <f t="shared" ref="K20:K25" ca="1" si="76">IF(D20="Pendiente","-",INDEX($CE$6:$CE$53,MATCH($AA20,$BD$6:$BD$53,0)))</f>
        <v>-</v>
      </c>
      <c r="L20" s="16" t="str">
        <f t="shared" ref="L20:L25" ca="1" si="77">IF(D20="Pendiente","-",INDEX($CE$6:$CE$53,MATCH($AF20,$BD$6:$BD$53,0)))</f>
        <v>P.2 (2)</v>
      </c>
      <c r="M20" s="16"/>
      <c r="N20" s="16" t="str">
        <f t="shared" ref="N20:N25" ca="1" si="78">IF(D20="Pendiente","-",INDEX($CH$6:$CH$53,MATCH($AA20,$BD$6:$BD$53,0)))</f>
        <v>-</v>
      </c>
      <c r="O20" s="16" t="str">
        <f t="shared" ref="O20:O25" ca="1" si="79">IF(D20="Pendiente","-",INDEX($CH$6:$CH$53,MATCH($AF20,$BD$6:$BD$53,0)))</f>
        <v>P.2 (2)</v>
      </c>
      <c r="P20" s="16"/>
      <c r="Q20" s="16" t="str">
        <f t="shared" ref="Q20:Q25" ca="1" si="80">IF(D20="Pendiente","-",INDEX($CN$6:$CN$53,MATCH($AA20,$BD$6:$BD$53,0)))</f>
        <v>-</v>
      </c>
      <c r="R20" s="16" t="str">
        <f t="shared" ref="R20:R25" ca="1" si="81">IF(D20="Pendiente","-",INDEX($CN$6:$CN$53,MATCH($AF20,$BD$6:$BD$53,0)))</f>
        <v>P.2 (2)</v>
      </c>
      <c r="S20" s="16"/>
      <c r="T20" s="16" t="str">
        <f t="shared" ref="T20:T25" ca="1" si="82">IF(D20="Pendiente","-",INDEX($CS$6:$CS$53,MATCH($AA20,$BD$6:$BD$53,0)))</f>
        <v>-</v>
      </c>
      <c r="U20" s="16" t="str">
        <f t="shared" ref="U20:U25" ca="1" si="83">IF(D20="Pendiente","-",INDEX($CS$6:$CS$53,MATCH($AF20,$BD$6:$BD$53,0)))</f>
        <v>P.2 (2)</v>
      </c>
      <c r="V20" s="17"/>
      <c r="W20" s="679" t="s">
        <v>2</v>
      </c>
      <c r="X20" s="24">
        <f ca="1">Horarios!C20</f>
        <v>46187</v>
      </c>
      <c r="Y20" s="25">
        <f ca="1">Horarios!C20</f>
        <v>46187</v>
      </c>
      <c r="Z20" s="26" t="str">
        <f>$Z$4</f>
        <v>J1</v>
      </c>
      <c r="AA20" s="27" t="str">
        <f ca="1">A21</f>
        <v>Brasil</v>
      </c>
      <c r="AB20" s="49" t="str" cm="1">
        <f t="array" aca="1" ref="AB20" ca="1">Ver_flag_local</f>
        <v/>
      </c>
      <c r="AC20" s="50">
        <v>3</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6</v>
      </c>
      <c r="BK20" s="16">
        <f t="shared" ca="1" si="21"/>
        <v>6</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 customHeight="1">
      <c r="A21" s="16" t="str">
        <f ca="1">+Equipos!B10</f>
        <v>Brasil</v>
      </c>
      <c r="B21" s="16"/>
      <c r="C21" s="16"/>
      <c r="D21" s="16" t="str">
        <f t="shared" si="71"/>
        <v>Visitante</v>
      </c>
      <c r="E21" s="16" t="str">
        <f t="shared" ca="1" si="72"/>
        <v>-</v>
      </c>
      <c r="F21" s="16" t="str">
        <f t="shared" ca="1" si="73"/>
        <v>P.2 (2)</v>
      </c>
      <c r="G21" s="16"/>
      <c r="H21" s="16" t="str">
        <f t="shared" ca="1" si="74"/>
        <v>-</v>
      </c>
      <c r="I21" s="16" t="str">
        <f t="shared" ca="1" si="75"/>
        <v>P.2 (2)</v>
      </c>
      <c r="J21" s="16"/>
      <c r="K21" s="16" t="str">
        <f t="shared" ca="1" si="76"/>
        <v>-</v>
      </c>
      <c r="L21" s="16" t="str">
        <f t="shared" ca="1" si="77"/>
        <v>P.2 (2)</v>
      </c>
      <c r="M21" s="16"/>
      <c r="N21" s="16" t="str">
        <f t="shared" ca="1" si="78"/>
        <v>-</v>
      </c>
      <c r="O21" s="16" t="str">
        <f t="shared" ca="1" si="79"/>
        <v>P.2 (2)</v>
      </c>
      <c r="P21" s="16"/>
      <c r="Q21" s="16" t="str">
        <f t="shared" ca="1" si="80"/>
        <v>-</v>
      </c>
      <c r="R21" s="16" t="str">
        <f t="shared" ca="1" si="81"/>
        <v>P.2 (2)</v>
      </c>
      <c r="S21" s="16"/>
      <c r="T21" s="16" t="str">
        <f t="shared" ca="1" si="82"/>
        <v>-</v>
      </c>
      <c r="U21" s="16" t="str">
        <f t="shared" ca="1" si="83"/>
        <v>P.2 (2)</v>
      </c>
      <c r="V21" s="17"/>
      <c r="W21" s="679"/>
      <c r="X21" s="24">
        <f ca="1">Horarios!C21</f>
        <v>46187.125</v>
      </c>
      <c r="Y21" s="25">
        <f ca="1">Horarios!C21</f>
        <v>46187.125</v>
      </c>
      <c r="Z21" s="26" t="str">
        <f>$Z$4</f>
        <v>J1</v>
      </c>
      <c r="AA21" s="27" t="str">
        <f ca="1">A23</f>
        <v>Haití</v>
      </c>
      <c r="AB21" s="49" t="str" cm="1">
        <f t="array" aca="1" ref="AB21" ca="1">Ver_flag_local</f>
        <v/>
      </c>
      <c r="AC21" s="50">
        <v>0</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 customHeight="1">
      <c r="A22" s="16" t="str">
        <f ca="1">+Equipos!B11</f>
        <v>Marruecos</v>
      </c>
      <c r="B22" s="16"/>
      <c r="C22" s="16"/>
      <c r="D22" s="16" t="str">
        <f t="shared" si="71"/>
        <v>Empate</v>
      </c>
      <c r="E22" s="16" t="str">
        <f t="shared" ca="1" si="72"/>
        <v>P.2 (2)</v>
      </c>
      <c r="F22" s="16" t="str">
        <f t="shared" ca="1" si="73"/>
        <v>P.2 (2)</v>
      </c>
      <c r="G22" s="16"/>
      <c r="H22" s="16" t="str">
        <f t="shared" ca="1" si="74"/>
        <v>P.2 (2)</v>
      </c>
      <c r="I22" s="16" t="str">
        <f t="shared" ca="1" si="75"/>
        <v>P.2 (2)</v>
      </c>
      <c r="J22" s="16"/>
      <c r="K22" s="16" t="str">
        <f t="shared" ca="1" si="76"/>
        <v>P.2 (2)</v>
      </c>
      <c r="L22" s="16" t="str">
        <f t="shared" ca="1" si="77"/>
        <v>P.2 (2)</v>
      </c>
      <c r="M22" s="16"/>
      <c r="N22" s="16" t="str">
        <f t="shared" ca="1" si="78"/>
        <v>P.2 (2)</v>
      </c>
      <c r="O22" s="16" t="str">
        <f t="shared" ca="1" si="79"/>
        <v>P.2 (2)</v>
      </c>
      <c r="P22" s="16"/>
      <c r="Q22" s="16" t="str">
        <f t="shared" ca="1" si="80"/>
        <v>P.2 (2)</v>
      </c>
      <c r="R22" s="16" t="str">
        <f t="shared" ca="1" si="81"/>
        <v>P.2 (2)</v>
      </c>
      <c r="S22" s="16"/>
      <c r="T22" s="16" t="str">
        <f t="shared" ca="1" si="82"/>
        <v>P.2 (2)</v>
      </c>
      <c r="U22" s="16" t="str">
        <f t="shared" ca="1" si="83"/>
        <v>P.2 (2)</v>
      </c>
      <c r="V22" s="17"/>
      <c r="W22" s="679"/>
      <c r="X22" s="24">
        <f ca="1">Horarios!C22</f>
        <v>46193</v>
      </c>
      <c r="Y22" s="25">
        <f ca="1">Horarios!C22</f>
        <v>46193</v>
      </c>
      <c r="Z22" s="26" t="str">
        <f>$Z$6</f>
        <v>J2</v>
      </c>
      <c r="AA22" s="27" t="str">
        <f ca="1">A24</f>
        <v>Escocia</v>
      </c>
      <c r="AB22" s="49" t="str" cm="1">
        <f t="array" aca="1" ref="AB22" ca="1">Ver_flag_local</f>
        <v/>
      </c>
      <c r="AC22" s="50">
        <v>1</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6</v>
      </c>
      <c r="BK22" s="16">
        <f t="shared" ca="1" si="21"/>
        <v>3</v>
      </c>
      <c r="BL22" s="16">
        <f t="shared" ca="1" si="42"/>
        <v>3</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3</v>
      </c>
      <c r="AD23" s="51">
        <v>1</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4</v>
      </c>
      <c r="AN23" s="39">
        <f t="shared" ca="1" si="87"/>
        <v>3</v>
      </c>
      <c r="AO23" s="39">
        <f t="shared" ca="1" si="87"/>
        <v>1</v>
      </c>
      <c r="AP23" s="39">
        <f t="shared" ca="1" si="87"/>
        <v>1</v>
      </c>
      <c r="AQ23" s="39">
        <f t="shared" ca="1" si="87"/>
        <v>1</v>
      </c>
      <c r="AR23" s="39">
        <f t="shared" ca="1" si="87"/>
        <v>6</v>
      </c>
      <c r="AS23" s="39">
        <f t="shared" ca="1" si="87"/>
        <v>4</v>
      </c>
      <c r="AT23" s="43">
        <f t="shared" ca="1" si="87"/>
        <v>2</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6</v>
      </c>
      <c r="BL23" s="16">
        <f t="shared" ca="1" si="42"/>
        <v>-5</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c r="A24" s="16" t="str">
        <f ca="1">+Equipos!B13</f>
        <v>Escocia</v>
      </c>
      <c r="B24" s="16"/>
      <c r="C24" s="16"/>
      <c r="D24" s="16" t="str">
        <f t="shared" si="71"/>
        <v>Visitante</v>
      </c>
      <c r="E24" s="16" t="str">
        <f t="shared" ca="1" si="72"/>
        <v>P.2 (2)</v>
      </c>
      <c r="F24" s="16" t="str">
        <f t="shared" ca="1" si="73"/>
        <v>-</v>
      </c>
      <c r="G24" s="16"/>
      <c r="H24" s="16" t="str">
        <f t="shared" ca="1" si="74"/>
        <v>P.2 (2)</v>
      </c>
      <c r="I24" s="16" t="str">
        <f t="shared" ca="1" si="75"/>
        <v>-</v>
      </c>
      <c r="J24" s="16"/>
      <c r="K24" s="16" t="str">
        <f t="shared" ca="1" si="76"/>
        <v>P.2 (2)</v>
      </c>
      <c r="L24" s="16" t="str">
        <f t="shared" ca="1" si="77"/>
        <v>-</v>
      </c>
      <c r="M24" s="16"/>
      <c r="N24" s="16" t="str">
        <f t="shared" ca="1" si="78"/>
        <v>P.2 (2)</v>
      </c>
      <c r="O24" s="16" t="str">
        <f t="shared" ca="1" si="79"/>
        <v>-</v>
      </c>
      <c r="P24" s="16"/>
      <c r="Q24" s="16" t="str">
        <f t="shared" ca="1" si="80"/>
        <v>P.2 (2)</v>
      </c>
      <c r="R24" s="16" t="str">
        <f t="shared" ca="1" si="81"/>
        <v>-</v>
      </c>
      <c r="S24" s="16"/>
      <c r="T24" s="16" t="str">
        <f t="shared" ca="1" si="82"/>
        <v>P.2 (2)</v>
      </c>
      <c r="U24" s="16" t="str">
        <f t="shared" ca="1" si="83"/>
        <v>-</v>
      </c>
      <c r="V24" s="17"/>
      <c r="W24" s="679"/>
      <c r="X24" s="24">
        <f ca="1">Horarios!C24</f>
        <v>46198</v>
      </c>
      <c r="Y24" s="25">
        <f ca="1">Horarios!C24</f>
        <v>46198</v>
      </c>
      <c r="Z24" s="26" t="str">
        <f>$Z$8</f>
        <v>J3</v>
      </c>
      <c r="AA24" s="27" t="str">
        <f ca="1">A24</f>
        <v>Escocia</v>
      </c>
      <c r="AB24" s="49" t="str" cm="1">
        <f t="array" aca="1" ref="AB24" ca="1">Ver_flag_local</f>
        <v/>
      </c>
      <c r="AC24" s="50">
        <v>0</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3</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6</v>
      </c>
      <c r="BK24" s="16">
        <f t="shared" ca="1" si="21"/>
        <v>3</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c r="A25" s="16"/>
      <c r="B25" s="16"/>
      <c r="C25" s="16"/>
      <c r="D25" s="16" t="str">
        <f t="shared" si="71"/>
        <v>Local</v>
      </c>
      <c r="E25" s="16" t="str">
        <f t="shared" ca="1" si="72"/>
        <v>P.2 (2)</v>
      </c>
      <c r="F25" s="16" t="str">
        <f t="shared" ca="1" si="73"/>
        <v>-</v>
      </c>
      <c r="G25" s="16"/>
      <c r="H25" s="16" t="str">
        <f t="shared" ca="1" si="74"/>
        <v>P.2 (2)</v>
      </c>
      <c r="I25" s="16" t="str">
        <f t="shared" ca="1" si="75"/>
        <v>-</v>
      </c>
      <c r="J25" s="16"/>
      <c r="K25" s="16" t="str">
        <f t="shared" ca="1" si="76"/>
        <v>P.2 (2)</v>
      </c>
      <c r="L25" s="16" t="str">
        <f t="shared" ca="1" si="77"/>
        <v>-</v>
      </c>
      <c r="M25" s="16"/>
      <c r="N25" s="16" t="str">
        <f t="shared" ca="1" si="78"/>
        <v>P.2 (2)</v>
      </c>
      <c r="O25" s="16" t="str">
        <f t="shared" ca="1" si="79"/>
        <v>-</v>
      </c>
      <c r="P25" s="16"/>
      <c r="Q25" s="16" t="str">
        <f t="shared" ca="1" si="80"/>
        <v>P.2 (2)</v>
      </c>
      <c r="R25" s="16" t="str">
        <f t="shared" ca="1" si="81"/>
        <v>-</v>
      </c>
      <c r="S25" s="16"/>
      <c r="T25" s="16" t="str">
        <f t="shared" ca="1" si="82"/>
        <v>P.2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4</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9</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5</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8</v>
      </c>
      <c r="BK26" s="16">
        <f t="shared" ca="1" si="21"/>
        <v>3</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5</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6</v>
      </c>
      <c r="BL28" s="16">
        <f t="shared" ca="1" si="42"/>
        <v>-2</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3</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3</v>
      </c>
      <c r="BK29" s="16">
        <f t="shared" ca="1" si="21"/>
        <v>8</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2</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6</v>
      </c>
      <c r="BF30" s="16">
        <f t="shared" ca="1" si="41"/>
        <v>3</v>
      </c>
      <c r="BG30" s="16">
        <f t="shared" ca="1" si="17"/>
        <v>2</v>
      </c>
      <c r="BH30" s="16">
        <f t="shared" ca="1" si="18"/>
        <v>0</v>
      </c>
      <c r="BI30" s="16">
        <f t="shared" ca="1" si="19"/>
        <v>1</v>
      </c>
      <c r="BJ30" s="16">
        <f t="shared" ca="1" si="20"/>
        <v>5</v>
      </c>
      <c r="BK30" s="16">
        <f t="shared" ca="1" si="21"/>
        <v>3</v>
      </c>
      <c r="BL30" s="16">
        <f t="shared" ca="1" si="42"/>
        <v>2</v>
      </c>
      <c r="BM30" s="16" t="str">
        <f t="shared" ca="1" si="22"/>
        <v>2G</v>
      </c>
      <c r="BN30" s="16" t="str">
        <f t="shared" ca="1" si="23"/>
        <v>2G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6</v>
      </c>
      <c r="BS30" s="16">
        <f ca="1">BP30+COUNTIFS($BQ$6:$BQ$53,BQ30,$BR$6:BR$53,"&gt;"&amp;BR30,$BC$6:$BC$53,INDEX(T_Equipos[Grupo],MATCH(BD30,T_Equipos[NombreEquipo],0)))</f>
        <v>2</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2</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2</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2</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2</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2</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2</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2</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52"/>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Egipto</v>
      </c>
    </row>
    <row r="31" spans="1:121" ht="16"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1</v>
      </c>
      <c r="AD31" s="51">
        <v>0</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5</v>
      </c>
      <c r="AS31" s="39">
        <f t="shared" ca="1" si="107"/>
        <v>3</v>
      </c>
      <c r="AT31" s="43">
        <f t="shared" ca="1" si="107"/>
        <v>2</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9</v>
      </c>
      <c r="BF31" s="16">
        <f t="shared" ca="1" si="41"/>
        <v>3</v>
      </c>
      <c r="BG31" s="16">
        <f t="shared" ca="1" si="17"/>
        <v>3</v>
      </c>
      <c r="BH31" s="16">
        <f t="shared" ca="1" si="18"/>
        <v>0</v>
      </c>
      <c r="BI31" s="16">
        <f t="shared" ca="1" si="19"/>
        <v>0</v>
      </c>
      <c r="BJ31" s="16">
        <f t="shared" ca="1" si="20"/>
        <v>10</v>
      </c>
      <c r="BK31" s="16">
        <f t="shared" ca="1" si="21"/>
        <v>3</v>
      </c>
      <c r="BL31" s="16">
        <f t="shared" ca="1" si="42"/>
        <v>7</v>
      </c>
      <c r="BM31" s="16" t="str">
        <f t="shared" ca="1" si="22"/>
        <v>1G</v>
      </c>
      <c r="BN31" s="16" t="str">
        <f t="shared" ca="1" si="23"/>
        <v>1G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9</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1</v>
      </c>
      <c r="DE31" s="16"/>
      <c r="DF31" s="16">
        <f t="shared" ca="1" si="52"/>
        <v>1</v>
      </c>
      <c r="DG31" s="16" t="str">
        <f ca="1">IF(DB31="-","-",COUNTIFS(DF$6:DF$53,"&lt;"&amp;DF31,$BC$6:$BC$53,INDEX(T_Equipos[Grupo],MATCH(BD31,T_Equipos[NombreEquipo],0))))</f>
        <v>-</v>
      </c>
      <c r="DH31" s="16">
        <f ca="1">DA31+COUNTIFS(DB$6:DB$53,DB31,DG$6:DG$53,"&lt;"&amp;DG31,$BC$6:$BC$53,INDEX(T_Equipos[Grupo],MATCH(BD31,T_Equipos[NombreEquipo],0)))</f>
        <v>1</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Bélgica</v>
      </c>
    </row>
    <row r="32" spans="1:121" ht="16"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1</v>
      </c>
      <c r="AD32" s="51">
        <v>1</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Australia</v>
      </c>
      <c r="AM32" s="38">
        <f t="shared" ca="1" si="107"/>
        <v>4</v>
      </c>
      <c r="AN32" s="39">
        <f t="shared" ca="1" si="107"/>
        <v>3</v>
      </c>
      <c r="AO32" s="39">
        <f t="shared" ca="1" si="107"/>
        <v>1</v>
      </c>
      <c r="AP32" s="39">
        <f t="shared" ca="1" si="107"/>
        <v>1</v>
      </c>
      <c r="AQ32" s="39">
        <f t="shared" ca="1" si="107"/>
        <v>1</v>
      </c>
      <c r="AR32" s="39">
        <f t="shared" ca="1" si="107"/>
        <v>6</v>
      </c>
      <c r="AS32" s="39">
        <f t="shared" ca="1" si="107"/>
        <v>6</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5</v>
      </c>
      <c r="BL32" s="16">
        <f t="shared" ca="1" si="42"/>
        <v>-4</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-4</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1</v>
      </c>
      <c r="AD33" s="54">
        <v>3</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1</v>
      </c>
      <c r="AS33" s="47">
        <f t="shared" ca="1" si="107"/>
        <v>6</v>
      </c>
      <c r="AT33" s="48">
        <f t="shared" ca="1" si="107"/>
        <v>-5</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-5</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8</v>
      </c>
      <c r="BK34" s="16">
        <f t="shared" ca="1" si="21"/>
        <v>4</v>
      </c>
      <c r="BL34" s="16">
        <f t="shared" ca="1" si="42"/>
        <v>4</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2</v>
      </c>
      <c r="BK35" s="16">
        <f t="shared" ca="1" si="21"/>
        <v>7</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2</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0</v>
      </c>
      <c r="BH36" s="16">
        <f t="shared" ca="1" si="18"/>
        <v>3</v>
      </c>
      <c r="BI36" s="16">
        <f t="shared" ca="1" si="19"/>
        <v>0</v>
      </c>
      <c r="BJ36" s="16">
        <f t="shared" ca="1" si="20"/>
        <v>4</v>
      </c>
      <c r="BK36" s="16">
        <f t="shared" ca="1" si="21"/>
        <v>4</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3</v>
      </c>
      <c r="AD37" s="51">
        <v>1</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4</v>
      </c>
      <c r="BF37" s="16">
        <f t="shared" ca="1" si="41"/>
        <v>3</v>
      </c>
      <c r="BG37" s="16">
        <f t="shared" ca="1" si="17"/>
        <v>1</v>
      </c>
      <c r="BH37" s="16">
        <f t="shared" ca="1" si="18"/>
        <v>1</v>
      </c>
      <c r="BI37" s="16">
        <f t="shared" ca="1" si="19"/>
        <v>1</v>
      </c>
      <c r="BJ37" s="16">
        <f t="shared" ca="1" si="20"/>
        <v>6</v>
      </c>
      <c r="BK37" s="16">
        <f t="shared" ca="1" si="21"/>
        <v>5</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4</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0</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6</v>
      </c>
      <c r="AS38" s="36">
        <f t="shared" ca="1" si="127"/>
        <v>3</v>
      </c>
      <c r="AT38" s="41">
        <f t="shared" ca="1" si="127"/>
        <v>3</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1</v>
      </c>
      <c r="BW38" s="16">
        <f t="shared" ca="1" si="26"/>
        <v>0</v>
      </c>
      <c r="BX38" s="16">
        <f t="shared" ca="1" si="48"/>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2</v>
      </c>
      <c r="CB38" s="16">
        <f t="shared" ca="1" si="28"/>
        <v>2</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2</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1</v>
      </c>
      <c r="CK38" s="16">
        <f t="shared" ca="1" si="32"/>
        <v>0</v>
      </c>
      <c r="CL38" s="16">
        <f t="shared" ca="1" si="50"/>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2</v>
      </c>
      <c r="CP38" s="16">
        <f t="shared" ca="1" si="34"/>
        <v>2</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2</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6</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1</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6</v>
      </c>
      <c r="AS39" s="39">
        <f t="shared" ca="1" si="127"/>
        <v>3</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7</v>
      </c>
      <c r="BL39" s="16">
        <f t="shared" ca="1" si="42"/>
        <v>-5</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0</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4</v>
      </c>
      <c r="AS40" s="39">
        <f t="shared" ca="1" si="127"/>
        <v>5</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5</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2</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6</v>
      </c>
      <c r="AT41" s="48">
        <f t="shared" ca="1" si="127"/>
        <v>-5</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7</v>
      </c>
      <c r="BK41" s="16">
        <f t="shared" ca="1" si="21"/>
        <v>3</v>
      </c>
      <c r="BL41" s="16">
        <f t="shared" ca="1" si="42"/>
        <v>4</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1</v>
      </c>
      <c r="BW41" s="16">
        <f t="shared" ca="1" si="26"/>
        <v>0</v>
      </c>
      <c r="BX41" s="16">
        <f t="shared" ca="1" si="48"/>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2</v>
      </c>
      <c r="CB41" s="16">
        <f t="shared" ca="1" si="28"/>
        <v>2</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2</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1</v>
      </c>
      <c r="CK41" s="16">
        <f t="shared" ca="1" si="32"/>
        <v>0</v>
      </c>
      <c r="CL41" s="16">
        <f t="shared" ca="1" si="50"/>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2</v>
      </c>
      <c r="CP41" s="16">
        <f t="shared" ca="1" si="34"/>
        <v>2</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2</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4</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3</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4</v>
      </c>
      <c r="BK43" s="16">
        <f t="shared" ca="1" si="21"/>
        <v>3</v>
      </c>
      <c r="BL43" s="16">
        <f t="shared" ca="1" si="42"/>
        <v>1</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2</v>
      </c>
      <c r="DE43" s="16"/>
      <c r="DF43" s="16">
        <f t="shared" ca="1" si="52"/>
        <v>2</v>
      </c>
      <c r="DG43" s="16" t="str">
        <f ca="1">IF(DB43="-","-",COUNTIFS(DF$6:DF$53,"&lt;"&amp;DF43,$BC$6:$BC$53,INDEX(T_Equipos[Grupo],MATCH(BD43,T_Equipos[NombreEquipo],0))))</f>
        <v>-</v>
      </c>
      <c r="DH43" s="16">
        <f ca="1">DA43+COUNTIFS(DB$6:DB$53,DB43,DG$6:DG$53,"&lt;"&amp;DG43,$BC$6:$BC$53,INDEX(T_Equipos[Grupo],MATCH(BD43,T_Equipos[NombreEquipo],0)))</f>
        <v>2</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Argelia</v>
      </c>
    </row>
    <row r="44" spans="1:121" ht="16"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4</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3</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3</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3</v>
      </c>
      <c r="DE44" s="16"/>
      <c r="DF44" s="16">
        <f t="shared" ca="1" si="52"/>
        <v>3</v>
      </c>
      <c r="DG44" s="16" t="str">
        <f ca="1">IF(DB44="-","-",COUNTIFS(DF$6:DF$53,"&lt;"&amp;DF44,$BC$6:$BC$53,INDEX(T_Equipos[Grupo],MATCH(BD44,T_Equipos[NombreEquipo],0))))</f>
        <v>-</v>
      </c>
      <c r="DH44" s="16">
        <f ca="1">DA44+COUNTIFS(DB$6:DB$53,DB44,DG$6:DG$53,"&lt;"&amp;DG44,$BC$6:$BC$53,INDEX(T_Equipos[Grupo],MATCH(BD44,T_Equipos[NombreEquipo],0)))</f>
        <v>3</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Austria</v>
      </c>
    </row>
    <row r="45" spans="1:121" ht="16"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2</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8</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3</v>
      </c>
      <c r="AD46" s="51">
        <v>0</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8</v>
      </c>
      <c r="AS46" s="36">
        <f t="shared" ca="1" si="147"/>
        <v>3</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3</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str" cm="1">
        <f t="array" aca="1" ref="AB47" ca="1">Ver_flag_local</f>
        <v/>
      </c>
      <c r="AC47" s="50">
        <v>1</v>
      </c>
      <c r="AD47" s="51">
        <v>3</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5</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4</v>
      </c>
      <c r="BK47" s="16">
        <f t="shared" ca="1" si="21"/>
        <v>5</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2</v>
      </c>
      <c r="AD48" s="51">
        <v>2</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6</v>
      </c>
      <c r="AT48" s="43">
        <f t="shared" ca="1" si="147"/>
        <v>-2</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8</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3</v>
      </c>
      <c r="AS49" s="47">
        <f t="shared" ca="1" si="147"/>
        <v>8</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3</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6</v>
      </c>
      <c r="BK51" s="16">
        <f t="shared" ca="1" si="21"/>
        <v>4</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Visitante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1</v>
      </c>
      <c r="AD52" s="51">
        <v>3</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3</v>
      </c>
      <c r="BK52" s="16">
        <f t="shared" ca="1" si="21"/>
        <v>5</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66"/>
      <c r="X53" s="24">
        <f ca="1">Horarios!C53</f>
        <v>46189.125</v>
      </c>
      <c r="Y53" s="25">
        <f ca="1">Horarios!C53</f>
        <v>46189.125</v>
      </c>
      <c r="Z53" s="26" t="str">
        <f>$Z$4</f>
        <v>J1</v>
      </c>
      <c r="AA53" s="27" t="str">
        <f ca="1">A55</f>
        <v>Irán</v>
      </c>
      <c r="AB53" s="49" t="str" cm="1">
        <f t="array" aca="1" ref="AB53" ca="1">Ver_flag_local</f>
        <v/>
      </c>
      <c r="AC53" s="50">
        <v>0</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66"/>
      <c r="X54" s="24">
        <f ca="1">Horarios!C54</f>
        <v>46194.875</v>
      </c>
      <c r="Y54" s="25">
        <f ca="1">Horarios!C54</f>
        <v>46194.875</v>
      </c>
      <c r="Z54" s="26" t="str">
        <f>$Z$6</f>
        <v>J2</v>
      </c>
      <c r="AA54" s="27" t="str">
        <f ca="1">A53</f>
        <v>Bélgica</v>
      </c>
      <c r="AB54" s="49" t="str" cm="1">
        <f t="array" aca="1" ref="AB54" ca="1">Ver_flag_local</f>
        <v/>
      </c>
      <c r="AC54" s="50">
        <v>2</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Egipto</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10</v>
      </c>
      <c r="AS54" s="36">
        <f t="shared" ca="1" si="165"/>
        <v>3</v>
      </c>
      <c r="AT54" s="41">
        <f t="shared" ca="1" si="165"/>
        <v>7</v>
      </c>
      <c r="AU54" s="330">
        <f ca="1">INDEX($DL$6:$DL$53,MATCH(AI54,$DP$6:$DP$53,0))</f>
        <v>1</v>
      </c>
      <c r="AV54" s="182" t="str">
        <f ca="1">INDEX($BD$6:$BD$53,MATCH(AI54,$BM$6:$BM$53,0))</f>
        <v>Egipto</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1</v>
      </c>
      <c r="AD55" s="51">
        <v>4</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Bélgica</v>
      </c>
      <c r="AM55" s="38">
        <f t="shared" ca="1" si="165"/>
        <v>6</v>
      </c>
      <c r="AN55" s="39">
        <f t="shared" ca="1" si="165"/>
        <v>3</v>
      </c>
      <c r="AO55" s="39">
        <f t="shared" ca="1" si="165"/>
        <v>2</v>
      </c>
      <c r="AP55" s="39">
        <f t="shared" ca="1" si="165"/>
        <v>0</v>
      </c>
      <c r="AQ55" s="39">
        <f t="shared" ca="1" si="165"/>
        <v>1</v>
      </c>
      <c r="AR55" s="39">
        <f t="shared" ca="1" si="165"/>
        <v>5</v>
      </c>
      <c r="AS55" s="39">
        <f t="shared" ca="1" si="165"/>
        <v>3</v>
      </c>
      <c r="AT55" s="43">
        <f t="shared" ca="1" si="165"/>
        <v>2</v>
      </c>
      <c r="AU55" s="330">
        <f ca="1">INDEX($DL$6:$DL$53,MATCH(AI55,$DP$6:$DP$53,0))</f>
        <v>1</v>
      </c>
      <c r="AV55" s="182" t="str">
        <f ca="1">INDEX($BD$6:$BD$53,MATCH(AI55,$BM$6:$BM$53,0))</f>
        <v>Bélgica</v>
      </c>
      <c r="AW55" s="210"/>
      <c r="AX55" s="171"/>
      <c r="AY55" s="203" t="str">
        <f ca="1">+A54</f>
        <v>Egipto</v>
      </c>
      <c r="AZ55" s="204"/>
      <c r="BA55" s="176"/>
    </row>
    <row r="56" spans="1:121" ht="16"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66"/>
      <c r="X56" s="24">
        <f ca="1">Horarios!C56</f>
        <v>46200.208333333336</v>
      </c>
      <c r="Y56" s="25">
        <f ca="1">Horarios!C56</f>
        <v>46200.208333333336</v>
      </c>
      <c r="Z56" s="26" t="str">
        <f>$Z$8</f>
        <v>J3</v>
      </c>
      <c r="AA56" s="27" t="str">
        <f ca="1">A54</f>
        <v>Egipto</v>
      </c>
      <c r="AB56" s="49" t="str" cm="1">
        <f t="array" aca="1" ref="AB56" ca="1">Ver_flag_local</f>
        <v/>
      </c>
      <c r="AC56" s="50">
        <v>3</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1</v>
      </c>
      <c r="AS56" s="39">
        <f t="shared" ca="1" si="165"/>
        <v>5</v>
      </c>
      <c r="AT56" s="43">
        <f t="shared" ca="1" si="165"/>
        <v>-4</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6</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11</v>
      </c>
      <c r="BN58" s="16">
        <f ca="1">CF58</f>
        <v>11</v>
      </c>
      <c r="BO58" s="16" t="str">
        <f t="shared" ref="BO58:BO69" si="174">"4"&amp;BC58</f>
        <v>4A</v>
      </c>
      <c r="BP58" s="16"/>
      <c r="BQ58" s="16"/>
      <c r="BR58" s="16">
        <f t="shared" ref="BR58:BR69" ca="1" si="175">+BE58</f>
        <v>2</v>
      </c>
      <c r="BS58" s="16">
        <f ca="1">COUNTIFS(BR$58:BR$69,"&gt;"&amp;BR58)+1</f>
        <v>11</v>
      </c>
      <c r="BT58" s="16" t="str">
        <f ca="1">IF(COUNTIF(BS$58:BS$69,BS58)=1,"-","Pos. "&amp;BS58&amp;" ("&amp;COUNTIF(BS$58:BS$69,BS58)&amp;")")</f>
        <v>-</v>
      </c>
      <c r="BU58" s="16" t="str">
        <f t="shared" ref="BU58:BU69" ca="1" si="176">IF(BT58="-","-",BL58)</f>
        <v>-</v>
      </c>
      <c r="BV58" s="16">
        <f t="shared" ref="BV58:BV69" ca="1" si="177">BS58+COUNTIFS(BT$58:BT$69,BT58,BU$58:BU$69,"&gt;"&amp;BU58)</f>
        <v>11</v>
      </c>
      <c r="BW58" s="16" t="str">
        <f t="shared" ref="BW58:BW69" ca="1" si="178">IF(COUNTIF(BV$58:BV$69,BV58)=1,"-","Pos. "&amp;BV58&amp;" ("&amp;COUNTIF(BV$58:BV$69,BV58)&amp;")")</f>
        <v>-</v>
      </c>
      <c r="BX58" s="16" t="str">
        <f t="shared" ref="BX58:BX69" ca="1" si="179">IF(BW58="-","-",BJ58)</f>
        <v>-</v>
      </c>
      <c r="BY58" s="16">
        <f t="shared" ref="BY58:BY69" ca="1" si="180">BV58+COUNTIFS(BW$58:BW$69,BW58,BX$58:BX$69,"&gt;"&amp;BX58)</f>
        <v>11</v>
      </c>
      <c r="BZ58" s="16" t="str">
        <f t="shared" ref="BZ58:BZ69" ca="1" si="181">IF(COUNTIF(BY$58:BY$69,BY58)=1,"-","Pos. "&amp;BY58&amp;" ("&amp;COUNTIF(BY$58:BY$69,BY58)&amp;")")</f>
        <v>-</v>
      </c>
      <c r="CA58" s="16" t="str">
        <f t="shared" ref="CA58:CA69" ca="1" si="182">IF(BZ58="-","-",COUNTIF($BD$58:$BD$69,"&gt;"&amp;BD58))</f>
        <v>-</v>
      </c>
      <c r="CB58" s="16">
        <f ca="1">BY58+COUNTIFS(BZ$58:BZ$69,BZ58,CA$58:CA$69,"&gt;"&amp;CA58)</f>
        <v>11</v>
      </c>
      <c r="CC58" s="16"/>
      <c r="CD58" s="16">
        <f t="shared" ref="CD58:CD69" ca="1" si="183">IF(OR(INDEX($AW$102:$AW$113,MATCH($BD58,$AV$102:$AV$113,0))="",BZ58="-"),CB58,INDEX($AW$102:$AW$113,MATCH($BD58,$AV$102:$AV$113,0))+CB58/1000)</f>
        <v>11</v>
      </c>
      <c r="CE58" s="16" t="str">
        <f ca="1">IF(BZ58="-","-",COUNTIF(CD$58:CD$69,"&lt;"&amp;CD58))</f>
        <v>-</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Australia</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3</v>
      </c>
      <c r="BL59" s="16">
        <f t="shared" ref="BL59:BL69" ca="1" si="190">+BJ59-BK59</f>
        <v>-1</v>
      </c>
      <c r="BM59" s="16">
        <f t="shared" ref="BM59:BM69" ca="1" si="191">CB59</f>
        <v>8</v>
      </c>
      <c r="BN59" s="16">
        <f t="shared" ref="BN59:BN69" ca="1" si="192">CF59</f>
        <v>8</v>
      </c>
      <c r="BO59" s="16" t="str">
        <f t="shared" si="174"/>
        <v>4B</v>
      </c>
      <c r="BP59" s="16"/>
      <c r="BQ59" s="16"/>
      <c r="BR59" s="16">
        <f t="shared" ca="1" si="175"/>
        <v>3</v>
      </c>
      <c r="BS59" s="16">
        <f t="shared" ref="BS59:BS69" ca="1" si="193">COUNTIFS(BR$58:BR$69,"&gt;"&amp;BR59)+1</f>
        <v>6</v>
      </c>
      <c r="BT59" s="16" t="str">
        <f t="shared" ref="BT59:BT69" ca="1" si="194">IF(COUNTIF(BS$58:BS$69,BS59)=1,"-","Pos. "&amp;BS59&amp;" ("&amp;COUNTIF(BS$58:BS$69,BS59)&amp;")")</f>
        <v>Pos. 6 (5)</v>
      </c>
      <c r="BU59" s="16">
        <f t="shared" ca="1" si="176"/>
        <v>-1</v>
      </c>
      <c r="BV59" s="16">
        <f t="shared" ca="1" si="177"/>
        <v>7</v>
      </c>
      <c r="BW59" s="16" t="str">
        <f t="shared" ca="1" si="178"/>
        <v>Pos. 7 (2)</v>
      </c>
      <c r="BX59" s="16">
        <f t="shared" ca="1" si="179"/>
        <v>2</v>
      </c>
      <c r="BY59" s="16">
        <f t="shared" ca="1" si="180"/>
        <v>8</v>
      </c>
      <c r="BZ59" s="16" t="str">
        <f t="shared" ca="1" si="181"/>
        <v>-</v>
      </c>
      <c r="CA59" s="16" t="str">
        <f t="shared" ca="1" si="182"/>
        <v>-</v>
      </c>
      <c r="CB59" s="16">
        <f t="shared" ref="CB59:CB68" ca="1" si="195">BY59+COUNTIFS(BZ$58:BZ$69,BZ59,CA$58:CA$69,"&gt;"&amp;CA59)</f>
        <v>8</v>
      </c>
      <c r="CC59" s="16"/>
      <c r="CD59" s="16">
        <f t="shared" ca="1" si="183"/>
        <v>8</v>
      </c>
      <c r="CE59" s="16" t="str">
        <f t="shared" ref="CE59:CE69" ca="1" si="196">IF(BZ59="-","-",COUNTIF(CD$58:CD$69,"&lt;"&amp;CD59))</f>
        <v>-</v>
      </c>
      <c r="CF59" s="16">
        <f t="shared" ref="CF59:CF69" ca="1" si="197">BY59+COUNTIFS(BZ$58:BZ$69,BZ59,CE$58:CE$69,"&lt;"&amp;CE59)</f>
        <v>8</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Austria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3</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3</v>
      </c>
      <c r="BL60" s="16">
        <f t="shared" ca="1" si="190"/>
        <v>0</v>
      </c>
      <c r="BM60" s="16">
        <f t="shared" ca="1" si="191"/>
        <v>3</v>
      </c>
      <c r="BN60" s="16">
        <f t="shared" ca="1" si="192"/>
        <v>3</v>
      </c>
      <c r="BO60" s="16" t="str">
        <f t="shared" si="174"/>
        <v>4C</v>
      </c>
      <c r="BP60" s="16"/>
      <c r="BQ60" s="16"/>
      <c r="BR60" s="16">
        <f t="shared" ca="1" si="175"/>
        <v>4</v>
      </c>
      <c r="BS60" s="16">
        <f t="shared" ca="1" si="193"/>
        <v>1</v>
      </c>
      <c r="BT60" s="16" t="str">
        <f t="shared" ca="1" si="194"/>
        <v>Pos. 1 (5)</v>
      </c>
      <c r="BU60" s="16">
        <f t="shared" ca="1" si="176"/>
        <v>0</v>
      </c>
      <c r="BV60" s="16">
        <f t="shared" ca="1" si="177"/>
        <v>1</v>
      </c>
      <c r="BW60" s="16" t="str">
        <f t="shared" ca="1" si="178"/>
        <v>Pos. 1 (3)</v>
      </c>
      <c r="BX60" s="16">
        <f t="shared" ca="1" si="179"/>
        <v>3</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6" customHeight="1">
      <c r="A61" s="16" t="str">
        <f ca="1">+Equipos!B30</f>
        <v>España</v>
      </c>
      <c r="B61" s="16"/>
      <c r="C61" s="16"/>
      <c r="D61" s="16" t="str">
        <f t="shared" si="199"/>
        <v>Empate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4</v>
      </c>
      <c r="BF61" s="16">
        <f t="shared" ca="1" si="189"/>
        <v>3</v>
      </c>
      <c r="BG61" s="16">
        <f t="shared" ca="1" si="169"/>
        <v>1</v>
      </c>
      <c r="BH61" s="16">
        <f t="shared" ca="1" si="170"/>
        <v>1</v>
      </c>
      <c r="BI61" s="16">
        <f t="shared" ca="1" si="171"/>
        <v>1</v>
      </c>
      <c r="BJ61" s="16">
        <f t="shared" ca="1" si="172"/>
        <v>6</v>
      </c>
      <c r="BK61" s="16">
        <f t="shared" ca="1" si="173"/>
        <v>6</v>
      </c>
      <c r="BL61" s="16">
        <f t="shared" ca="1" si="190"/>
        <v>0</v>
      </c>
      <c r="BM61" s="16">
        <f t="shared" ca="1" si="191"/>
        <v>1</v>
      </c>
      <c r="BN61" s="16">
        <f t="shared" ca="1" si="192"/>
        <v>1</v>
      </c>
      <c r="BO61" s="16" t="str">
        <f t="shared" si="174"/>
        <v>4D</v>
      </c>
      <c r="BP61" s="16"/>
      <c r="BQ61" s="16"/>
      <c r="BR61" s="16">
        <f t="shared" ca="1" si="175"/>
        <v>4</v>
      </c>
      <c r="BS61" s="16">
        <f t="shared" ca="1" si="193"/>
        <v>1</v>
      </c>
      <c r="BT61" s="16" t="str">
        <f t="shared" ca="1" si="194"/>
        <v>Pos. 1 (5)</v>
      </c>
      <c r="BU61" s="16">
        <f t="shared" ca="1" si="176"/>
        <v>0</v>
      </c>
      <c r="BV61" s="16">
        <f t="shared" ca="1" si="177"/>
        <v>1</v>
      </c>
      <c r="BW61" s="16" t="str">
        <f t="shared" ca="1" si="178"/>
        <v>Pos. 1 (3)</v>
      </c>
      <c r="BX61" s="16">
        <f t="shared" ca="1" si="179"/>
        <v>6</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Ecuador</v>
      </c>
    </row>
    <row r="62" spans="1:121" ht="16" customHeight="1">
      <c r="A62" s="16" t="str">
        <f ca="1">+Equipos!B31</f>
        <v>Cabo Verde</v>
      </c>
      <c r="B62" s="16"/>
      <c r="C62" s="16"/>
      <c r="D62" s="16" t="str">
        <f t="shared" si="199"/>
        <v>Empate</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2</v>
      </c>
      <c r="AD62" s="51">
        <v>2</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8</v>
      </c>
      <c r="AS62" s="36">
        <f t="shared" ca="1" si="215"/>
        <v>4</v>
      </c>
      <c r="AT62" s="41">
        <f t="shared" ca="1" si="215"/>
        <v>4</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4</v>
      </c>
      <c r="BK62" s="16">
        <f t="shared" ca="1" si="173"/>
        <v>5</v>
      </c>
      <c r="BL62" s="16">
        <f t="shared" ca="1" si="190"/>
        <v>-1</v>
      </c>
      <c r="BM62" s="16">
        <f t="shared" ca="1" si="191"/>
        <v>4</v>
      </c>
      <c r="BN62" s="16">
        <f t="shared" ca="1" si="192"/>
        <v>4</v>
      </c>
      <c r="BO62" s="16" t="str">
        <f t="shared" si="174"/>
        <v>4E</v>
      </c>
      <c r="BP62" s="16"/>
      <c r="BQ62" s="16"/>
      <c r="BR62" s="16">
        <f t="shared" ca="1" si="175"/>
        <v>4</v>
      </c>
      <c r="BS62" s="16">
        <f t="shared" ca="1" si="193"/>
        <v>1</v>
      </c>
      <c r="BT62" s="16" t="str">
        <f t="shared" ca="1" si="194"/>
        <v>Pos. 1 (5)</v>
      </c>
      <c r="BU62" s="16">
        <f t="shared" ca="1" si="176"/>
        <v>-1</v>
      </c>
      <c r="BV62" s="16">
        <f t="shared" ca="1" si="177"/>
        <v>4</v>
      </c>
      <c r="BW62" s="16" t="str">
        <f t="shared" ca="1" si="178"/>
        <v>-</v>
      </c>
      <c r="BX62" s="16" t="str">
        <f t="shared" ca="1" si="179"/>
        <v>-</v>
      </c>
      <c r="BY62" s="16">
        <f t="shared" ca="1" si="180"/>
        <v>4</v>
      </c>
      <c r="BZ62" s="16" t="str">
        <f t="shared" ca="1" si="181"/>
        <v>-</v>
      </c>
      <c r="CA62" s="16" t="str">
        <f t="shared" ca="1" si="182"/>
        <v>-</v>
      </c>
      <c r="CB62" s="16">
        <f t="shared" ca="1" si="195"/>
        <v>4</v>
      </c>
      <c r="CC62" s="16"/>
      <c r="CD62" s="16">
        <f t="shared" ca="1" si="183"/>
        <v>4</v>
      </c>
      <c r="CE62" s="16" t="str">
        <f t="shared" ca="1" si="196"/>
        <v>-</v>
      </c>
      <c r="CF62" s="16">
        <f t="shared" ca="1" si="197"/>
        <v>4</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Suecia</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3</v>
      </c>
      <c r="AD63" s="51">
        <v>1</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4</v>
      </c>
      <c r="AN63" s="39">
        <f t="shared" ca="1" si="215"/>
        <v>3</v>
      </c>
      <c r="AO63" s="39">
        <f t="shared" ca="1" si="215"/>
        <v>1</v>
      </c>
      <c r="AP63" s="39">
        <f t="shared" ca="1" si="215"/>
        <v>1</v>
      </c>
      <c r="AQ63" s="39">
        <f t="shared" ca="1" si="215"/>
        <v>1</v>
      </c>
      <c r="AR63" s="39">
        <f t="shared" ca="1" si="215"/>
        <v>6</v>
      </c>
      <c r="AS63" s="39">
        <f t="shared" ca="1" si="215"/>
        <v>5</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6</v>
      </c>
      <c r="BL63" s="16">
        <f t="shared" ca="1" si="190"/>
        <v>-2</v>
      </c>
      <c r="BM63" s="16">
        <f t="shared" ca="1" si="191"/>
        <v>5</v>
      </c>
      <c r="BN63" s="16">
        <f t="shared" ca="1" si="192"/>
        <v>5</v>
      </c>
      <c r="BO63" s="16" t="str">
        <f t="shared" si="174"/>
        <v>4F</v>
      </c>
      <c r="BP63" s="16"/>
      <c r="BQ63" s="16"/>
      <c r="BR63" s="16">
        <f t="shared" ca="1" si="175"/>
        <v>4</v>
      </c>
      <c r="BS63" s="16">
        <f t="shared" ca="1" si="193"/>
        <v>1</v>
      </c>
      <c r="BT63" s="16" t="str">
        <f t="shared" ca="1" si="194"/>
        <v>Pos. 1 (5)</v>
      </c>
      <c r="BU63" s="16">
        <f t="shared" ca="1" si="176"/>
        <v>-2</v>
      </c>
      <c r="BV63" s="16">
        <f t="shared" ca="1" si="177"/>
        <v>5</v>
      </c>
      <c r="BW63" s="16" t="str">
        <f t="shared" ca="1" si="178"/>
        <v>-</v>
      </c>
      <c r="BX63" s="16" t="str">
        <f t="shared" ca="1" si="179"/>
        <v>-</v>
      </c>
      <c r="BY63" s="16">
        <f t="shared" ca="1" si="180"/>
        <v>5</v>
      </c>
      <c r="BZ63" s="16" t="str">
        <f t="shared" ca="1" si="181"/>
        <v>-</v>
      </c>
      <c r="CA63" s="16" t="str">
        <f t="shared" ca="1" si="182"/>
        <v>-</v>
      </c>
      <c r="CB63" s="16">
        <f t="shared" ca="1" si="195"/>
        <v>5</v>
      </c>
      <c r="CC63" s="16"/>
      <c r="CD63" s="16">
        <f t="shared" ca="1" si="183"/>
        <v>5</v>
      </c>
      <c r="CE63" s="16" t="str">
        <f t="shared" ca="1" si="196"/>
        <v>-</v>
      </c>
      <c r="CF63" s="16">
        <f t="shared" ca="1" si="197"/>
        <v>5</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Arabia Saudita</v>
      </c>
    </row>
    <row r="64" spans="1:121" ht="16" customHeight="1">
      <c r="A64" s="16" t="str">
        <f ca="1">+Equipos!B33</f>
        <v>Uruguay</v>
      </c>
      <c r="B64" s="16"/>
      <c r="C64" s="16"/>
      <c r="D64" s="16" t="str">
        <f t="shared" si="199"/>
        <v>Empate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1</v>
      </c>
      <c r="AD64" s="51">
        <v>1</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0</v>
      </c>
      <c r="AP64" s="39">
        <f t="shared" ca="1" si="215"/>
        <v>3</v>
      </c>
      <c r="AQ64" s="39">
        <f t="shared" ca="1" si="215"/>
        <v>0</v>
      </c>
      <c r="AR64" s="39">
        <f t="shared" ca="1" si="215"/>
        <v>4</v>
      </c>
      <c r="AS64" s="39">
        <f t="shared" ca="1" si="215"/>
        <v>4</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1</v>
      </c>
      <c r="BK64" s="16">
        <f t="shared" ca="1" si="173"/>
        <v>5</v>
      </c>
      <c r="BL64" s="16">
        <f t="shared" ca="1" si="190"/>
        <v>-4</v>
      </c>
      <c r="BM64" s="16">
        <f t="shared" ca="1" si="191"/>
        <v>12</v>
      </c>
      <c r="BN64" s="16">
        <f t="shared" ca="1" si="192"/>
        <v>12</v>
      </c>
      <c r="BO64" s="16" t="str">
        <f t="shared" si="174"/>
        <v>4G</v>
      </c>
      <c r="BP64" s="16"/>
      <c r="BQ64" s="16"/>
      <c r="BR64" s="16">
        <f t="shared" ca="1" si="175"/>
        <v>1</v>
      </c>
      <c r="BS64" s="16">
        <f t="shared" ca="1" si="193"/>
        <v>12</v>
      </c>
      <c r="BT64" s="16" t="str">
        <f t="shared" ca="1" si="194"/>
        <v>-</v>
      </c>
      <c r="BU64" s="16" t="str">
        <f t="shared" ca="1" si="176"/>
        <v>-</v>
      </c>
      <c r="BV64" s="16">
        <f t="shared" ca="1" si="177"/>
        <v>12</v>
      </c>
      <c r="BW64" s="16" t="str">
        <f t="shared" ca="1" si="178"/>
        <v>-</v>
      </c>
      <c r="BX64" s="16" t="str">
        <f t="shared" ca="1" si="179"/>
        <v>-</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RD Congo</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2</v>
      </c>
      <c r="AD65" s="54">
        <v>3</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2</v>
      </c>
      <c r="AS65" s="47">
        <f t="shared" ca="1" si="215"/>
        <v>7</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0</v>
      </c>
      <c r="BH65" s="16">
        <f t="shared" ca="1" si="170"/>
        <v>3</v>
      </c>
      <c r="BI65" s="16">
        <f t="shared" ca="1" si="171"/>
        <v>0</v>
      </c>
      <c r="BJ65" s="16">
        <f t="shared" ca="1" si="172"/>
        <v>4</v>
      </c>
      <c r="BK65" s="16">
        <f t="shared" ca="1" si="173"/>
        <v>4</v>
      </c>
      <c r="BL65" s="16">
        <f t="shared" ca="1" si="190"/>
        <v>0</v>
      </c>
      <c r="BM65" s="16">
        <f t="shared" ca="1" si="191"/>
        <v>6</v>
      </c>
      <c r="BN65" s="16">
        <f t="shared" ca="1" si="192"/>
        <v>6</v>
      </c>
      <c r="BO65" s="16" t="str">
        <f t="shared" si="174"/>
        <v>4H</v>
      </c>
      <c r="BP65" s="16"/>
      <c r="BQ65" s="16"/>
      <c r="BR65" s="16">
        <f t="shared" ca="1" si="175"/>
        <v>3</v>
      </c>
      <c r="BS65" s="16">
        <f t="shared" ca="1" si="193"/>
        <v>6</v>
      </c>
      <c r="BT65" s="16" t="str">
        <f t="shared" ca="1" si="194"/>
        <v>Pos. 6 (5)</v>
      </c>
      <c r="BU65" s="16">
        <f t="shared" ca="1" si="176"/>
        <v>0</v>
      </c>
      <c r="BV65" s="16">
        <f t="shared" ca="1" si="177"/>
        <v>6</v>
      </c>
      <c r="BW65" s="16" t="str">
        <f t="shared" ca="1" si="178"/>
        <v>-</v>
      </c>
      <c r="BX65" s="16" t="str">
        <f t="shared" ca="1" si="179"/>
        <v>-</v>
      </c>
      <c r="BY65" s="16">
        <f t="shared" ca="1" si="180"/>
        <v>6</v>
      </c>
      <c r="BZ65" s="16" t="str">
        <f t="shared" ca="1" si="181"/>
        <v>-</v>
      </c>
      <c r="CA65" s="16" t="str">
        <f t="shared" ca="1" si="182"/>
        <v>-</v>
      </c>
      <c r="CB65" s="16">
        <f t="shared" ca="1" si="195"/>
        <v>6</v>
      </c>
      <c r="CC65" s="16"/>
      <c r="CD65" s="16">
        <f t="shared" ca="1" si="183"/>
        <v>6</v>
      </c>
      <c r="CE65" s="16" t="str">
        <f t="shared" ca="1" si="196"/>
        <v>-</v>
      </c>
      <c r="CF65" s="16">
        <f t="shared" ca="1" si="197"/>
        <v>6</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Bosnia y Herzegovina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7</v>
      </c>
      <c r="BL66" s="16">
        <f t="shared" ca="1" si="190"/>
        <v>-5</v>
      </c>
      <c r="BM66" s="16">
        <f t="shared" ca="1" si="191"/>
        <v>10</v>
      </c>
      <c r="BN66" s="16">
        <f t="shared" ca="1" si="192"/>
        <v>10</v>
      </c>
      <c r="BO66" s="16" t="str">
        <f t="shared" si="174"/>
        <v>4I</v>
      </c>
      <c r="BP66" s="16"/>
      <c r="BQ66" s="16"/>
      <c r="BR66" s="16">
        <f t="shared" ca="1" si="175"/>
        <v>3</v>
      </c>
      <c r="BS66" s="16">
        <f t="shared" ca="1" si="193"/>
        <v>6</v>
      </c>
      <c r="BT66" s="16" t="str">
        <f t="shared" ca="1" si="194"/>
        <v>Pos. 6 (5)</v>
      </c>
      <c r="BU66" s="16">
        <f t="shared" ca="1" si="176"/>
        <v>-5</v>
      </c>
      <c r="BV66" s="16">
        <f t="shared" ca="1" si="177"/>
        <v>10</v>
      </c>
      <c r="BW66" s="16" t="str">
        <f t="shared" ca="1" si="178"/>
        <v>-</v>
      </c>
      <c r="BX66" s="16" t="str">
        <f t="shared" ca="1" si="179"/>
        <v>-</v>
      </c>
      <c r="BY66" s="16">
        <f t="shared" ca="1" si="180"/>
        <v>10</v>
      </c>
      <c r="BZ66" s="16" t="str">
        <f t="shared" ca="1" si="181"/>
        <v>-</v>
      </c>
      <c r="CA66" s="16" t="str">
        <f t="shared" ca="1" si="182"/>
        <v>-</v>
      </c>
      <c r="CB66" s="16">
        <f t="shared" ca="1" si="195"/>
        <v>10</v>
      </c>
      <c r="CC66" s="16"/>
      <c r="CD66" s="16">
        <f t="shared" ca="1" si="183"/>
        <v>10</v>
      </c>
      <c r="CE66" s="16" t="str">
        <f t="shared" ca="1" si="196"/>
        <v>-</v>
      </c>
      <c r="CF66" s="16">
        <f t="shared" ca="1" si="197"/>
        <v>10</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Ghana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4</v>
      </c>
      <c r="BF67" s="16">
        <f t="shared" ca="1" si="189"/>
        <v>3</v>
      </c>
      <c r="BG67" s="16">
        <f t="shared" ca="1" si="169"/>
        <v>1</v>
      </c>
      <c r="BH67" s="16">
        <f t="shared" ca="1" si="170"/>
        <v>1</v>
      </c>
      <c r="BI67" s="16">
        <f t="shared" ca="1" si="171"/>
        <v>1</v>
      </c>
      <c r="BJ67" s="16">
        <f t="shared" ca="1" si="172"/>
        <v>4</v>
      </c>
      <c r="BK67" s="16">
        <f t="shared" ca="1" si="173"/>
        <v>4</v>
      </c>
      <c r="BL67" s="16">
        <f t="shared" ca="1" si="190"/>
        <v>0</v>
      </c>
      <c r="BM67" s="16">
        <f t="shared" ca="1" si="191"/>
        <v>2</v>
      </c>
      <c r="BN67" s="16">
        <f t="shared" ca="1" si="192"/>
        <v>2</v>
      </c>
      <c r="BO67" s="16" t="str">
        <f t="shared" si="174"/>
        <v>4J</v>
      </c>
      <c r="BP67" s="16"/>
      <c r="BQ67" s="16"/>
      <c r="BR67" s="16">
        <f t="shared" ca="1" si="175"/>
        <v>4</v>
      </c>
      <c r="BS67" s="16">
        <f t="shared" ca="1" si="193"/>
        <v>1</v>
      </c>
      <c r="BT67" s="16" t="str">
        <f t="shared" ca="1" si="194"/>
        <v>Pos. 1 (5)</v>
      </c>
      <c r="BU67" s="16">
        <f t="shared" ca="1" si="176"/>
        <v>0</v>
      </c>
      <c r="BV67" s="16">
        <f t="shared" ca="1" si="177"/>
        <v>1</v>
      </c>
      <c r="BW67" s="16" t="str">
        <f t="shared" ca="1" si="178"/>
        <v>Pos. 1 (3)</v>
      </c>
      <c r="BX67" s="16">
        <f t="shared" ca="1" si="179"/>
        <v>4</v>
      </c>
      <c r="BY67" s="16">
        <f t="shared" ca="1" si="180"/>
        <v>2</v>
      </c>
      <c r="BZ67" s="16" t="str">
        <f t="shared" ca="1" si="181"/>
        <v>-</v>
      </c>
      <c r="CA67" s="16" t="str">
        <f t="shared" ca="1" si="182"/>
        <v>-</v>
      </c>
      <c r="CB67" s="16">
        <f t="shared" ca="1" si="195"/>
        <v>2</v>
      </c>
      <c r="CC67" s="16"/>
      <c r="CD67" s="16">
        <f t="shared" ca="1" si="183"/>
        <v>2</v>
      </c>
      <c r="CE67" s="16" t="str">
        <f t="shared" ca="1" si="196"/>
        <v>-</v>
      </c>
      <c r="CF67" s="16">
        <f t="shared" ca="1" si="197"/>
        <v>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Senegal</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v>
      </c>
      <c r="G68" s="16"/>
      <c r="H68" s="16" t="str">
        <f t="shared" ref="H68:H73" ca="1" si="220">IF(D68="Pendiente","-",INDEX($BZ$6:$BZ$53,MATCH($AA68,$BD$6:$BD$53,0)))</f>
        <v>P.1 (2)</v>
      </c>
      <c r="I68" s="16" t="str">
        <f t="shared" ref="I68:I73" ca="1" si="221">IF(D68="Pendiente","-",INDEX($BZ$6:$BZ$53,MATCH($AF68,$BD$6:$BD$53,0)))</f>
        <v>-</v>
      </c>
      <c r="J68" s="16"/>
      <c r="K68" s="16" t="str">
        <f t="shared" ref="K68:K73" ca="1" si="222">IF(D68="Pendiente","-",INDEX($CE$6:$CE$53,MATCH($AA68,$BD$6:$BD$53,0)))</f>
        <v>P.1 (2)</v>
      </c>
      <c r="L68" s="16" t="str">
        <f t="shared" ref="L68:L73" ca="1" si="223">IF(D68="Pendiente","-",INDEX($CE$6:$CE$53,MATCH($AF68,$BD$6:$BD$53,0)))</f>
        <v>-</v>
      </c>
      <c r="M68" s="16"/>
      <c r="N68" s="16" t="str">
        <f t="shared" ref="N68:N73" ca="1" si="224">IF(D68="Pendiente","-",INDEX($CH$6:$CH$53,MATCH($AA68,$BD$6:$BD$53,0)))</f>
        <v>P.1 (2)</v>
      </c>
      <c r="O68" s="16" t="str">
        <f t="shared" ref="O68:O73" ca="1" si="225">IF(D68="Pendiente","-",INDEX($CH$6:$CH$53,MATCH($AF68,$BD$6:$BD$53,0)))</f>
        <v>-</v>
      </c>
      <c r="P68" s="16"/>
      <c r="Q68" s="16" t="str">
        <f t="shared" ref="Q68:Q73" ca="1" si="226">IF(D68="Pendiente","-",INDEX($CN$6:$CN$53,MATCH($AA68,$BD$6:$BD$53,0)))</f>
        <v>P.1 (2)</v>
      </c>
      <c r="R68" s="16" t="str">
        <f t="shared" ref="R68:R73" ca="1" si="227">IF(D68="Pendiente","-",INDEX($CN$6:$CN$53,MATCH($AF68,$BD$6:$BD$53,0)))</f>
        <v>-</v>
      </c>
      <c r="S68" s="16"/>
      <c r="T68" s="16" t="str">
        <f t="shared" ref="T68:T73" ca="1" si="228">IF(D68="Pendiente","-",INDEX($CS$6:$CS$53,MATCH($AA68,$BD$6:$BD$53,0)))</f>
        <v>P.1 (2)</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4</v>
      </c>
      <c r="AD68" s="51">
        <v>0</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4</v>
      </c>
      <c r="BK68" s="16">
        <f t="shared" ca="1" si="173"/>
        <v>5</v>
      </c>
      <c r="BL68" s="16">
        <f t="shared" ca="1" si="190"/>
        <v>-1</v>
      </c>
      <c r="BM68" s="16">
        <f t="shared" ca="1" si="191"/>
        <v>7</v>
      </c>
      <c r="BN68" s="16">
        <f t="shared" ca="1" si="192"/>
        <v>7</v>
      </c>
      <c r="BO68" s="16" t="str">
        <f t="shared" si="174"/>
        <v>4K</v>
      </c>
      <c r="BP68" s="16"/>
      <c r="BQ68" s="16"/>
      <c r="BR68" s="16">
        <f t="shared" ca="1" si="175"/>
        <v>3</v>
      </c>
      <c r="BS68" s="16">
        <f t="shared" ca="1" si="193"/>
        <v>6</v>
      </c>
      <c r="BT68" s="16" t="str">
        <f t="shared" ca="1" si="194"/>
        <v>Pos. 6 (5)</v>
      </c>
      <c r="BU68" s="16">
        <f t="shared" ca="1" si="176"/>
        <v>-1</v>
      </c>
      <c r="BV68" s="16">
        <f t="shared" ca="1" si="177"/>
        <v>7</v>
      </c>
      <c r="BW68" s="16" t="str">
        <f t="shared" ca="1" si="178"/>
        <v>Pos. 7 (2)</v>
      </c>
      <c r="BX68" s="16">
        <f t="shared" ca="1" si="179"/>
        <v>4</v>
      </c>
      <c r="BY68" s="16">
        <f t="shared" ca="1" si="180"/>
        <v>7</v>
      </c>
      <c r="BZ68" s="16" t="str">
        <f t="shared" ca="1" si="181"/>
        <v>-</v>
      </c>
      <c r="CA68" s="16" t="str">
        <f t="shared" ca="1" si="182"/>
        <v>-</v>
      </c>
      <c r="CB68" s="16">
        <f t="shared" ca="1" si="195"/>
        <v>7</v>
      </c>
      <c r="CC68" s="16"/>
      <c r="CD68" s="16">
        <f t="shared" ca="1" si="183"/>
        <v>7</v>
      </c>
      <c r="CE68" s="16" t="str">
        <f t="shared" ca="1" si="196"/>
        <v>-</v>
      </c>
      <c r="CF68" s="16">
        <f t="shared" ca="1" si="197"/>
        <v>7</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República Checa</v>
      </c>
    </row>
    <row r="69" spans="1:121" ht="16" customHeight="1">
      <c r="A69" s="16" t="str">
        <f ca="1">+Equipos!B34</f>
        <v>Francia</v>
      </c>
      <c r="B69" s="16"/>
      <c r="C69" s="16"/>
      <c r="D69" s="16" t="str">
        <f t="shared" si="217"/>
        <v>Visitante</v>
      </c>
      <c r="E69" s="16" t="str">
        <f t="shared" ca="1" si="218"/>
        <v>-</v>
      </c>
      <c r="F69" s="16" t="str">
        <f t="shared" ca="1" si="219"/>
        <v>P.1 (2)</v>
      </c>
      <c r="G69" s="16"/>
      <c r="H69" s="16" t="str">
        <f t="shared" ca="1" si="220"/>
        <v>-</v>
      </c>
      <c r="I69" s="16" t="str">
        <f t="shared" ca="1" si="221"/>
        <v>P.1 (2)</v>
      </c>
      <c r="J69" s="16"/>
      <c r="K69" s="16" t="str">
        <f t="shared" ca="1" si="222"/>
        <v>-</v>
      </c>
      <c r="L69" s="16" t="str">
        <f t="shared" ca="1" si="223"/>
        <v>P.1 (2)</v>
      </c>
      <c r="M69" s="16"/>
      <c r="N69" s="16" t="str">
        <f t="shared" ca="1" si="224"/>
        <v>-</v>
      </c>
      <c r="O69" s="16" t="str">
        <f t="shared" ca="1" si="225"/>
        <v>P.1 (2)</v>
      </c>
      <c r="P69" s="16"/>
      <c r="Q69" s="16" t="str">
        <f t="shared" ca="1" si="226"/>
        <v>-</v>
      </c>
      <c r="R69" s="16" t="str">
        <f t="shared" ca="1" si="227"/>
        <v>P.1 (2)</v>
      </c>
      <c r="S69" s="16"/>
      <c r="T69" s="16" t="str">
        <f t="shared" ca="1" si="228"/>
        <v>-</v>
      </c>
      <c r="U69" s="16" t="str">
        <f t="shared" ca="1" si="229"/>
        <v>P.1 (2)</v>
      </c>
      <c r="V69" s="17"/>
      <c r="W69" s="654"/>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3</v>
      </c>
      <c r="BK69" s="16">
        <f t="shared" ca="1" si="173"/>
        <v>5</v>
      </c>
      <c r="BL69" s="16">
        <f t="shared" ca="1" si="190"/>
        <v>-2</v>
      </c>
      <c r="BM69" s="16">
        <f t="shared" ca="1" si="191"/>
        <v>9</v>
      </c>
      <c r="BN69" s="16">
        <f t="shared" ca="1" si="192"/>
        <v>9</v>
      </c>
      <c r="BO69" s="16" t="str">
        <f t="shared" si="174"/>
        <v>4L</v>
      </c>
      <c r="BP69" s="16"/>
      <c r="BQ69" s="16"/>
      <c r="BR69" s="16">
        <f t="shared" ca="1" si="175"/>
        <v>3</v>
      </c>
      <c r="BS69" s="16">
        <f t="shared" ca="1" si="193"/>
        <v>6</v>
      </c>
      <c r="BT69" s="16" t="str">
        <f t="shared" ca="1" si="194"/>
        <v>Pos. 6 (5)</v>
      </c>
      <c r="BU69" s="16">
        <f t="shared" ca="1" si="176"/>
        <v>-2</v>
      </c>
      <c r="BV69" s="16">
        <f t="shared" ca="1" si="177"/>
        <v>9</v>
      </c>
      <c r="BW69" s="16" t="str">
        <f t="shared" ca="1" si="178"/>
        <v>-</v>
      </c>
      <c r="BX69" s="16" t="str">
        <f t="shared" ca="1" si="179"/>
        <v>-</v>
      </c>
      <c r="BY69" s="16">
        <f t="shared" ca="1" si="180"/>
        <v>9</v>
      </c>
      <c r="BZ69" s="16" t="str">
        <f t="shared" ca="1" si="181"/>
        <v>-</v>
      </c>
      <c r="CA69" s="16" t="str">
        <f t="shared" ca="1" si="182"/>
        <v>-</v>
      </c>
      <c r="CB69" s="16">
        <f ca="1">BY69+COUNTIFS(BZ$58:BZ$69,BZ69,CA$58:CA$69,"&gt;"&amp;CA69)</f>
        <v>9</v>
      </c>
      <c r="CC69" s="16"/>
      <c r="CD69" s="16">
        <f t="shared" ca="1" si="183"/>
        <v>9</v>
      </c>
      <c r="CE69" s="16" t="str">
        <f t="shared" ca="1" si="196"/>
        <v>-</v>
      </c>
      <c r="CF69" s="16">
        <f t="shared" ca="1" si="197"/>
        <v>9</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Irán</v>
      </c>
    </row>
    <row r="70" spans="1:121" ht="16" customHeight="1">
      <c r="A70" s="16" t="str">
        <f ca="1">+Equipos!B35</f>
        <v>Senegal</v>
      </c>
      <c r="B70" s="16"/>
      <c r="C70" s="16"/>
      <c r="D70" s="16" t="str">
        <f t="shared" si="217"/>
        <v>Local</v>
      </c>
      <c r="E70" s="16" t="str">
        <f t="shared" ca="1" si="218"/>
        <v>P.1 (2)</v>
      </c>
      <c r="F70" s="16" t="str">
        <f t="shared" ca="1" si="219"/>
        <v>-</v>
      </c>
      <c r="G70" s="16"/>
      <c r="H70" s="16" t="str">
        <f t="shared" ca="1" si="220"/>
        <v>P.1 (2)</v>
      </c>
      <c r="I70" s="16" t="str">
        <f t="shared" ca="1" si="221"/>
        <v>-</v>
      </c>
      <c r="J70" s="16"/>
      <c r="K70" s="16" t="str">
        <f t="shared" ca="1" si="222"/>
        <v>P.1 (2)</v>
      </c>
      <c r="L70" s="16" t="str">
        <f t="shared" ca="1" si="223"/>
        <v>-</v>
      </c>
      <c r="M70" s="16"/>
      <c r="N70" s="16" t="str">
        <f t="shared" ca="1" si="224"/>
        <v>P.1 (2)</v>
      </c>
      <c r="O70" s="16" t="str">
        <f t="shared" ca="1" si="225"/>
        <v>-</v>
      </c>
      <c r="P70" s="16"/>
      <c r="Q70" s="16" t="str">
        <f t="shared" ca="1" si="226"/>
        <v>P.1 (2)</v>
      </c>
      <c r="R70" s="16" t="str">
        <f t="shared" ca="1" si="227"/>
        <v>-</v>
      </c>
      <c r="S70" s="16"/>
      <c r="T70" s="16" t="str">
        <f t="shared" ca="1" si="228"/>
        <v>P.1 (2)</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2</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P.1 (2)</v>
      </c>
      <c r="F71" s="16" t="str">
        <f t="shared" ca="1" si="219"/>
        <v>-</v>
      </c>
      <c r="G71" s="16"/>
      <c r="H71" s="16" t="str">
        <f t="shared" ca="1" si="220"/>
        <v>P.1 (2)</v>
      </c>
      <c r="I71" s="16" t="str">
        <f t="shared" ca="1" si="221"/>
        <v>-</v>
      </c>
      <c r="J71" s="16"/>
      <c r="K71" s="16" t="str">
        <f t="shared" ca="1" si="222"/>
        <v>P.1 (2)</v>
      </c>
      <c r="L71" s="16" t="str">
        <f t="shared" ca="1" si="223"/>
        <v>-</v>
      </c>
      <c r="M71" s="16"/>
      <c r="N71" s="16" t="str">
        <f t="shared" ca="1" si="224"/>
        <v>P.1 (2)</v>
      </c>
      <c r="O71" s="16" t="str">
        <f t="shared" ca="1" si="225"/>
        <v>-</v>
      </c>
      <c r="P71" s="16"/>
      <c r="Q71" s="16" t="str">
        <f t="shared" ca="1" si="226"/>
        <v>P.1 (2)</v>
      </c>
      <c r="R71" s="16" t="str">
        <f t="shared" ca="1" si="227"/>
        <v>-</v>
      </c>
      <c r="S71" s="16"/>
      <c r="T71" s="16" t="str">
        <f t="shared" ca="1" si="228"/>
        <v>P.1 (2)</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3</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7</v>
      </c>
      <c r="AN71" s="39">
        <f t="shared" ca="1" si="233"/>
        <v>3</v>
      </c>
      <c r="AO71" s="39">
        <f t="shared" ca="1" si="233"/>
        <v>2</v>
      </c>
      <c r="AP71" s="39">
        <f t="shared" ca="1" si="233"/>
        <v>1</v>
      </c>
      <c r="AQ71" s="39">
        <f t="shared" ca="1" si="233"/>
        <v>0</v>
      </c>
      <c r="AR71" s="39">
        <f t="shared" ca="1" si="233"/>
        <v>7</v>
      </c>
      <c r="AS71" s="39">
        <f t="shared" ca="1" si="233"/>
        <v>3</v>
      </c>
      <c r="AT71" s="43">
        <f t="shared" ca="1" si="233"/>
        <v>4</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Empate</v>
      </c>
      <c r="E72" s="16" t="str">
        <f t="shared" ca="1" si="218"/>
        <v>P.1 (2)</v>
      </c>
      <c r="F72" s="16" t="str">
        <f t="shared" ca="1" si="219"/>
        <v>P.1 (2)</v>
      </c>
      <c r="G72" s="16"/>
      <c r="H72" s="16" t="str">
        <f t="shared" ca="1" si="220"/>
        <v>P.1 (2)</v>
      </c>
      <c r="I72" s="16" t="str">
        <f t="shared" ca="1" si="221"/>
        <v>P.1 (2)</v>
      </c>
      <c r="J72" s="16"/>
      <c r="K72" s="16" t="str">
        <f t="shared" ca="1" si="222"/>
        <v>P.1 (2)</v>
      </c>
      <c r="L72" s="16" t="str">
        <f t="shared" ca="1" si="223"/>
        <v>P.1 (2)</v>
      </c>
      <c r="M72" s="16"/>
      <c r="N72" s="16" t="str">
        <f t="shared" ca="1" si="224"/>
        <v>P.1 (2)</v>
      </c>
      <c r="O72" s="16" t="str">
        <f t="shared" ca="1" si="225"/>
        <v>P.1 (2)</v>
      </c>
      <c r="P72" s="16"/>
      <c r="Q72" s="16" t="str">
        <f t="shared" ca="1" si="226"/>
        <v>P.1 (2)</v>
      </c>
      <c r="R72" s="16" t="str">
        <f t="shared" ca="1" si="227"/>
        <v>P.1 (2)</v>
      </c>
      <c r="S72" s="16"/>
      <c r="T72" s="16" t="str">
        <f t="shared" ca="1" si="228"/>
        <v>P.1 (2)</v>
      </c>
      <c r="U72" s="16" t="str">
        <f t="shared" ca="1" si="229"/>
        <v>P.1 (2)</v>
      </c>
      <c r="V72" s="17"/>
      <c r="W72" s="654"/>
      <c r="X72" s="24">
        <f ca="1">Horarios!C72</f>
        <v>46199.875</v>
      </c>
      <c r="Y72" s="25">
        <f ca="1">Horarios!C72</f>
        <v>46199.875</v>
      </c>
      <c r="Z72" s="26" t="str">
        <f>$Z$8</f>
        <v>J3</v>
      </c>
      <c r="AA72" s="27" t="str">
        <f ca="1">A72</f>
        <v>Noruega</v>
      </c>
      <c r="AB72" s="49" t="str" cm="1">
        <f t="array" aca="1" ref="AB72" ca="1">Ver_flag_local</f>
        <v/>
      </c>
      <c r="AC72" s="50">
        <v>2</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7</v>
      </c>
      <c r="AT72" s="43">
        <f t="shared" ca="1" si="233"/>
        <v>-5</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1</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5</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2</v>
      </c>
      <c r="AD76" s="51">
        <v>1</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2</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3</v>
      </c>
      <c r="AD78" s="51">
        <v>1</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3</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Argelia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30">
        <f ca="1">INDEX($DL$6:$DL$53,MATCH(AI79,$DP$6:$DP$53,0))</f>
        <v>1</v>
      </c>
      <c r="AV79" s="182" t="str">
        <f ca="1">INDEX($BD$6:$BD$53,MATCH(AI79,$BM$6:$BM$53,0))</f>
        <v>Argelia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1</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Austria</v>
      </c>
      <c r="AM80" s="38">
        <f t="shared" ca="1" si="251"/>
        <v>4</v>
      </c>
      <c r="AN80" s="39">
        <f t="shared" ca="1" si="251"/>
        <v>3</v>
      </c>
      <c r="AO80" s="39">
        <f t="shared" ca="1" si="251"/>
        <v>1</v>
      </c>
      <c r="AP80" s="39">
        <f t="shared" ca="1" si="251"/>
        <v>1</v>
      </c>
      <c r="AQ80" s="39">
        <f t="shared" ca="1" si="251"/>
        <v>1</v>
      </c>
      <c r="AR80" s="39">
        <f t="shared" ca="1" si="251"/>
        <v>4</v>
      </c>
      <c r="AS80" s="39">
        <f t="shared" ca="1" si="251"/>
        <v>4</v>
      </c>
      <c r="AT80" s="43">
        <f t="shared" ca="1" si="251"/>
        <v>0</v>
      </c>
      <c r="AU80" s="330">
        <f ca="1">INDEX($DL$6:$DL$53,MATCH(AI80,$DP$6:$DP$53,0))</f>
        <v>1</v>
      </c>
      <c r="AV80" s="182" t="str">
        <f ca="1">INDEX($BD$6:$BD$53,MATCH(AI80,$BM$6:$BM$53,0))</f>
        <v>Austria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1</v>
      </c>
      <c r="AD81" s="54">
        <v>4</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8</v>
      </c>
      <c r="AT81" s="48">
        <f t="shared" ca="1" si="251"/>
        <v>-7</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2</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1</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3</v>
      </c>
      <c r="AT86" s="41">
        <f t="shared" ca="1" si="269"/>
        <v>4</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4</v>
      </c>
      <c r="AS88" s="39">
        <f t="shared" ca="1" si="269"/>
        <v>5</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8</v>
      </c>
      <c r="AT89" s="48">
        <f t="shared" ca="1" si="269"/>
        <v>-6</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3</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3</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2</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3</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Empate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6</v>
      </c>
      <c r="AS95" s="39">
        <f t="shared" ca="1" si="287"/>
        <v>4</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1</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3</v>
      </c>
      <c r="AS96" s="39">
        <f t="shared" ca="1" si="287"/>
        <v>5</v>
      </c>
      <c r="AT96" s="43">
        <f t="shared" ca="1" si="287"/>
        <v>-2</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3</v>
      </c>
      <c r="AD97" s="54">
        <v>0</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2</v>
      </c>
      <c r="AS97" s="47">
        <f t="shared" ca="1" si="287"/>
        <v>7</v>
      </c>
      <c r="AT97" s="48">
        <f t="shared" ca="1" si="287"/>
        <v>-5</v>
      </c>
      <c r="AU97" s="330">
        <f ca="1">INDEX($DL$6:$DL$53,MATCH(AI97,$DP$6:$DP$53,0))</f>
        <v>1</v>
      </c>
      <c r="AV97" s="182" t="str">
        <f ca="1">INDEX($BD$6:$BD$53,MATCH(AI97,$BM$6:$BM$53,0))</f>
        <v>Panamá</v>
      </c>
      <c r="AW97" s="210"/>
      <c r="AX97" s="171"/>
      <c r="AY97" s="205" t="str">
        <f ca="1">+A96</f>
        <v>Panamá</v>
      </c>
      <c r="AZ97" s="206"/>
      <c r="BA97" s="176"/>
    </row>
    <row r="98" spans="1:62" ht="16"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1</v>
      </c>
      <c r="AD101" s="51">
        <v>3</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BCDEFHJK</v>
      </c>
      <c r="BA101" s="176"/>
    </row>
    <row r="102" spans="1:62" ht="16"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v>5</v>
      </c>
      <c r="AC102" s="92">
        <v>2</v>
      </c>
      <c r="AD102" s="92">
        <v>2</v>
      </c>
      <c r="AE102" s="89">
        <v>3</v>
      </c>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Australia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6</v>
      </c>
      <c r="AS102" s="83">
        <f t="shared" ca="1" si="298"/>
        <v>6</v>
      </c>
      <c r="AT102" s="84">
        <f t="shared" ca="1" si="298"/>
        <v>0</v>
      </c>
      <c r="AU102" s="330">
        <f t="shared" ref="AU102:AU113" ca="1" si="299">IF($H$113=144,INDEX($DL$58:$DL$69,MATCH(AI102,$DP$58:$DP$69,0)),"")</f>
        <v>1</v>
      </c>
      <c r="AV102" s="182" t="str">
        <f t="shared" ref="AV102:AV113" ca="1" si="300">INDEX($BD$58:$BD$69,MATCH(AI102,$BM$58:$BM$69,0))</f>
        <v>Australia</v>
      </c>
      <c r="AW102" s="215"/>
      <c r="AX102" s="170"/>
      <c r="AY102" s="154"/>
      <c r="AZ102" s="155"/>
      <c r="BA102" s="176"/>
      <c r="BE102" t="s">
        <v>454</v>
      </c>
      <c r="BF102" t="s">
        <v>730</v>
      </c>
      <c r="BG102" t="s">
        <v>775</v>
      </c>
      <c r="BI102" t="s">
        <v>86</v>
      </c>
    </row>
    <row r="103" spans="1:62" ht="16"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Australia</v>
      </c>
      <c r="AG103" s="327">
        <f t="shared" ca="1" si="294"/>
        <v>1</v>
      </c>
      <c r="AH103" s="195">
        <v>74</v>
      </c>
      <c r="AI103" s="182">
        <v>2</v>
      </c>
      <c r="AJ103" s="42">
        <v>2</v>
      </c>
      <c r="AK103" s="602" t="str" cm="1">
        <f t="array" aca="1" ref="AK103" ca="1">Ver_flag_visit</f>
        <v/>
      </c>
      <c r="AL103" s="85" t="str">
        <f t="shared" ca="1" si="297"/>
        <v>Austria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Austria</v>
      </c>
      <c r="AW103" s="215"/>
      <c r="AX103" s="170"/>
      <c r="AY103" s="276"/>
      <c r="AZ103" s="279" t="str">
        <f t="shared" ref="AZ103:AZ110" ca="1" si="303">+IF(OR($H$113&gt;=48,$AJ$99=144),BF117&amp;" - "&amp;BG117,"")</f>
        <v>1A - 3C</v>
      </c>
      <c r="BA103" s="176"/>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6"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3</v>
      </c>
      <c r="AE104" s="89"/>
      <c r="AF104" s="91" t="str">
        <f t="shared" ca="1" si="293"/>
        <v>Marruecos</v>
      </c>
      <c r="AG104" s="327">
        <f t="shared" ca="1" si="294"/>
        <v>1</v>
      </c>
      <c r="AH104" s="195">
        <v>75</v>
      </c>
      <c r="AI104" s="182">
        <v>3</v>
      </c>
      <c r="AJ104" s="42">
        <v>3</v>
      </c>
      <c r="AK104" s="602" t="str" cm="1">
        <f t="array" aca="1" ref="AK104" ca="1">Ver_flag_visit</f>
        <v/>
      </c>
      <c r="AL104" s="85" t="str">
        <f t="shared" ca="1" si="297"/>
        <v>Escocia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3</v>
      </c>
      <c r="AS104" s="86">
        <f t="shared" ca="1" si="307"/>
        <v>3</v>
      </c>
      <c r="AT104" s="87">
        <f t="shared" ca="1" si="307"/>
        <v>0</v>
      </c>
      <c r="AU104" s="330">
        <f t="shared" ca="1" si="299"/>
        <v>1</v>
      </c>
      <c r="AV104" s="182" t="str">
        <f t="shared" ca="1" si="300"/>
        <v>Escocia</v>
      </c>
      <c r="AW104" s="215"/>
      <c r="AX104" s="170"/>
      <c r="AY104" s="276"/>
      <c r="AZ104" s="279" t="str">
        <f t="shared" ca="1" si="303"/>
        <v>1B - 3J</v>
      </c>
      <c r="BA104" s="176"/>
      <c r="BF104" t="str">
        <f t="shared" ca="1" si="304"/>
        <v>J</v>
      </c>
      <c r="BG104">
        <f t="shared" ca="1" si="305"/>
        <v>7</v>
      </c>
      <c r="BI104">
        <v>2</v>
      </c>
      <c r="BJ104" t="str">
        <f t="shared" ca="1" si="306"/>
        <v>C</v>
      </c>
    </row>
    <row r="105" spans="1:62" ht="16" customHeight="1">
      <c r="A105" s="16" t="s">
        <v>684</v>
      </c>
      <c r="B105" s="16" t="s">
        <v>734</v>
      </c>
      <c r="C105" s="16"/>
      <c r="D105" s="16" t="str">
        <f t="shared" ca="1" si="289"/>
        <v>Costa de Marfil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c r="AC105" s="92">
        <v>3</v>
      </c>
      <c r="AD105" s="92">
        <v>1</v>
      </c>
      <c r="AE105" s="89"/>
      <c r="AF105" s="91" t="str">
        <f t="shared" ca="1" si="293"/>
        <v>Noruega</v>
      </c>
      <c r="AG105" s="327">
        <f t="shared" ca="1" si="294"/>
        <v>1</v>
      </c>
      <c r="AH105" s="195">
        <v>78</v>
      </c>
      <c r="AI105" s="182">
        <v>4</v>
      </c>
      <c r="AJ105" s="42">
        <v>4</v>
      </c>
      <c r="AK105" s="602" t="str" cm="1">
        <f t="array" aca="1" ref="AK105" ca="1">Ver_flag_visit</f>
        <v/>
      </c>
      <c r="AL105" s="85" t="str">
        <f t="shared" ca="1" si="297"/>
        <v>Ecuador</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4</v>
      </c>
      <c r="AS105" s="86">
        <f t="shared" ca="1" si="308"/>
        <v>5</v>
      </c>
      <c r="AT105" s="87">
        <f t="shared" ca="1" si="308"/>
        <v>-1</v>
      </c>
      <c r="AU105" s="330">
        <f t="shared" ca="1" si="299"/>
        <v>1</v>
      </c>
      <c r="AV105" s="182" t="str">
        <f t="shared" ca="1" si="300"/>
        <v>Ecuador</v>
      </c>
      <c r="AW105" s="215"/>
      <c r="AX105" s="170"/>
      <c r="AY105" s="276"/>
      <c r="AZ105" s="279" t="str">
        <f t="shared" ca="1" si="303"/>
        <v>1D - 3B</v>
      </c>
      <c r="BA105" s="176"/>
      <c r="BF105" t="str">
        <f t="shared" ca="1" si="304"/>
        <v>C</v>
      </c>
      <c r="BG105">
        <f t="shared" ca="1" si="305"/>
        <v>2</v>
      </c>
      <c r="BI105">
        <v>3</v>
      </c>
      <c r="BJ105" t="str">
        <f t="shared" ca="1" si="306"/>
        <v>D</v>
      </c>
    </row>
    <row r="106" spans="1:62" ht="16"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4</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Suecia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4</v>
      </c>
      <c r="AS106" s="86">
        <f t="shared" ca="1" si="309"/>
        <v>6</v>
      </c>
      <c r="AT106" s="87">
        <f t="shared" ca="1" si="309"/>
        <v>-2</v>
      </c>
      <c r="AU106" s="330">
        <f t="shared" ca="1" si="299"/>
        <v>1</v>
      </c>
      <c r="AV106" s="182" t="str">
        <f t="shared" ca="1" si="300"/>
        <v>Suecia</v>
      </c>
      <c r="AW106" s="215"/>
      <c r="AX106" s="170"/>
      <c r="AY106" s="276"/>
      <c r="AZ106" s="279" t="str">
        <f t="shared" ca="1" si="303"/>
        <v>1E - 3D</v>
      </c>
      <c r="BA106" s="176"/>
      <c r="BF106" t="str">
        <f t="shared" ca="1" si="304"/>
        <v>E</v>
      </c>
      <c r="BG106">
        <f t="shared" ca="1" si="305"/>
        <v>4</v>
      </c>
      <c r="BI106">
        <v>4</v>
      </c>
      <c r="BJ106" t="str">
        <f t="shared" ca="1" si="306"/>
        <v>E</v>
      </c>
    </row>
    <row r="107" spans="1:62" ht="16" customHeight="1">
      <c r="A107" s="16" t="s">
        <v>656</v>
      </c>
      <c r="B107" s="16" t="s">
        <v>735</v>
      </c>
      <c r="C107" s="16"/>
      <c r="D107" s="16" t="str">
        <f t="shared" ca="1" si="289"/>
        <v>Escocia</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2</v>
      </c>
      <c r="AE107" s="89"/>
      <c r="AF107" s="91" t="str">
        <f t="shared" ca="1" si="293"/>
        <v>Escocia</v>
      </c>
      <c r="AG107" s="327">
        <f t="shared" ca="1" si="294"/>
        <v>1</v>
      </c>
      <c r="AH107" s="195">
        <v>79</v>
      </c>
      <c r="AI107" s="182">
        <v>6</v>
      </c>
      <c r="AJ107" s="42">
        <v>6</v>
      </c>
      <c r="AK107" s="602" t="str" cm="1">
        <f t="array" aca="1" ref="AK107" ca="1">Ver_flag_visit</f>
        <v/>
      </c>
      <c r="AL107" s="85" t="str">
        <f t="shared" ca="1" si="297"/>
        <v>Arabia Saudita</v>
      </c>
      <c r="AM107" s="589">
        <f t="shared" ca="1" si="301"/>
        <v>3</v>
      </c>
      <c r="AN107" s="86">
        <f t="shared" ref="AN107:AT107" ca="1" si="310">+IF($H$113&gt;=48,INDEX($BE$58:$BN$69,MATCH($AL107,$BD$58:$BD$69,0),MATCH(AN$5,$BE$57:$BN$57,0)),$BB63)</f>
        <v>3</v>
      </c>
      <c r="AO107" s="86">
        <f t="shared" ca="1" si="310"/>
        <v>0</v>
      </c>
      <c r="AP107" s="86">
        <f t="shared" ca="1" si="310"/>
        <v>3</v>
      </c>
      <c r="AQ107" s="86">
        <f t="shared" ca="1" si="310"/>
        <v>0</v>
      </c>
      <c r="AR107" s="86">
        <f t="shared" ca="1" si="310"/>
        <v>4</v>
      </c>
      <c r="AS107" s="86">
        <f t="shared" ca="1" si="310"/>
        <v>4</v>
      </c>
      <c r="AT107" s="87">
        <f t="shared" ca="1" si="310"/>
        <v>0</v>
      </c>
      <c r="AU107" s="330">
        <f t="shared" ca="1" si="299"/>
        <v>1</v>
      </c>
      <c r="AV107" s="182" t="str">
        <f ca="1">INDEX($BD$58:$BD$69,MATCH(AI107,$BM$58:$BM$69,0))</f>
        <v>Arabia Saudita</v>
      </c>
      <c r="AW107" s="215"/>
      <c r="AX107" s="170"/>
      <c r="AY107" s="276"/>
      <c r="AZ107" s="279" t="str">
        <f t="shared" ca="1" si="303"/>
        <v>1G - 3H</v>
      </c>
      <c r="BA107" s="176"/>
      <c r="BF107" t="str">
        <f t="shared" ca="1" si="304"/>
        <v>F</v>
      </c>
      <c r="BG107">
        <f t="shared" ca="1" si="305"/>
        <v>5</v>
      </c>
      <c r="BI107">
        <v>5</v>
      </c>
      <c r="BJ107" t="str">
        <f t="shared" ca="1" si="306"/>
        <v>F</v>
      </c>
    </row>
    <row r="108" spans="1:62" ht="16"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4</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RD Congo</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1</v>
      </c>
      <c r="AV108" s="182" t="str">
        <f t="shared" ca="1" si="300"/>
        <v>RD Congo</v>
      </c>
      <c r="AW108" s="215"/>
      <c r="AX108" s="170"/>
      <c r="AY108" s="276"/>
      <c r="AZ108" s="279" t="str">
        <f t="shared" ca="1" si="303"/>
        <v>1I - 3F</v>
      </c>
      <c r="BA108" s="176"/>
      <c r="BF108" t="str">
        <f t="shared" ca="1" si="304"/>
        <v>H</v>
      </c>
      <c r="BG108">
        <f t="shared" ca="1" si="305"/>
        <v>6</v>
      </c>
      <c r="BI108">
        <v>6</v>
      </c>
      <c r="BJ108" t="str">
        <f t="shared" ca="1" si="306"/>
        <v>H</v>
      </c>
    </row>
    <row r="109" spans="1:62" ht="16" customHeight="1">
      <c r="A109" s="16" t="s">
        <v>669</v>
      </c>
      <c r="B109" s="16" t="s">
        <v>737</v>
      </c>
      <c r="C109" s="16"/>
      <c r="D109" s="16" t="str">
        <f t="shared" ca="1" si="289"/>
        <v>Egipto</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Egipto</v>
      </c>
      <c r="AB109" s="89"/>
      <c r="AC109" s="92">
        <v>3</v>
      </c>
      <c r="AD109" s="92">
        <v>1</v>
      </c>
      <c r="AE109" s="89"/>
      <c r="AF109" s="91" t="str">
        <f t="shared" ca="1" si="293"/>
        <v>Arabia Saudita</v>
      </c>
      <c r="AG109" s="327">
        <f t="shared" ca="1" si="294"/>
        <v>1</v>
      </c>
      <c r="AH109" s="195">
        <v>82</v>
      </c>
      <c r="AI109" s="182">
        <v>8</v>
      </c>
      <c r="AJ109" s="42">
        <v>8</v>
      </c>
      <c r="AK109" s="602" t="str" cm="1">
        <f t="array" aca="1" ref="AK109" ca="1">Ver_flag_visit</f>
        <v/>
      </c>
      <c r="AL109" s="85" t="str">
        <f t="shared" ca="1" si="297"/>
        <v>Bosnia y Herzegovina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3</v>
      </c>
      <c r="AT109" s="87">
        <f t="shared" ca="1" si="312"/>
        <v>-1</v>
      </c>
      <c r="AU109" s="330">
        <f t="shared" ca="1" si="299"/>
        <v>1</v>
      </c>
      <c r="AV109" s="182" t="str">
        <f t="shared" ca="1" si="300"/>
        <v>Bosnia y Herzegovina</v>
      </c>
      <c r="AW109" s="215"/>
      <c r="AX109" s="170"/>
      <c r="AY109" s="276"/>
      <c r="AZ109" s="279" t="str">
        <f t="shared" ca="1" si="303"/>
        <v>1K - 3E</v>
      </c>
      <c r="BA109" s="176"/>
      <c r="BF109" t="str">
        <f t="shared" ca="1" si="304"/>
        <v>K</v>
      </c>
      <c r="BG109">
        <f t="shared" ca="1" si="305"/>
        <v>8</v>
      </c>
      <c r="BI109">
        <v>7</v>
      </c>
      <c r="BJ109" t="str">
        <f t="shared" ca="1" si="306"/>
        <v>J</v>
      </c>
    </row>
    <row r="110" spans="1:62" ht="16"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Egipto</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v>4</v>
      </c>
      <c r="AC110" s="92">
        <v>3</v>
      </c>
      <c r="AD110" s="92">
        <v>3</v>
      </c>
      <c r="AE110" s="89">
        <v>1</v>
      </c>
      <c r="AF110" s="91" t="str">
        <f t="shared" ca="1" si="293"/>
        <v>Bosnia y Herzegovina</v>
      </c>
      <c r="AG110" s="327">
        <f t="shared" ca="1" si="294"/>
        <v>1</v>
      </c>
      <c r="AH110" s="195">
        <v>81</v>
      </c>
      <c r="AI110" s="182">
        <v>9</v>
      </c>
      <c r="AJ110" s="42">
        <v>9</v>
      </c>
      <c r="AK110" s="602" t="str" cm="1">
        <f t="array" aca="1" ref="AK110" ca="1">Ver_flag_visit</f>
        <v/>
      </c>
      <c r="AL110" s="85" t="str">
        <f t="shared" ca="1" si="297"/>
        <v>Ghana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5</v>
      </c>
      <c r="AT110" s="87">
        <f t="shared" ca="1" si="313"/>
        <v>-2</v>
      </c>
      <c r="AU110" s="330">
        <f t="shared" ca="1" si="299"/>
        <v>1</v>
      </c>
      <c r="AV110" s="182" t="str">
        <f t="shared" ca="1" si="300"/>
        <v>Ghana</v>
      </c>
      <c r="AW110" s="215"/>
      <c r="AX110" s="170"/>
      <c r="AY110" s="276"/>
      <c r="AZ110" s="279" t="str">
        <f t="shared" ca="1" si="303"/>
        <v>1L - 3K</v>
      </c>
      <c r="BA110" s="176"/>
      <c r="BF110" t="str">
        <f t="shared" ca="1" si="304"/>
        <v>B</v>
      </c>
      <c r="BG110">
        <f t="shared" ca="1" si="305"/>
        <v>1</v>
      </c>
      <c r="BI110">
        <v>8</v>
      </c>
      <c r="BJ110" t="str">
        <f t="shared" ca="1" si="306"/>
        <v>K</v>
      </c>
    </row>
    <row r="111" spans="1:62" ht="16"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1</v>
      </c>
      <c r="AE111" s="89"/>
      <c r="AF111" s="91" t="str">
        <f t="shared" ca="1" si="293"/>
        <v>Argelia</v>
      </c>
      <c r="AG111" s="327">
        <f t="shared" ca="1" si="294"/>
        <v>1</v>
      </c>
      <c r="AH111" s="195">
        <v>84</v>
      </c>
      <c r="AI111" s="182">
        <v>10</v>
      </c>
      <c r="AJ111" s="42">
        <v>10</v>
      </c>
      <c r="AK111" s="602" t="str" cm="1">
        <f t="array" aca="1" ref="AK111" ca="1">Ver_flag_visit</f>
        <v/>
      </c>
      <c r="AL111" s="85" t="str">
        <f t="shared" ca="1" si="297"/>
        <v>Senegal</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7</v>
      </c>
      <c r="AT111" s="87">
        <f t="shared" ca="1" si="314"/>
        <v>-5</v>
      </c>
      <c r="AU111" s="330">
        <f t="shared" ca="1" si="299"/>
        <v>1</v>
      </c>
      <c r="AV111" s="182" t="str">
        <f t="shared" ca="1" si="300"/>
        <v>Senegal</v>
      </c>
      <c r="AW111" s="215"/>
      <c r="AX111" s="170"/>
      <c r="AY111" s="275"/>
      <c r="AZ111" s="275"/>
      <c r="BA111" s="176"/>
      <c r="BI111" t="s">
        <v>87</v>
      </c>
    </row>
    <row r="112" spans="1:62" ht="16"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v>2</v>
      </c>
      <c r="AC112" s="92">
        <v>1</v>
      </c>
      <c r="AD112" s="92">
        <v>1</v>
      </c>
      <c r="AE112" s="89">
        <v>5</v>
      </c>
      <c r="AF112" s="91" t="str">
        <f t="shared" ca="1" si="293"/>
        <v>Croacia</v>
      </c>
      <c r="AG112" s="327">
        <f t="shared" ca="1" si="294"/>
        <v>1</v>
      </c>
      <c r="AH112" s="195">
        <v>83</v>
      </c>
      <c r="AI112" s="182">
        <v>11</v>
      </c>
      <c r="AJ112" s="42">
        <v>11</v>
      </c>
      <c r="AK112" s="602" t="str" cm="1">
        <f t="array" aca="1" ref="AK112" ca="1">Ver_flag_visit</f>
        <v/>
      </c>
      <c r="AL112" s="85" t="str">
        <f t="shared" ca="1" si="297"/>
        <v>República Checa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2</v>
      </c>
      <c r="AS112" s="86">
        <f t="shared" ca="1" si="315"/>
        <v>3</v>
      </c>
      <c r="AT112" s="87">
        <f t="shared" ca="1" si="315"/>
        <v>-1</v>
      </c>
      <c r="AU112" s="330">
        <f t="shared" ca="1" si="299"/>
        <v>1</v>
      </c>
      <c r="AV112" s="182" t="str">
        <f t="shared" ca="1" si="300"/>
        <v>República Checa</v>
      </c>
      <c r="AW112" s="215"/>
      <c r="AX112" s="170"/>
      <c r="AY112" s="275"/>
      <c r="AZ112" s="275"/>
      <c r="BA112" s="176"/>
      <c r="BI112" t="str">
        <f ca="1">IFERROR(CONCATENATE(BJ103,BJ104,BJ105,BJ106,BJ107,BJ108,BJ109,BJ110),"¿A/B/C/D/E/F/G/H/I/J/K/L?")</f>
        <v>BCDEFHJK</v>
      </c>
    </row>
    <row r="113" spans="1:59" ht="16"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3</v>
      </c>
      <c r="AD113" s="92">
        <v>1</v>
      </c>
      <c r="AE113" s="90"/>
      <c r="AF113" s="91" t="str">
        <f t="shared" ca="1" si="293"/>
        <v>Austria</v>
      </c>
      <c r="AG113" s="327">
        <f t="shared" ca="1" si="294"/>
        <v>1</v>
      </c>
      <c r="AH113" s="195">
        <v>85</v>
      </c>
      <c r="AI113" s="182">
        <v>12</v>
      </c>
      <c r="AJ113" s="44">
        <v>12</v>
      </c>
      <c r="AK113" s="604" t="str" cm="1">
        <f t="array" aca="1" ref="AK113" ca="1">Ver_flag_visit</f>
        <v/>
      </c>
      <c r="AL113" s="45" t="str">
        <f t="shared" ca="1" si="297"/>
        <v>Irán</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30">
        <f t="shared" ca="1" si="299"/>
        <v>1</v>
      </c>
      <c r="AV113" s="182" t="str">
        <f t="shared" ca="1" si="300"/>
        <v>Irán</v>
      </c>
      <c r="AW113" s="215"/>
      <c r="AX113" s="170"/>
      <c r="AY113" s="154"/>
      <c r="AZ113" s="155"/>
      <c r="BA113" s="176"/>
    </row>
    <row r="114" spans="1:59" ht="16" customHeight="1">
      <c r="A114" s="16" t="s">
        <v>687</v>
      </c>
      <c r="B114" s="16" t="s">
        <v>682</v>
      </c>
      <c r="C114" s="16"/>
      <c r="D114" s="16" t="str">
        <f t="shared" ca="1" si="289"/>
        <v>Bélgica</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1</v>
      </c>
      <c r="AD114" s="92">
        <v>3</v>
      </c>
      <c r="AE114" s="89"/>
      <c r="AF114" s="91" t="str">
        <f t="shared" ca="1" si="293"/>
        <v>Bélgica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Ecuador</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3</v>
      </c>
      <c r="AD116" s="277">
        <v>0</v>
      </c>
      <c r="AE116" s="94"/>
      <c r="AF116" s="95" t="str">
        <f t="shared" ca="1" si="293"/>
        <v>Ecuador</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3</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3H</v>
      </c>
    </row>
    <row r="122" spans="1:59" ht="16"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Costa de Marfil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0</v>
      </c>
      <c r="AE122" s="89"/>
      <c r="AF122" s="91" t="str">
        <f t="shared" ca="1" si="321"/>
        <v>Costa de Marfil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Escocia</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Escocia</v>
      </c>
      <c r="AB123" s="89">
        <v>3</v>
      </c>
      <c r="AC123" s="97">
        <v>2</v>
      </c>
      <c r="AD123" s="97">
        <v>2</v>
      </c>
      <c r="AE123" s="89">
        <v>5</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3E</v>
      </c>
    </row>
    <row r="124" spans="1:59" ht="16"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c r="A125" s="16" t="s">
        <v>751</v>
      </c>
      <c r="B125" s="16" t="s">
        <v>752</v>
      </c>
      <c r="C125" s="16"/>
      <c r="D125" s="16" t="str">
        <f t="shared" ca="1" si="317"/>
        <v>Egipto</v>
      </c>
      <c r="E125" s="16">
        <v>81</v>
      </c>
      <c r="F125" s="16">
        <v>82</v>
      </c>
      <c r="G125" s="16"/>
      <c r="H125" s="16"/>
      <c r="I125" s="16"/>
      <c r="J125" s="16">
        <v>94</v>
      </c>
      <c r="K125" s="16">
        <v>46209.875</v>
      </c>
      <c r="L125" s="16" t="s">
        <v>717</v>
      </c>
      <c r="M125" s="16" t="str">
        <f t="shared" ca="1" si="318"/>
        <v>Turquía</v>
      </c>
      <c r="N125" s="16" t="str">
        <f t="shared" ca="1" si="318"/>
        <v>Egipto</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v>3</v>
      </c>
      <c r="AC125" s="99">
        <v>1</v>
      </c>
      <c r="AD125" s="99">
        <v>1</v>
      </c>
      <c r="AE125" s="89">
        <v>4</v>
      </c>
      <c r="AF125" s="91" t="str">
        <f t="shared" ca="1" si="321"/>
        <v>Egipto</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Bélgica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2</v>
      </c>
      <c r="AE126" s="89"/>
      <c r="AF126" s="91" t="str">
        <f t="shared" ca="1" si="321"/>
        <v>Bélgica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2</v>
      </c>
      <c r="AD127" s="100">
        <v>4</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3</v>
      </c>
      <c r="AD131" s="96">
        <v>2</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Egipto</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Egipto</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2</v>
      </c>
      <c r="AC133" s="99">
        <v>3</v>
      </c>
      <c r="AD133" s="99">
        <v>3</v>
      </c>
      <c r="AE133" s="89">
        <v>5</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3</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c r="AC139" s="100">
        <v>2</v>
      </c>
      <c r="AD139" s="100">
        <v>0</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v>4</v>
      </c>
      <c r="AC143" s="105">
        <v>2</v>
      </c>
      <c r="AD143" s="105">
        <v>2</v>
      </c>
      <c r="AE143" s="216">
        <v>2</v>
      </c>
      <c r="AF143" s="106" t="str">
        <f ca="1">IF(AND(OR(AC139="",AD139="")),"L102",IF(AC139&gt;AD139,AF139,IF(AC139&lt;AD139,AA139,IF(AND(AC139=AD139,AB139=AE139),"L102",IF(AND(AC139=AD139,OR(AB139="",AE139="")),"L102",IF(AND(AC139=AD139,AB139&gt;AE139),AF139,AA139))))))</f>
        <v>Portugal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771</v>
      </c>
      <c r="B147" s="16" t="s">
        <v>772</v>
      </c>
      <c r="C147" s="16"/>
      <c r="D147" s="16" t="str">
        <f ca="1">IF(AND(OR(AC147="",AD147="")),"W"&amp;AH147,IF(AC147&gt;AD147,AA147,IF(AC147&lt;AD147,AF147,IF(AND(AC147=AD147,AB147=AE147),"W"&amp;AH147,IF(AND(AC147=AD147,OR(AB147="",AE147="")),"W"&amp;AH147,IF(AND(AC147=AD147,AB147&gt;AE147),AA147,AF147))))))</f>
        <v>Inglaterra</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727</v>
      </c>
      <c r="M147" s="16" t="str">
        <f ca="1">+INDEX($D$101:$D$147,MATCH(E147,$AH$101:$AH$147,0))</f>
        <v>Francia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3</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Inglaterra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Francia</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c r="A2" s="290"/>
      <c r="B2" s="291"/>
      <c r="C2" s="291"/>
      <c r="D2" s="368"/>
      <c r="E2" s="701"/>
      <c r="F2" s="701"/>
      <c r="G2" s="701"/>
      <c r="H2" s="701"/>
      <c r="I2" s="701"/>
      <c r="J2" s="701"/>
      <c r="K2" s="701"/>
      <c r="L2" s="701"/>
      <c r="M2" s="701"/>
      <c r="N2" s="701"/>
    </row>
    <row r="3" spans="1:14" ht="3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Lucas</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2|0-4</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1|3-1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2|1-3</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1|2-1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1|3-1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2|1-3</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1|4-0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1|2-1</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1|3-2</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1|3-0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X|0-0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2|0-1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1|3-1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X|1-1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1|3-1</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X|2-2</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1|1-0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1|1-0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1|3-0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2|1-3</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2|1-4</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X|2-2</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1|3-1</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1|3-1</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2|0-2</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1|3-1</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X|1-1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X|2-2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1|3-1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2|1-3</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X|2-2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X|2-2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1|3-1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2|2-3</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X|2-2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1|1-0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2|1-3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1|3-0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Egipto</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Bélgica</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Argelia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Austria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Egipto</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Australia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Argelia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Austria</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Bélgica</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Ecuador</v>
      </c>
      <c r="D161" s="694"/>
      <c r="E161" s="372"/>
      <c r="F161" s="372"/>
      <c r="G161" s="372"/>
      <c r="H161" s="372"/>
      <c r="I161" s="382"/>
      <c r="J161" s="383"/>
      <c r="K161" s="372"/>
      <c r="L161" s="372"/>
      <c r="M161" s="384"/>
      <c r="N161" s="377"/>
    </row>
    <row r="162" spans="1:14" ht="20"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Sur-Canadá·2|1-3</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Brasil-Japón·X|2-2</v>
      </c>
      <c r="D165" s="692"/>
      <c r="E165" s="711"/>
      <c r="F165" s="711"/>
      <c r="G165" s="711"/>
      <c r="H165" s="711"/>
      <c r="I165" s="352"/>
      <c r="J165" s="370"/>
      <c r="K165" s="370"/>
      <c r="L165" s="370"/>
      <c r="M165" s="386"/>
      <c r="N165" s="377"/>
    </row>
    <row r="166" spans="1:14" ht="15" customHeight="1">
      <c r="A166" s="690"/>
      <c r="B166" s="360" t="str">
        <f ca="1">CONCATENATE(WORLDCUP!AA103,"-",WORLDCUP!AF103)</f>
        <v>Alemania-Australia</v>
      </c>
      <c r="C166" s="349" t="str">
        <f ca="1">CONCATENATE(WORLDCUP!AA103,"-",WORLDCUP!AF103,"·",IF(WORLDCUP!AC103&gt;WORLDCUP!AD103,1,IF(WORLDCUP!AC103&lt;WORLDCUP!AD103,2,IF(AND(WORLDCUP!AC103=WORLDCUP!AD103,WORLDCUP!AC103&lt;&gt;"",WORLDCUP!AD103&lt;&gt;""),"X",0))),"|",WORLDCUP!AC103,"-",WORLDCUP!AD103)</f>
        <v>Alemania-Australia·1|3-0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Bajos-Marruecos·2|2-3</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Marfil-Noruega·1|3-1</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Francia-Suecia·1|4-0</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México-Escocia·2|1-2</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Congo·1|4-0</v>
      </c>
      <c r="D171" s="692"/>
      <c r="E171" s="370"/>
      <c r="F171" s="370"/>
      <c r="G171" s="370"/>
      <c r="H171" s="370"/>
      <c r="I171" s="352"/>
      <c r="J171" s="370"/>
      <c r="K171" s="370"/>
      <c r="L171" s="370"/>
      <c r="M171" s="386"/>
      <c r="N171" s="377"/>
    </row>
    <row r="172" spans="1:14" ht="15" customHeight="1">
      <c r="A172" s="690"/>
      <c r="B172" s="360" t="str">
        <f ca="1">CONCATENATE(WORLDCUP!AA109,"-",WORLDCUP!AF109)</f>
        <v>Egipto-Arabia Saudita</v>
      </c>
      <c r="C172" s="349" t="str">
        <f ca="1">CONCATENATE(WORLDCUP!AA109,"-",WORLDCUP!AF109,"·",IF(WORLDCUP!AC109&gt;WORLDCUP!AD109,1,IF(WORLDCUP!AC109&lt;WORLDCUP!AD109,2,IF(AND(WORLDCUP!AC109=WORLDCUP!AD109,WORLDCUP!AC109&lt;&gt;"",WORLDCUP!AD109&lt;&gt;""),"X",0))),"|",WORLDCUP!AC109,"-",WORLDCUP!AD109)</f>
        <v>Egipto-Arabia Saudita·1|3-1</v>
      </c>
      <c r="D172" s="692"/>
      <c r="E172" s="370"/>
      <c r="F172" s="370"/>
      <c r="G172" s="370"/>
      <c r="H172" s="370"/>
      <c r="I172" s="352"/>
      <c r="J172" s="370"/>
      <c r="K172" s="370"/>
      <c r="L172" s="370"/>
      <c r="M172" s="386"/>
      <c r="N172" s="377"/>
    </row>
    <row r="173" spans="1:14" ht="15" customHeight="1">
      <c r="A173" s="690"/>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Herzegovina·X|3-3</v>
      </c>
      <c r="D173" s="692"/>
      <c r="E173" s="370"/>
      <c r="F173" s="370"/>
      <c r="G173" s="370"/>
      <c r="H173" s="370"/>
      <c r="I173" s="352"/>
      <c r="J173" s="370"/>
      <c r="K173" s="370"/>
      <c r="L173" s="370"/>
      <c r="M173" s="386"/>
      <c r="N173" s="377"/>
    </row>
    <row r="174" spans="1:14" ht="15" customHeight="1">
      <c r="A174" s="690"/>
      <c r="B174" s="360" t="str">
        <f ca="1">CONCATENATE(WORLDCUP!AA111,"-",WORLDCUP!AF111)</f>
        <v>España-Argelia</v>
      </c>
      <c r="C174" s="349" t="str">
        <f ca="1">CONCATENATE(WORLDCUP!AA111,"-",WORLDCUP!AF111,"·",IF(WORLDCUP!AC111&gt;WORLDCUP!AD111,1,IF(WORLDCUP!AC111&lt;WORLDCUP!AD111,2,IF(AND(WORLDCUP!AC111=WORLDCUP!AD111,WORLDCUP!AC111&lt;&gt;"",WORLDCUP!AD111&lt;&gt;""),"X",0))),"|",WORLDCUP!AC111,"-",WORLDCUP!AD111)</f>
        <v>España-Argelia·1|3-1</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Colombia-Croacia·X|1-1</v>
      </c>
      <c r="D175" s="692"/>
      <c r="E175" s="370"/>
      <c r="F175" s="370"/>
      <c r="G175" s="370"/>
      <c r="H175" s="370"/>
      <c r="I175" s="352"/>
      <c r="J175" s="370"/>
      <c r="K175" s="370"/>
      <c r="L175" s="370"/>
      <c r="M175" s="386"/>
      <c r="N175" s="377"/>
    </row>
    <row r="176" spans="1:14" ht="15" customHeight="1">
      <c r="A176" s="690"/>
      <c r="B176" s="360" t="str">
        <f ca="1">CONCATENATE(WORLDCUP!AA113,"-",WORLDCUP!AF113)</f>
        <v>Suiza-Austria</v>
      </c>
      <c r="C176" s="349" t="str">
        <f ca="1">CONCATENATE(WORLDCUP!AA113,"-",WORLDCUP!AF113,"·",IF(WORLDCUP!AC113&gt;WORLDCUP!AD113,1,IF(WORLDCUP!AC113&lt;WORLDCUP!AD113,2,IF(AND(WORLDCUP!AC113=WORLDCUP!AD113,WORLDCUP!AC113&lt;&gt;"",WORLDCUP!AD113&lt;&gt;""),"X",0))),"|",WORLDCUP!AC113,"-",WORLDCUP!AD113)</f>
        <v>Suiza-Austria·1|3-1</v>
      </c>
      <c r="D176" s="692"/>
      <c r="E176" s="370"/>
      <c r="F176" s="370"/>
      <c r="G176" s="370"/>
      <c r="H176" s="370"/>
      <c r="I176" s="352"/>
      <c r="J176" s="370"/>
      <c r="K176" s="370"/>
      <c r="L176" s="370"/>
      <c r="M176" s="386"/>
      <c r="N176" s="377"/>
    </row>
    <row r="177" spans="1:14" ht="15" customHeight="1">
      <c r="A177" s="690"/>
      <c r="B177" s="360" t="str">
        <f ca="1">CONCATENATE(WORLDCUP!AA114,"-",WORLDCUP!AF114)</f>
        <v>Estados Unidos-Bélgica</v>
      </c>
      <c r="C177" s="349" t="str">
        <f ca="1">CONCATENATE(WORLDCUP!AA114,"-",WORLDCUP!AF114,"·",IF(WORLDCUP!AC114&gt;WORLDCUP!AD114,1,IF(WORLDCUP!AC114&lt;WORLDCUP!AD114,2,IF(AND(WORLDCUP!AC114=WORLDCUP!AD114,WORLDCUP!AC114&lt;&gt;"",WORLDCUP!AD114&lt;&gt;""),"X",0))),"|",WORLDCUP!AC114,"-",WORLDCUP!AD114)</f>
        <v>Estados Unidos-Bélgica·2|1-3</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92"/>
      <c r="E178" s="370"/>
      <c r="F178" s="370"/>
      <c r="G178" s="370"/>
      <c r="H178" s="370"/>
      <c r="I178" s="352"/>
      <c r="J178" s="370"/>
      <c r="K178" s="370"/>
      <c r="L178" s="370"/>
      <c r="M178" s="386"/>
      <c r="N178" s="377"/>
    </row>
    <row r="179" spans="1:14" ht="15" customHeight="1">
      <c r="A179" s="690"/>
      <c r="B179" s="360" t="str">
        <f ca="1">CONCATENATE(WORLDCUP!AA116,"-",WORLDCUP!AF116)</f>
        <v>Portugal-Ecuador</v>
      </c>
      <c r="C179" s="349" t="str">
        <f ca="1">CONCATENATE(WORLDCUP!AA116,"-",WORLDCUP!AF116,"·",IF(WORLDCUP!AC116&gt;WORLDCUP!AD116,1,IF(WORLDCUP!AC116&lt;WORLDCUP!AD116,2,IF(AND(WORLDCUP!AC116=WORLDCUP!AD116,WORLDCUP!AC116&lt;&gt;"",WORLDCUP!AD116&lt;&gt;""),"X",0))),"|",WORLDCUP!AC116,"-",WORLDCUP!AD116)</f>
        <v>Portugal-Ecuador·1|3-0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Escocia</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Costa de Marfil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Egipto</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Bélgica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Canadá-Marruecos·2|1-3</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Brasil-Costa de Marfil</v>
      </c>
      <c r="C202" s="351" t="str">
        <f ca="1">CONCATENATE(WORLDCUP!AA122,"-",WORLDCUP!AF122,"·",IF(WORLDCUP!AC122&gt;WORLDCUP!AD122,1,IF(WORLDCUP!AC122&lt;WORLDCUP!AD122,2,IF(AND(WORLDCUP!AC122=WORLDCUP!AD122,WORLDCUP!AC122&lt;&gt;"",WORLDCUP!AD122&lt;&gt;""),"X",0))),"|",WORLDCUP!AC122,"-",WORLDCUP!AD122)</f>
        <v>Brasil-Costa de Marfil·1|2-0</v>
      </c>
      <c r="D202" s="691"/>
      <c r="E202" s="686"/>
      <c r="F202" s="686"/>
      <c r="G202" s="686"/>
      <c r="H202" s="686"/>
      <c r="I202" s="352"/>
      <c r="J202" s="370"/>
      <c r="K202" s="370"/>
      <c r="L202" s="370"/>
      <c r="M202" s="386"/>
      <c r="N202" s="377"/>
    </row>
    <row r="203" spans="1:14" ht="15" customHeight="1">
      <c r="A203" s="690"/>
      <c r="B203" s="361" t="str">
        <f ca="1">CONCATENATE(WORLDCUP!AA123,"-",WORLDCUP!AF123)</f>
        <v>Escocia-Inglaterra</v>
      </c>
      <c r="C203" s="351" t="str">
        <f ca="1">CONCATENATE(WORLDCUP!AA123,"-",WORLDCUP!AF123,"·",IF(WORLDCUP!AC123&gt;WORLDCUP!AD123,1,IF(WORLDCUP!AC123&lt;WORLDCUP!AD123,2,IF(AND(WORLDCUP!AC123=WORLDCUP!AD123,WORLDCUP!AC123&lt;&gt;"",WORLDCUP!AD123&lt;&gt;""),"X",0))),"|",WORLDCUP!AC123,"-",WORLDCUP!AD123)</f>
        <v>Escocia-Inglaterra·X|2-2</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Croacia-España·2|1-2</v>
      </c>
      <c r="D204" s="691"/>
      <c r="E204" s="352"/>
      <c r="F204" s="352"/>
      <c r="G204" s="352"/>
      <c r="H204" s="352"/>
      <c r="I204" s="352"/>
      <c r="J204" s="370"/>
      <c r="K204" s="370"/>
      <c r="L204" s="370"/>
      <c r="M204" s="386"/>
      <c r="N204" s="377"/>
    </row>
    <row r="205" spans="1:14" ht="15" customHeight="1">
      <c r="A205" s="690"/>
      <c r="B205" s="361" t="str">
        <f ca="1">CONCATENATE(WORLDCUP!AA125,"-",WORLDCUP!AF125)</f>
        <v>Turquía-Egipto</v>
      </c>
      <c r="C205" s="351" t="str">
        <f ca="1">CONCATENATE(WORLDCUP!AA125,"-",WORLDCUP!AF125,"·",IF(WORLDCUP!AC125&gt;WORLDCUP!AD125,1,IF(WORLDCUP!AC125&lt;WORLDCUP!AD125,2,IF(AND(WORLDCUP!AC125=WORLDCUP!AD125,WORLDCUP!AC125&lt;&gt;"",WORLDCUP!AD125&lt;&gt;""),"X",0))),"|",WORLDCUP!AC125,"-",WORLDCUP!AD125)</f>
        <v>Turquía-Egipto·X|1-1</v>
      </c>
      <c r="D205" s="691"/>
      <c r="E205" s="352"/>
      <c r="F205" s="352"/>
      <c r="G205" s="352"/>
      <c r="H205" s="352"/>
      <c r="I205" s="352"/>
      <c r="J205" s="370"/>
      <c r="K205" s="370"/>
      <c r="L205" s="370"/>
      <c r="M205" s="386"/>
      <c r="N205" s="377"/>
    </row>
    <row r="206" spans="1:14" ht="15" customHeight="1">
      <c r="A206" s="690"/>
      <c r="B206" s="361" t="str">
        <f ca="1">CONCATENATE(WORLDCUP!AA126,"-",WORLDCUP!AF126)</f>
        <v>Argentina-Bélgica</v>
      </c>
      <c r="C206" s="351" t="str">
        <f ca="1">CONCATENATE(WORLDCUP!AA126,"-",WORLDCUP!AF126,"·",IF(WORLDCUP!AC126&gt;WORLDCUP!AD126,1,IF(WORLDCUP!AC126&lt;WORLDCUP!AD126,2,IF(AND(WORLDCUP!AC126=WORLDCUP!AD126,WORLDCUP!AC126&lt;&gt;"",WORLDCUP!AD126&lt;&gt;""),"X",0))),"|",WORLDCUP!AC126,"-",WORLDCUP!AD126)</f>
        <v>Argentina-Bélgica·1|3-2</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Suiza-Portugal·2|2-4</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Egipto</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9">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Francia-Marruecos·1|3-2</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España-Egipto</v>
      </c>
      <c r="C221" s="349" t="str">
        <f ca="1">CONCATENATE(WORLDCUP!AA132,"-",WORLDCUP!AF132,"·",IF(WORLDCUP!AC132&gt;WORLDCUP!AD132,1,IF(WORLDCUP!AC132&lt;WORLDCUP!AD132,2,IF(AND(WORLDCUP!AC132=WORLDCUP!AD132,WORLDCUP!AC132&lt;&gt;"",WORLDCUP!AD132&lt;&gt;""),"X",0))),"|",WORLDCUP!AC132,"-",WORLDCUP!AD132)</f>
        <v>España-Egipto·1|2-0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Brasil-Inglaterra·X|3-3</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Argentina-Portugal·2|2-3</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9">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Francia-España·1|3-1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Inglaterra-Portugal·1|2-0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9">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Portugal</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Inglaterra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9">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España-Portugal</v>
      </c>
      <c r="C244" s="349" t="str">
        <f ca="1">CONCATENATE(WORLDCUP!AA143,"-",WORLDCUP!AF143,"·",IF(WORLDCUP!AC143&gt;WORLDCUP!AD143,1,IF(WORLDCUP!AC143&lt;WORLDCUP!AD143,2,IF(AND(WORLDCUP!AC143=WORLDCUP!AD143,WORLDCUP!AC143&lt;&gt;"",WORLDCUP!AD143&lt;&gt;""),"X",0))),"|",WORLDCUP!AC143,"-",WORLDCUP!AD143)</f>
        <v>España-Portugal·X|2-2</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Francia-Inglaterra</v>
      </c>
      <c r="C247" s="351" t="str">
        <f ca="1">CONCATENATE(WORLDCUP!AA147,"-",WORLDCUP!AF147,"·",IF(WORLDCUP!AC147&gt;WORLDCUP!AD147,1,IF(WORLDCUP!AC147&lt;WORLDCUP!AD147,2,IF(AND(WORLDCUP!AC147=WORLDCUP!AD147,WORLDCUP!AC147&lt;&gt;"",WORLDCUP!AD147&lt;&gt;""),"X",0))),"|",WORLDCUP!AC147,"-",WORLDCUP!AD147)</f>
        <v>Francia-Inglaterra·2|2-3</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Inglaterra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Francia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España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harry kane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Mbape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Hakimi</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messi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Vinicius jr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3</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6</v>
      </c>
      <c r="J4" s="450">
        <f ca="1">+INDEX(WORLDCUP!$AT$6:$AT$97,MATCH(L4,WORLDCUP!$AI$6:$AI$97,0))</f>
        <v>2</v>
      </c>
      <c r="K4" s="451" t="str">
        <f ca="1">+INDEX(WORLDCUP!$AR$6:$AR$97,MATCH(L4,WORLDCUP!$AI$6:$AI$97,0))&amp;"-"&amp;INDEX(WORLDCUP!$AS$6:$AS$97,MATCH(L4,WORLDCUP!$AI$6:$AI$97,0))</f>
        <v>4-2</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Egi</v>
      </c>
      <c r="U4" s="449">
        <f ca="1">+INDEX(WORLDCUP!$AM$6:$AM$97,MATCH(X4,WORLDCUP!$AI$6:$AI$97,0))</f>
        <v>9</v>
      </c>
      <c r="V4" s="450">
        <f ca="1">+INDEX(WORLDCUP!$AT$6:$AT$97,MATCH(X4,WORLDCUP!$AI$6:$AI$97,0))</f>
        <v>7</v>
      </c>
      <c r="W4" s="451" t="str">
        <f ca="1">+INDEX(WORLDCUP!$AR$6:$AR$97,MATCH(X4,WORLDCUP!$AI$6:$AI$97,0))&amp;"-"&amp;INDEX(WORLDCUP!$AS$6:$AS$97,MATCH(X4,WORLDCUP!$AI$6:$AI$97,0))</f>
        <v>10-3</v>
      </c>
      <c r="X4" s="181" t="s">
        <v>678</v>
      </c>
      <c r="Y4" s="181">
        <v>74</v>
      </c>
      <c r="Z4" s="425" t="s">
        <v>733</v>
      </c>
      <c r="AA4" s="426" t="str">
        <f ca="1">+MID(INDEX(WORLDCUP!$AF$101:$AF$147,MATCH(Y4,WORLDCUP!$Z$101:$Z$147,0)),1,IF(WORLDCUP!$H$113&lt;144,6,3))</f>
        <v>Aus</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0</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1</v>
      </c>
      <c r="K5" s="43" t="str">
        <f ca="1">+INDEX(WORLDCUP!$AR$6:$AR$97,MATCH(L5,WORLDCUP!$AI$6:$AI$97,0))&amp;"-"&amp;INDEX(WORLDCUP!$AS$6:$AS$97,MATCH(L5,WORLDCUP!$AI$6:$AI$97,0))</f>
        <v>4-3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Bél</v>
      </c>
      <c r="U5" s="38">
        <f ca="1">+INDEX(WORLDCUP!$AM$6:$AM$97,MATCH(X5,WORLDCUP!$AI$6:$AI$97,0))</f>
        <v>6</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c r="A6" s="181">
        <v>28</v>
      </c>
      <c r="B6" s="443"/>
      <c r="C6" s="444" t="str">
        <f ca="1">+MID(INDEX(WORLDCUP!$AA$4:$AA$147,MATCH(A6,WORLDCUP!$AH$4:$AH$147,0)),1,3)</f>
        <v>Méx</v>
      </c>
      <c r="D6" s="445">
        <f>IF(ISBLANK(INDEX(WORLDCUP!$AC$4:$AC$147,MATCH(A6,WORLDCUP!$AH$4:$AH$147,0))),"",INDEX(WORLDCUP!$AC$4:$AC$147,MATCH(A6,WORLDCUP!$AH$4:$AH$147,0)))</f>
        <v>0</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4</v>
      </c>
      <c r="R6" s="446" t="str">
        <f ca="1">+MID(INDEX(WORLDCUP!$AF$4:$AF$147,MATCH(M6,WORLDCUP!$AH$4:$AH$147,0)),1,3)</f>
        <v>Egi</v>
      </c>
      <c r="S6" s="467">
        <v>3</v>
      </c>
      <c r="T6" s="468" t="str">
        <f ca="1">+MID(INDEX(WORLDCUP!$AL$6:$AL$97,MATCH(X6,WORLDCUP!$AI$6:$AI$97,0)),1,3)</f>
        <v>Irá</v>
      </c>
      <c r="U6" s="38">
        <f ca="1">+INDEX(WORLDCUP!$AM$6:$AM$97,MATCH(X6,WORLDCUP!$AI$6:$AI$97,0))</f>
        <v>1</v>
      </c>
      <c r="V6" s="39">
        <f ca="1">+INDEX(WORLDCUP!$AT$6:$AT$97,MATCH(X6,WORLDCUP!$AI$6:$AI$97,0))</f>
        <v>-4</v>
      </c>
      <c r="W6" s="43" t="str">
        <f ca="1">+INDEX(WORLDCUP!$AR$6:$AR$97,MATCH(X6,WORLDCUP!$AI$6:$AI$97,0))&amp;"-"&amp;INDEX(WORLDCUP!$AS$6:$AS$97,MATCH(X6,WORLDCUP!$AI$6:$AI$97,0))</f>
        <v>1-5</v>
      </c>
      <c r="X6" s="181" t="s">
        <v>445</v>
      </c>
      <c r="Y6" s="181">
        <v>77</v>
      </c>
      <c r="Z6" s="425" t="s">
        <v>684</v>
      </c>
      <c r="AA6" s="426" t="str">
        <f ca="1">+MID(INDEX(WORLDCUP!$AA$101:$AA$147,MATCH(Y6,WORLDCUP!$Z$101:$Z$147,0)),1,3)</f>
        <v>Fra</v>
      </c>
      <c r="AB6" s="472">
        <f>+IF(ISBLANK(INDEX(WORLDCUP!$AC$101:$AC$147,MATCH(Y6,WORLDCUP!$Z$101:$Z$147,0))),"",INDEX(WORLDCUP!$AC$101:$AC$147,MATCH(Y6,WORLDCUP!$Z$101:$Z$147,0)))</f>
        <v>4</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2</v>
      </c>
      <c r="J7" s="478">
        <f ca="1">+INDEX(WORLDCUP!$AT$6:$AT$97,MATCH(L7,WORLDCUP!$AI$6:$AI$97,0))</f>
        <v>-2</v>
      </c>
      <c r="K7" s="479" t="str">
        <f ca="1">+INDEX(WORLDCUP!$AR$6:$AR$97,MATCH(L7,WORLDCUP!$AI$6:$AI$97,0))&amp;"-"&amp;INDEX(WORLDCUP!$AS$6:$AS$97,MATCH(L7,WORLDCUP!$AI$6:$AI$97,0))</f>
        <v>2-4</v>
      </c>
      <c r="L7" s="181" t="s">
        <v>658</v>
      </c>
      <c r="M7" s="181">
        <v>63</v>
      </c>
      <c r="N7" s="452"/>
      <c r="O7" s="444" t="str">
        <f ca="1">+MID(INDEX(WORLDCUP!$AA$4:$AA$147,MATCH(M7,WORLDCUP!$AH$4:$AH$147,0)),1,3)</f>
        <v>Egi</v>
      </c>
      <c r="P7" s="445">
        <f>IF(ISBLANK(INDEX(WORLDCUP!$AC$4:$AC$147,MATCH(M7,WORLDCUP!$AH$4:$AH$147,0))),"",INDEX(WORLDCUP!$AC$4:$AC$147,MATCH(M7,WORLDCUP!$AH$4:$AH$147,0)))</f>
        <v>3</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-5</v>
      </c>
      <c r="W7" s="479" t="str">
        <f ca="1">+INDEX(WORLDCUP!$AR$6:$AR$97,MATCH(X7,WORLDCUP!$AI$6:$AI$97,0))&amp;"-"&amp;INDEX(WORLDCUP!$AS$6:$AS$97,MATCH(X7,WORLDCUP!$AI$6:$AI$97,0))</f>
        <v>1-6</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6" thickBot="1">
      <c r="A8" s="181">
        <v>54</v>
      </c>
      <c r="B8" s="486"/>
      <c r="C8" s="487" t="str">
        <f ca="1">+MID(INDEX(WORLDCUP!$AA$4:$AA$147,MATCH(A8,WORLDCUP!$AH$4:$AH$147,0)),1,3)</f>
        <v>Sud</v>
      </c>
      <c r="D8" s="488">
        <f>IF(ISBLANK(INDEX(WORLDCUP!$AC$4:$AC$147,MATCH(A8,WORLDCUP!$AH$4:$AH$147,0))),"",INDEX(WORLDCUP!$AC$4:$AC$147,MATCH(A8,WORLDCUP!$AH$4:$AH$147,0)))</f>
        <v>2</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2</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3</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3</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4</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7</v>
      </c>
      <c r="K12" s="451" t="str">
        <f ca="1">+INDEX(WORLDCUP!$AR$6:$AR$97,MATCH(L12,WORLDCUP!$AI$6:$AI$97,0))&amp;"-"&amp;INDEX(WORLDCUP!$AS$6:$AS$97,MATCH(L12,WORLDCUP!$AI$6:$AI$97,0))</f>
        <v>8-1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4</v>
      </c>
      <c r="W12" s="451" t="str">
        <f ca="1">+INDEX(WORLDCUP!$AR$6:$AR$97,MATCH(X12,WORLDCUP!$AI$6:$AI$97,0))&amp;"-"&amp;INDEX(WORLDCUP!$AS$6:$AS$97,MATCH(X12,WORLDCUP!$AI$6:$AI$97,0))</f>
        <v>8-4</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6"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6-4</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2</v>
      </c>
      <c r="R13" s="446" t="str">
        <f ca="1">+MID(INDEX(WORLDCUP!$AF$4:$AF$147,MATCH(M13,WORLDCUP!$AH$4:$AH$147,0)),1,3)</f>
        <v>Ara</v>
      </c>
      <c r="S13" s="467">
        <v>2</v>
      </c>
      <c r="T13" s="468" t="str">
        <f ca="1">+MID(INDEX(WORLDCUP!$AL$6:$AL$97,MATCH(X13,WORLDCUP!$AI$6:$AI$97,0)),1,3)</f>
        <v>Uru</v>
      </c>
      <c r="U13" s="38">
        <f ca="1">+INDEX(WORLDCUP!$AM$6:$AM$97,MATCH(X13,WORLDCUP!$AI$6:$AI$97,0))</f>
        <v>4</v>
      </c>
      <c r="V13" s="39">
        <f ca="1">+INDEX(WORLDCUP!$AT$6:$AT$97,MATCH(X13,WORLDCUP!$AI$6:$AI$97,0))</f>
        <v>1</v>
      </c>
      <c r="W13" s="43" t="str">
        <f ca="1">+INDEX(WORLDCUP!$AR$6:$AR$97,MATCH(X13,WORLDCUP!$AI$6:$AI$97,0))&amp;"-"&amp;INDEX(WORLDCUP!$AS$6:$AS$97,MATCH(X13,WORLDCUP!$AI$6:$AI$97,0))</f>
        <v>6-5</v>
      </c>
      <c r="X13" s="181" t="s">
        <v>682</v>
      </c>
      <c r="Y13" s="181">
        <v>75</v>
      </c>
      <c r="Z13" s="425" t="s">
        <v>667</v>
      </c>
      <c r="AA13" s="480" t="str">
        <f ca="1">+MID(INDEX(WORLDCUP!$AF$101:$AF$147,MATCH(Y13,WORLDCUP!$Z$101:$Z$147,0)),1,3)</f>
        <v>Mar</v>
      </c>
      <c r="AB13" s="481">
        <f>+IF(ISBLANK(INDEX(WORLDCUP!$AD$101:$AD$147,MATCH(Y13,WORLDCUP!$Z$101:$Z$147,0))),"",INDEX(WORLDCUP!$AD$101:$AD$147,MATCH(Y13,WORLDCUP!$Z$101:$Z$147,0)))</f>
        <v>3</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0</v>
      </c>
      <c r="W14" s="43" t="str">
        <f ca="1">+INDEX(WORLDCUP!$AR$6:$AR$97,MATCH(X14,WORLDCUP!$AI$6:$AI$97,0))&amp;"-"&amp;INDEX(WORLDCUP!$AS$6:$AS$97,MATCH(X14,WORLDCUP!$AI$6:$AI$97,0))</f>
        <v>4-4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c r="A15" s="181">
        <v>51</v>
      </c>
      <c r="B15" s="504"/>
      <c r="C15" s="444" t="str">
        <f ca="1">+MID(INDEX(WORLDCUP!$AA$4:$AA$147,MATCH(A15,WORLDCUP!$AH$4:$AH$147,0)),1,3)</f>
        <v>Sui</v>
      </c>
      <c r="D15" s="445">
        <f>IF(ISBLANK(INDEX(WORLDCUP!$AC$4:$AC$147,MATCH(A15,WORLDCUP!$AH$4:$AH$147,0))),"",INDEX(WORLDCUP!$AC$4:$AC$147,MATCH(A15,WORLDCUP!$AH$4:$AH$147,0)))</f>
        <v>3</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-8</v>
      </c>
      <c r="K15" s="479" t="str">
        <f ca="1">+INDEX(WORLDCUP!$AR$6:$AR$97,MATCH(L15,WORLDCUP!$AI$6:$AI$97,0))&amp;"-"&amp;INDEX(WORLDCUP!$AS$6:$AS$97,MATCH(L15,WORLDCUP!$AI$6:$AI$97,0))</f>
        <v>1-9</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-5</v>
      </c>
      <c r="W15" s="479" t="str">
        <f ca="1">+INDEX(WORLDCUP!$AR$6:$AR$97,MATCH(X15,WORLDCUP!$AI$6:$AI$97,0))&amp;"-"&amp;INDEX(WORLDCUP!$AS$6:$AS$97,MATCH(X15,WORLDCUP!$AI$6:$AI$97,0))</f>
        <v>2-7</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( 2 )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2</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( 5 )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c r="A19" s="181">
        <v>7</v>
      </c>
      <c r="B19" s="518" t="s">
        <v>2</v>
      </c>
      <c r="C19" s="417" t="str">
        <f ca="1">+MID(INDEX(WORLDCUP!$AA$4:$AA$147,MATCH(A19,WORLDCUP!$AH$4:$AH$147,0)),1,3)</f>
        <v>Bra</v>
      </c>
      <c r="D19" s="418">
        <f>IF(ISBLANK(INDEX(WORLDCUP!$AC$4:$AC$147,MATCH(A19,WORLDCUP!$AH$4:$AH$147,0))),"",INDEX(WORLDCUP!$AC$4:$AC$147,MATCH(A19,WORLDCUP!$AH$4:$AH$147,0)))</f>
        <v>3</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4</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6</v>
      </c>
      <c r="W20" s="451" t="str">
        <f ca="1">+INDEX(WORLDCUP!$AR$6:$AR$97,MATCH(X20,WORLDCUP!$AI$6:$AI$97,0))&amp;"-"&amp;INDEX(WORLDCUP!$AS$6:$AS$97,MATCH(X20,WORLDCUP!$AI$6:$AI$97,0))</f>
        <v>8-2</v>
      </c>
      <c r="X20" s="181" t="s">
        <v>684</v>
      </c>
      <c r="Y20" s="181"/>
      <c r="Z20" s="425"/>
      <c r="AA20" s="494"/>
      <c r="AB20" s="494"/>
      <c r="AC20" s="494"/>
      <c r="AD20" s="181"/>
      <c r="AE20" s="429"/>
      <c r="AF20" s="429"/>
      <c r="AG20" s="475"/>
      <c r="AH20" s="181">
        <v>98</v>
      </c>
      <c r="AI20" s="483" t="str">
        <f ca="1">+MID(INDEX(WORLDCUP!$AF$101:$AF$147,MATCH(AH20,WORLDCUP!$Z$101:$Z$147,0)),1,3)</f>
        <v>Egi</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4</v>
      </c>
      <c r="J21" s="39">
        <f ca="1">+INDEX(WORLDCUP!$AT$6:$AT$97,MATCH(L21,WORLDCUP!$AI$6:$AI$97,0))</f>
        <v>2</v>
      </c>
      <c r="K21" s="43" t="str">
        <f ca="1">+INDEX(WORLDCUP!$AR$6:$AR$97,MATCH(L21,WORLDCUP!$AI$6:$AI$97,0))&amp;"-"&amp;INDEX(WORLDCUP!$AS$6:$AS$97,MATCH(L21,WORLDCUP!$AI$6:$AI$97,0))</f>
        <v>6-4</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7</v>
      </c>
      <c r="V21" s="39">
        <f ca="1">+INDEX(WORLDCUP!$AT$6:$AT$97,MATCH(X21,WORLDCUP!$AI$6:$AI$97,0))</f>
        <v>4</v>
      </c>
      <c r="W21" s="43" t="str">
        <f ca="1">+INDEX(WORLDCUP!$AR$6:$AR$97,MATCH(X21,WORLDCUP!$AI$6:$AI$97,0))&amp;"-"&amp;INDEX(WORLDCUP!$AS$6:$AS$97,MATCH(X21,WORLDCUP!$AI$6:$AI$97,0))</f>
        <v>7-3</v>
      </c>
      <c r="X21" s="181" t="s">
        <v>685</v>
      </c>
      <c r="Y21" s="181">
        <v>81</v>
      </c>
      <c r="Z21" s="425" t="s">
        <v>669</v>
      </c>
      <c r="AA21" s="426" t="str">
        <f ca="1">+MID(INDEX(WORLDCUP!$AA$101:$AA$147,MATCH(Y21,WORLDCUP!$Z$101:$Z$147,0)),1,3)</f>
        <v>Tur</v>
      </c>
      <c r="AB21" s="427">
        <f>+IF(ISBLANK(INDEX(WORLDCUP!$AC$101:$AC$147,MATCH(Y21,WORLDCUP!$Z$101:$Z$147,0))),"",INDEX(WORLDCUP!$AC$101:$AC$147,MATCH(Y21,WORLDCUP!$Z$101:$Z$147,0)))</f>
        <v>3</v>
      </c>
      <c r="AC21" s="498" t="str">
        <f>+IF(ISBLANK(INDEX(WORLDCUP!$AB$101:$AB$147,MATCH(Y21,WORLDCUP!$Z$101:$Z$147,0))),"","( "&amp;INDEX(WORLDCUP!$AB$101:$AB$147,MATCH(Y21,WORLDCUP!$Z$101:$Z$147,0))&amp;" )")</f>
        <v>( 4 )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Inglaterra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1</v>
      </c>
      <c r="F22" s="446" t="str">
        <f ca="1">+MID(INDEX(WORLDCUP!$AF$4:$AF$147,MATCH(A22,WORLDCUP!$AH$4:$AH$147,0)),1,3)</f>
        <v>Hai</v>
      </c>
      <c r="G22" s="467">
        <v>3</v>
      </c>
      <c r="H22" s="468" t="str">
        <f ca="1">+MID(INDEX(WORLDCUP!$AL$6:$AL$97,MATCH(L22,WORLDCUP!$AI$6:$AI$97,0)),1,3)</f>
        <v>Esc</v>
      </c>
      <c r="I22" s="38">
        <f ca="1">+INDEX(WORLDCUP!$AM$6:$AM$97,MATCH(L22,WORLDCUP!$AI$6:$AI$97,0))</f>
        <v>4</v>
      </c>
      <c r="J22" s="39">
        <f ca="1">+INDEX(WORLDCUP!$AT$6:$AT$97,MATCH(L22,WORLDCUP!$AI$6:$AI$97,0))</f>
        <v>0</v>
      </c>
      <c r="K22" s="43" t="str">
        <f ca="1">+INDEX(WORLDCUP!$AR$6:$AR$97,MATCH(L22,WORLDCUP!$AI$6:$AI$97,0))&amp;"-"&amp;INDEX(WORLDCUP!$AS$6:$AS$97,MATCH(L22,WORLDCUP!$AI$6:$AI$97,0))</f>
        <v>3-3</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-5</v>
      </c>
      <c r="W22" s="43" t="str">
        <f ca="1">+INDEX(WORLDCUP!$AR$6:$AR$97,MATCH(X22,WORLDCUP!$AI$6:$AI$97,0))&amp;"-"&amp;INDEX(WORLDCUP!$AS$6:$AS$97,MATCH(X22,WORLDCUP!$AI$6:$AI$97,0))</f>
        <v>2-7</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3</v>
      </c>
      <c r="AC22" s="454" t="str">
        <f>+IF(ISBLANK(INDEX(WORLDCUP!$AE$101:$AE$147,MATCH(Y22,WORLDCUP!$Z$101:$Z$147,0))),"","( "&amp;INDEX(WORLDCUP!$AE$101:$AE$147,MATCH(Y22,WORLDCUP!$Z$101:$Z$147,0))&amp;" )")</f>
        <v>( 1 )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( 3 )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0</v>
      </c>
      <c r="BK22" s="465">
        <f ca="1">COUNTIF(Pool!$C$210:$C$217,Fixture!BG22)-BL22-BM22-BN22-BO22</f>
        <v>1</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1-9</v>
      </c>
      <c r="L23" s="181" t="s">
        <v>668</v>
      </c>
      <c r="M23" s="181">
        <v>61</v>
      </c>
      <c r="N23" s="522"/>
      <c r="O23" s="444" t="str">
        <f ca="1">+MID(INDEX(WORLDCUP!$AA$4:$AA$147,MATCH(M23,WORLDCUP!$AH$4:$AH$147,0)),1,3)</f>
        <v>Nor</v>
      </c>
      <c r="P23" s="445">
        <f>IF(ISBLANK(INDEX(WORLDCUP!$AC$4:$AC$147,MATCH(M23,WORLDCUP!$AH$4:$AH$147,0))),"",INDEX(WORLDCUP!$AC$4:$AC$147,MATCH(M23,WORLDCUP!$AH$4:$AH$147,0)))</f>
        <v>2</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0-5</v>
      </c>
      <c r="X23" s="181" t="s">
        <v>686</v>
      </c>
      <c r="Y23" s="181"/>
      <c r="Z23" s="425"/>
      <c r="AA23" s="469"/>
      <c r="AB23" s="469"/>
      <c r="AC23" s="470"/>
      <c r="AD23" s="181">
        <v>94</v>
      </c>
      <c r="AE23" s="456" t="str">
        <f ca="1">+MID(INDEX(WORLDCUP!$AF$101:$AF$147,MATCH(AD23,WORLDCUP!$Z$101:$Z$147,0)),1,3)</f>
        <v>Egi</v>
      </c>
      <c r="AF23" s="457">
        <f>+IF(ISBLANK(INDEX(WORLDCUP!$AD$101:$AD$147,MATCH(AD23,WORLDCUP!$Z$101:$Z$147,0))),"",INDEX(WORLDCUP!$AD$101:$AD$147,MATCH(AD23,WORLDCUP!$Z$101:$Z$147,0)))</f>
        <v>1</v>
      </c>
      <c r="AG23" s="474" t="str">
        <f>+IF(ISBLANK(INDEX(WORLDCUP!$AE$101:$AE$147,MATCH(AD23,WORLDCUP!$Z$101:$Z$147,0))),"","( "&amp;INDEX(WORLDCUP!$AE$101:$AE$147,MATCH(AD23,WORLDCUP!$Z$101:$Z$147,0))&amp;" )")</f>
        <v>( 4 )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Francia</v>
      </c>
      <c r="BC23" s="529"/>
      <c r="BD23" s="153"/>
      <c r="BE23" s="153"/>
      <c r="BG23" s="462" t="str">
        <f ca="1">Horarios!Q22</f>
        <v>Escocia</v>
      </c>
      <c r="BH23" s="463">
        <f t="shared" ca="1" si="0"/>
        <v>0</v>
      </c>
      <c r="BI23" s="463">
        <f ca="1">COUNTIF(Pool!$C$130:$C$161,Fixture!BG23)-BJ23-BK23-BL23-BM23-BN23-BO23</f>
        <v>0</v>
      </c>
      <c r="BJ23" s="464">
        <f ca="1">COUNTIF(Pool!$C$182:$C$197,Fixture!BG23)-BK23-BL23-BM23-BN23-BO23</f>
        <v>1</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Egi</v>
      </c>
      <c r="AB24" s="472">
        <f>+IF(ISBLANK(INDEX(WORLDCUP!$AC$101:$AC$147,MATCH(Y24,WORLDCUP!$Z$101:$Z$147,0))),"",INDEX(WORLDCUP!$AC$101:$AC$147,MATCH(Y24,WORLDCUP!$Z$101:$Z$147,0)))</f>
        <v>3</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6"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Ara</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3</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1</v>
      </c>
      <c r="BO26" s="466">
        <f ca="1">COUNTIF(Pool!$C$250,Fixture!BG26)</f>
        <v>0</v>
      </c>
    </row>
    <row r="27" spans="1:67" ht="16"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( 5 )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3</v>
      </c>
      <c r="K28" s="451" t="str">
        <f ca="1">+INDEX(WORLDCUP!$AR$6:$AR$97,MATCH(L28,WORLDCUP!$AI$6:$AI$97,0))&amp;"-"&amp;INDEX(WORLDCUP!$AS$6:$AS$97,MATCH(L28,WORLDCUP!$AI$6:$AI$97,0))</f>
        <v>5-2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9-3</v>
      </c>
      <c r="X28" s="181" t="s">
        <v>687</v>
      </c>
      <c r="Y28" s="181">
        <v>76</v>
      </c>
      <c r="Z28" s="425" t="s">
        <v>676</v>
      </c>
      <c r="AA28" s="426" t="str">
        <f ca="1">+MID(INDEX(WORLDCUP!$AF$101:$AF$147,MATCH(Y28,WORLDCUP!$Z$101:$Z$147,0)),1,3)</f>
        <v>Jap</v>
      </c>
      <c r="AB28" s="453">
        <f>+IF(ISBLANK(INDEX(WORLDCUP!$AD$101:$AD$147,MATCH(Y28,WORLDCUP!$Z$101:$Z$147,0))),"",INDEX(WORLDCUP!$AD$101:$AD$147,MATCH(Y28,WORLDCUP!$Z$101:$Z$147,0)))</f>
        <v>2</v>
      </c>
      <c r="AC28" s="454" t="str">
        <f>+IF(ISBLANK(INDEX(WORLDCUP!$AE$101:$AE$147,MATCH(Y28,WORLDCUP!$Z$101:$Z$147,0))),"","( "&amp;INDEX(WORLDCUP!$AE$101:$AE$147,MATCH(Y28,WORLDCUP!$Z$101:$Z$147,0))&amp;" )")</f>
        <v>( 3 )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2</v>
      </c>
      <c r="F29" s="446" t="str">
        <f ca="1">+MID(INDEX(WORLDCUP!$AF$4:$AF$147,MATCH(A29,WORLDCUP!$AH$4:$AH$147,0)),1,3)</f>
        <v>Aus</v>
      </c>
      <c r="G29" s="467">
        <v>2</v>
      </c>
      <c r="H29" s="468" t="str">
        <f ca="1">+MID(INDEX(WORLDCUP!$AL$6:$AL$97,MATCH(L29,WORLDCUP!$AI$6:$AI$97,0)),1,3)</f>
        <v>Est</v>
      </c>
      <c r="I29" s="38">
        <f ca="1">+INDEX(WORLDCUP!$AM$6:$AM$97,MATCH(L29,WORLDCUP!$AI$6:$AI$97,0))</f>
        <v>5</v>
      </c>
      <c r="J29" s="39">
        <f ca="1">+INDEX(WORLDCUP!$AT$6:$AT$97,MATCH(L29,WORLDCUP!$AI$6:$AI$97,0))</f>
        <v>2</v>
      </c>
      <c r="K29" s="43" t="str">
        <f ca="1">+INDEX(WORLDCUP!$AR$6:$AR$97,MATCH(L29,WORLDCUP!$AI$6:$AI$97,0))&amp;"-"&amp;INDEX(WORLDCUP!$AS$6:$AS$97,MATCH(L29,WORLDCUP!$AI$6:$AI$97,0))</f>
        <v>5-3</v>
      </c>
      <c r="L29" s="181" t="s">
        <v>670</v>
      </c>
      <c r="M29" s="181">
        <v>43</v>
      </c>
      <c r="N29" s="545"/>
      <c r="O29" s="444" t="str">
        <f ca="1">+MID(INDEX(WORLDCUP!$AA$4:$AA$147,MATCH(M29,WORLDCUP!$AH$4:$AH$147,0)),1,3)</f>
        <v>Arg</v>
      </c>
      <c r="P29" s="445">
        <f>IF(ISBLANK(INDEX(WORLDCUP!$AC$4:$AC$147,MATCH(M29,WORLDCUP!$AH$4:$AH$147,0))),"",INDEX(WORLDCUP!$AC$4:$AC$147,MATCH(M29,WORLDCUP!$AH$4:$AH$147,0)))</f>
        <v>3</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Arg</v>
      </c>
      <c r="U29" s="38">
        <f ca="1">+INDEX(WORLDCUP!$AM$6:$AM$97,MATCH(X29,WORLDCUP!$AI$6:$AI$97,0))</f>
        <v>4</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Cos</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1</v>
      </c>
    </row>
    <row r="30" spans="1:67" ht="16"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Aus</v>
      </c>
      <c r="I30" s="38">
        <f ca="1">+INDEX(WORLDCUP!$AM$6:$AM$97,MATCH(L30,WORLDCUP!$AI$6:$AI$97,0))</f>
        <v>4</v>
      </c>
      <c r="J30" s="39">
        <f ca="1">+INDEX(WORLDCUP!$AT$6:$AT$97,MATCH(L30,WORLDCUP!$AI$6:$AI$97,0))</f>
        <v>0</v>
      </c>
      <c r="K30" s="43" t="str">
        <f ca="1">+INDEX(WORLDCUP!$AR$6:$AR$97,MATCH(L30,WORLDCUP!$AI$6:$AI$97,0))&amp;"-"&amp;INDEX(WORLDCUP!$AS$6:$AS$97,MATCH(L30,WORLDCUP!$AI$6:$AI$97,0))</f>
        <v>6-6</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Aus</v>
      </c>
      <c r="U30" s="38">
        <f ca="1">+INDEX(WORLDCUP!$AM$6:$AM$97,MATCH(X30,WORLDCUP!$AI$6:$AI$97,0))</f>
        <v>4</v>
      </c>
      <c r="V30" s="39">
        <f ca="1">+INDEX(WORLDCUP!$AT$6:$AT$97,MATCH(X30,WORLDCUP!$AI$6:$AI$97,0))</f>
        <v>0</v>
      </c>
      <c r="W30" s="43" t="str">
        <f ca="1">+INDEX(WORLDCUP!$AR$6:$AR$97,MATCH(X30,WORLDCUP!$AI$6:$AI$97,0))&amp;"-"&amp;INDEX(WORLDCUP!$AS$6:$AS$97,MATCH(X30,WORLDCUP!$AI$6:$AI$97,0))</f>
        <v>4-4</v>
      </c>
      <c r="X30" s="181" t="s">
        <v>451</v>
      </c>
      <c r="Y30" s="181">
        <v>78</v>
      </c>
      <c r="Z30" s="425" t="s">
        <v>673</v>
      </c>
      <c r="AA30" s="426" t="str">
        <f ca="1">+MID(INDEX(WORLDCUP!$AA$101:$AA$147,MATCH(Y30,WORLDCUP!$Z$101:$Z$147,0)),1,3)</f>
        <v>Cos</v>
      </c>
      <c r="AB30" s="472">
        <f>+IF(ISBLANK(INDEX(WORLDCUP!$AC$101:$AC$147,MATCH(Y30,WORLDCUP!$Z$101:$Z$147,0))),"",INDEX(WORLDCUP!$AC$101:$AC$147,MATCH(Y30,WORLDCUP!$Z$101:$Z$147,0)))</f>
        <v>3</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-5</v>
      </c>
      <c r="K31" s="479" t="str">
        <f ca="1">+INDEX(WORLDCUP!$AR$6:$AR$97,MATCH(L31,WORLDCUP!$AI$6:$AI$97,0))&amp;"-"&amp;INDEX(WORLDCUP!$AS$6:$AS$97,MATCH(L31,WORLDCUP!$AI$6:$AI$97,0))</f>
        <v>1-6</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-7</v>
      </c>
      <c r="W31" s="479" t="str">
        <f ca="1">+INDEX(WORLDCUP!$AR$6:$AR$97,MATCH(X31,WORLDCUP!$AI$6:$AI$97,0))&amp;"-"&amp;INDEX(WORLDCUP!$AS$6:$AS$97,MATCH(X31,WORLDCUP!$AI$6:$AI$97,0))</f>
        <v>1-8</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3</v>
      </c>
      <c r="AK31" s="485" t="str">
        <f>+IF(ISBLANK(INDEX(WORLDCUP!$AB$101:$AB$147,MATCH(AH31,WORLDCUP!$Z$101:$Z$147,0))),"","( "&amp;INDEX(WORLDCUP!$AB$101:$AB$147,MATCH(AH31,WORLDCUP!$Z$101:$Z$147,0))&amp;" )")</f>
        <v>( 2 )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( 4 )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3</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3</v>
      </c>
      <c r="AK32" s="495" t="str">
        <f>+IF(ISBLANK(INDEX(WORLDCUP!$AE$101:$AE$147,MATCH(AH32,WORLDCUP!$Z$101:$Z$147,0))),"","( "&amp;INDEX(WORLDCUP!$AE$101:$AE$147,MATCH(AH32,WORLDCUP!$Z$101:$Z$147,0))&amp;" )")</f>
        <v>( 5 )</v>
      </c>
      <c r="AL32" s="181"/>
      <c r="AM32" s="431"/>
      <c r="AN32" s="431"/>
      <c r="AO32" s="512"/>
      <c r="AP32" s="415">
        <v>103</v>
      </c>
      <c r="AQ32" s="547" t="str">
        <f ca="1">+MID(INDEX(WORLDCUP!$AF$101:$AF$147,MATCH(AP32,WORLDCUP!$Z$101:$Z$147,0)),1,4)</f>
        <v>Port</v>
      </c>
      <c r="AR32" s="548">
        <f>+IF(ISBLANK(INDEX(WORLDCUP!$AD$101:$AD$147,MATCH(AP32,WORLDCUP!$Z$101:$Z$147,0))),"",INDEX(WORLDCUP!$AD$101:$AD$147,MATCH(AP32,WORLDCUP!$Z$101:$Z$147,0)))</f>
        <v>2</v>
      </c>
      <c r="AS32" s="460" t="str">
        <f>+IF(ISBLANK(INDEX(WORLDCUP!$AE$101:$AE$147,MATCH(AP32,WORLDCUP!$Z$101:$Z$147,0))),"","( "&amp;INDEX(WORLDCUP!$AE$101:$AE$147,MATCH(AP32,WORLDCUP!$Z$101:$Z$147,0))&amp;" )")</f>
        <v>( 2 )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2</v>
      </c>
      <c r="AC34" s="454" t="str">
        <f>+IF(ISBLANK(INDEX(WORLDCUP!$AE$101:$AE$147,MATCH(Y34,WORLDCUP!$Z$101:$Z$147,0))),"","( "&amp;INDEX(WORLDCUP!$AE$101:$AE$147,MATCH(Y34,WORLDCUP!$Z$101:$Z$147,0))&amp;" )")</f>
        <v/>
      </c>
      <c r="AD34" s="455">
        <v>92</v>
      </c>
      <c r="AE34" s="456" t="str">
        <f ca="1">+MID(INDEX(WORLDCUP!$AA$101:$AA$147,MATCH(AD34,WORLDCUP!$Z$101:$Z$147,0)),1,3)</f>
        <v>Esc</v>
      </c>
      <c r="AF34" s="457">
        <f>+IF(ISBLANK(INDEX(WORLDCUP!$AC$101:$AC$147,MATCH(AD34,WORLDCUP!$Z$101:$Z$147,0))),"",INDEX(WORLDCUP!$AC$101:$AC$147,MATCH(AD34,WORLDCUP!$Z$101:$Z$147,0)))</f>
        <v>2</v>
      </c>
      <c r="AG34" s="501" t="str">
        <f>+IF(ISBLANK(INDEX(WORLDCUP!$AB$101:$AB$147,MATCH(AD34,WORLDCUP!$Z$101:$Z$147,0))),"","( "&amp;INDEX(WORLDCUP!$AB$101:$AB$147,MATCH(AD34,WORLDCUP!$Z$101:$Z$147,0))&amp;" )")</f>
        <v>( 3 )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2</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( 5 )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c r="A36" s="181">
        <v>9</v>
      </c>
      <c r="B36" s="560"/>
      <c r="C36" s="444" t="str">
        <f ca="1">+MID(INDEX(WORLDCUP!$AA$4:$AA$147,MATCH(A36,WORLDCUP!$AH$4:$AH$147,0)),1,3)</f>
        <v>Cos</v>
      </c>
      <c r="D36" s="445">
        <f>IF(ISBLANK(INDEX(WORLDCUP!$AC$4:$AC$147,MATCH(A36,WORLDCUP!$AH$4:$AH$147,0))),"",INDEX(WORLDCUP!$AC$4:$AC$147,MATCH(A36,WORLDCUP!$AH$4:$AH$147,0)))</f>
        <v>3</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3</v>
      </c>
      <c r="K36" s="451" t="str">
        <f ca="1">+INDEX(WORLDCUP!$AR$6:$AR$97,MATCH(L36,WORLDCUP!$AI$6:$AI$97,0))&amp;"-"&amp;INDEX(WORLDCUP!$AS$6:$AS$97,MATCH(L36,WORLDCUP!$AI$6:$AI$97,0))</f>
        <v>6-3</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4</v>
      </c>
      <c r="W36" s="451" t="str">
        <f ca="1">+INDEX(WORLDCUP!$AR$6:$AR$97,MATCH(X36,WORLDCUP!$AI$6:$AI$97,0))&amp;"-"&amp;INDEX(WORLDCUP!$AS$6:$AS$97,MATCH(X36,WORLDCUP!$AI$6:$AI$97,0))</f>
        <v>7-3</v>
      </c>
      <c r="X36" s="181" t="s">
        <v>690</v>
      </c>
      <c r="Y36" s="181">
        <v>80</v>
      </c>
      <c r="Z36" s="425" t="s">
        <v>693</v>
      </c>
      <c r="AA36" s="426" t="str">
        <f ca="1">+MID(INDEX(WORLDCUP!$AA$101:$AA$147,MATCH(Y36,WORLDCUP!$Z$101:$Z$147,0)),1,3)</f>
        <v>Ing</v>
      </c>
      <c r="AB36" s="472">
        <f>+IF(ISBLANK(INDEX(WORLDCUP!$AC$101:$AC$147,MATCH(Y36,WORLDCUP!$Z$101:$Z$147,0))),"",INDEX(WORLDCUP!$AC$101:$AC$147,MATCH(Y36,WORLDCUP!$Z$101:$Z$147,0)))</f>
        <v>4</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3</v>
      </c>
      <c r="K37" s="43" t="str">
        <f ca="1">+INDEX(WORLDCUP!$AR$6:$AR$97,MATCH(L37,WORLDCUP!$AI$6:$AI$97,0))&amp;"-"&amp;INDEX(WORLDCUP!$AS$6:$AS$97,MATCH(L37,WORLDCUP!$AI$6:$AI$97,0))</f>
        <v>6-3</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1</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4-5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-1</v>
      </c>
      <c r="W38" s="43" t="str">
        <f ca="1">+INDEX(WORLDCUP!$AR$6:$AR$97,MATCH(X38,WORLDCUP!$AI$6:$AI$97,0))&amp;"-"&amp;INDEX(WORLDCUP!$AS$6:$AS$97,MATCH(X38,WORLDCUP!$AI$6:$AI$97,0))</f>
        <v>4-5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-5</v>
      </c>
      <c r="K39" s="479" t="str">
        <f ca="1">+INDEX(WORLDCUP!$AR$6:$AR$97,MATCH(L39,WORLDCUP!$AI$6:$AI$97,0))&amp;"-"&amp;INDEX(WORLDCUP!$AS$6:$AS$97,MATCH(L39,WORLDCUP!$AI$6:$AI$97,0))</f>
        <v>1-6</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-6</v>
      </c>
      <c r="W39" s="479" t="str">
        <f ca="1">+INDEX(WORLDCUP!$AR$6:$AR$97,MATCH(X39,WORLDCUP!$AI$6:$AI$97,0))&amp;"-"&amp;INDEX(WORLDCUP!$AS$6:$AS$97,MATCH(X39,WORLDCUP!$AI$6:$AI$97,0))</f>
        <v>2-8</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Bél</v>
      </c>
      <c r="AF41" s="457">
        <f>+IF(ISBLANK(INDEX(WORLDCUP!$AD$101:$AD$147,MATCH(AD41,WORLDCUP!$Z$101:$Z$147,0))),"",INDEX(WORLDCUP!$AD$101:$AD$147,MATCH(AD41,WORLDCUP!$Z$101:$Z$147,0)))</f>
        <v>2</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1</v>
      </c>
      <c r="BM41" s="463">
        <f ca="1">COUNTIF(Pool!$C$252,Fixture!BG41)</f>
        <v>0</v>
      </c>
      <c r="BN41" s="463">
        <f ca="1">COUNTIF(Pool!$C$251,Fixture!BG41)</f>
        <v>0</v>
      </c>
      <c r="BO41" s="466">
        <f ca="1">COUNTIF(Pool!$C$250,Fixture!BG41)</f>
        <v>0</v>
      </c>
    </row>
    <row r="42" spans="1:67" ht="16"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3</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Bél</v>
      </c>
      <c r="AB43" s="481">
        <f>+IF(ISBLANK(INDEX(WORLDCUP!$AD$101:$AD$147,MATCH(Y43,WORLDCUP!$Z$101:$Z$147,0))),"",INDEX(WORLDCUP!$AD$101:$AD$147,MATCH(Y43,WORLDCUP!$Z$101:$Z$147,0)))</f>
        <v>3</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5</v>
      </c>
      <c r="K44" s="451" t="str">
        <f ca="1">+INDEX(WORLDCUP!$AR$6:$AR$97,MATCH(L44,WORLDCUP!$AI$6:$AI$97,0))&amp;"-"&amp;INDEX(WORLDCUP!$AS$6:$AS$97,MATCH(L44,WORLDCUP!$AI$6:$AI$97,0))</f>
        <v>8-3</v>
      </c>
      <c r="L44" s="181" t="s">
        <v>675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8-3</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c r="A45" s="181">
        <v>35</v>
      </c>
      <c r="B45" s="567"/>
      <c r="C45" s="444" t="str">
        <f ca="1">+MID(INDEX(WORLDCUP!$AA$4:$AA$147,MATCH(A45,WORLDCUP!$AH$4:$AH$147,0)),1,3)</f>
        <v>Paí</v>
      </c>
      <c r="D45" s="445">
        <f>IF(ISBLANK(INDEX(WORLDCUP!$AC$4:$AC$147,MATCH(A45,WORLDCUP!$AH$4:$AH$147,0))),"",INDEX(WORLDCUP!$AC$4:$AC$147,MATCH(A45,WORLDCUP!$AH$4:$AH$147,0)))</f>
        <v>3</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2</v>
      </c>
      <c r="K45" s="43" t="str">
        <f ca="1">+INDEX(WORLDCUP!$AR$6:$AR$97,MATCH(L45,WORLDCUP!$AI$6:$AI$97,0))&amp;"-"&amp;INDEX(WORLDCUP!$AS$6:$AS$97,MATCH(L45,WORLDCUP!$AI$6:$AI$97,0))</f>
        <v>7-5</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4</v>
      </c>
      <c r="V45" s="39">
        <f ca="1">+INDEX(WORLDCUP!$AT$6:$AT$97,MATCH(X45,WORLDCUP!$AI$6:$AI$97,0))</f>
        <v>2</v>
      </c>
      <c r="W45" s="43" t="str">
        <f ca="1">+INDEX(WORLDCUP!$AR$6:$AR$97,MATCH(X45,WORLDCUP!$AI$6:$AI$97,0))&amp;"-"&amp;INDEX(WORLDCUP!$AS$6:$AS$97,MATCH(X45,WORLDCUP!$AI$6:$AI$97,0))</f>
        <v>6-4</v>
      </c>
      <c r="X45" s="181" t="s">
        <v>694</v>
      </c>
      <c r="Y45" s="181">
        <v>85</v>
      </c>
      <c r="Z45" s="425" t="s">
        <v>659</v>
      </c>
      <c r="AA45" s="426" t="str">
        <f ca="1">+MID(INDEX(WORLDCUP!$AA$101:$AA$147,MATCH(Y45,WORLDCUP!$Z$101:$Z$147,0)),1,3)</f>
        <v>Sui</v>
      </c>
      <c r="AB45" s="427">
        <f>+IF(ISBLANK(INDEX(WORLDCUP!$AC$101:$AC$147,MATCH(Y45,WORLDCUP!$Z$101:$Z$147,0))),"",INDEX(WORLDCUP!$AC$101:$AC$147,MATCH(Y45,WORLDCUP!$Z$101:$Z$147,0)))</f>
        <v>3</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-2</v>
      </c>
      <c r="K46" s="43" t="str">
        <f ca="1">+INDEX(WORLDCUP!$AR$6:$AR$97,MATCH(L46,WORLDCUP!$AI$6:$AI$97,0))&amp;"-"&amp;INDEX(WORLDCUP!$AS$6:$AS$97,MATCH(L46,WORLDCUP!$AI$6:$AI$97,0))</f>
        <v>4-6</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-2</v>
      </c>
      <c r="W46" s="43" t="str">
        <f ca="1">+INDEX(WORLDCUP!$AR$6:$AR$97,MATCH(X46,WORLDCUP!$AI$6:$AI$97,0))&amp;"-"&amp;INDEX(WORLDCUP!$AS$6:$AS$97,MATCH(X46,WORLDCUP!$AI$6:$AI$97,0))</f>
        <v>3-5</v>
      </c>
      <c r="X46" s="181" t="s">
        <v>453</v>
      </c>
      <c r="Y46" s="181">
        <v>85</v>
      </c>
      <c r="Z46" s="425" t="s">
        <v>739</v>
      </c>
      <c r="AA46" s="426" t="str">
        <f ca="1">+MID(INDEX(WORLDCUP!$AF$101:$AF$147,MATCH(Y46,WORLDCUP!$Z$101:$Z$147,0)),1,IF(WORLDCUP!$H$113&lt;144,6,3))</f>
        <v>Aus</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2</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3-8</v>
      </c>
      <c r="L47" s="181" t="s">
        <v>677</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-5</v>
      </c>
      <c r="W47" s="479" t="str">
        <f ca="1">+INDEX(WORLDCUP!$AR$6:$AR$97,MATCH(X47,WORLDCUP!$AI$6:$AI$97,0))&amp;"-"&amp;INDEX(WORLDCUP!$AS$6:$AS$97,MATCH(X47,WORLDCUP!$AI$6:$AI$97,0))</f>
        <v>2-7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4</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3</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Ecu</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RowHeight="15"/>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RowHeight="15"/>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Austria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Australia</v>
      </c>
      <c r="G3" s="9" t="str">
        <f ca="1">+WORLDCUP!BD67</f>
        <v>Austria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Austria</v>
      </c>
      <c r="E4" s="9" t="str">
        <f ca="1">+WORLDCUP!BD66</f>
        <v>Senegal</v>
      </c>
      <c r="F4" s="9" t="str">
        <f ca="1">+WORLDCUP!BD61</f>
        <v>Australia</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Austria</v>
      </c>
      <c r="E5" s="9" t="str">
        <f ca="1">+WORLDCUP!BD66</f>
        <v>Senegal</v>
      </c>
      <c r="F5" s="9" t="str">
        <f ca="1">+WORLDCUP!BD61</f>
        <v>Australia</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Australia</v>
      </c>
      <c r="G6" s="9" t="str">
        <f ca="1">+WORLDCUP!BD67</f>
        <v>Austria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Australia</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Austria</v>
      </c>
      <c r="F10" s="9" t="str">
        <f ca="1">+WORLDCUP!BD61</f>
        <v>Australia</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Austria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Austria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Austria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Austria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Austria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Australia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Austria</v>
      </c>
      <c r="E20" s="9" t="str">
        <f ca="1">+WORLDCUP!BD66</f>
        <v>Senegal</v>
      </c>
      <c r="F20" s="9" t="str">
        <f ca="1">+WORLDCUP!BD61</f>
        <v>Australia</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Australia</v>
      </c>
      <c r="G21" s="9" t="str">
        <f ca="1">+WORLDCUP!BD67</f>
        <v>Austria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Australia</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Austria</v>
      </c>
      <c r="F25" s="9" t="str">
        <f ca="1">+WORLDCUP!BD61</f>
        <v>Australia</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Austria</v>
      </c>
      <c r="E26" s="9" t="str">
        <f ca="1">+WORLDCUP!BD66</f>
        <v>Senegal</v>
      </c>
      <c r="F26" s="9" t="str">
        <f ca="1">+WORLDCUP!BD60</f>
        <v>Escocia</v>
      </c>
      <c r="G26" s="9" t="str">
        <f ca="1">+WORLDCUP!BD65</f>
        <v>Arabia Saudita</v>
      </c>
      <c r="H26" s="9" t="str">
        <f ca="1">+WORLDCUP!BD61</f>
        <v>Australia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Austria</v>
      </c>
      <c r="H27" s="9" t="str">
        <f ca="1">+WORLDCUP!BD61</f>
        <v>Australia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Austria</v>
      </c>
      <c r="F28" s="9" t="str">
        <f ca="1">+WORLDCUP!BD60</f>
        <v>Escocia</v>
      </c>
      <c r="G28" s="9" t="str">
        <f ca="1">+WORLDCUP!BD65</f>
        <v>Arabia Saudita</v>
      </c>
      <c r="H28" s="9" t="str">
        <f ca="1">+WORLDCUP!BD61</f>
        <v>Australia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Arabia Saudita</v>
      </c>
      <c r="H29" s="9" t="str">
        <f ca="1">+WORLDCUP!BD61</f>
        <v>Australia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Austria</v>
      </c>
      <c r="F30" s="9" t="str">
        <f ca="1">+WORLDCUP!BD60</f>
        <v>Escocia</v>
      </c>
      <c r="G30" s="9" t="str">
        <f ca="1">+WORLDCUP!BD65</f>
        <v>Arabia Saudita</v>
      </c>
      <c r="H30" s="9" t="str">
        <f ca="1">+WORLDCUP!BD61</f>
        <v>Australia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Austria</v>
      </c>
      <c r="F31" s="9" t="str">
        <f ca="1">+WORLDCUP!BD60</f>
        <v>Escocia</v>
      </c>
      <c r="G31" s="9" t="str">
        <f ca="1">+WORLDCUP!BD65</f>
        <v>Arabia Saudita</v>
      </c>
      <c r="H31" s="9" t="str">
        <f ca="1">+WORLDCUP!BD61</f>
        <v>Australia</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Austria</v>
      </c>
      <c r="E32" s="9" t="str">
        <f ca="1">+WORLDCUP!BD62</f>
        <v>Ecuador</v>
      </c>
      <c r="F32" s="9" t="str">
        <f ca="1">+WORLDCUP!BD61</f>
        <v>Australia</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Austria</v>
      </c>
      <c r="E33" s="9" t="str">
        <f ca="1">+WORLDCUP!BD62</f>
        <v>Ecuador</v>
      </c>
      <c r="F33" s="9" t="str">
        <f ca="1">+WORLDCUP!BD61</f>
        <v>Australia</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Australia</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Austria</v>
      </c>
      <c r="E35" s="9" t="str">
        <f ca="1">+WORLDCUP!BD62</f>
        <v>Ecuador</v>
      </c>
      <c r="F35" s="9" t="str">
        <f ca="1">+WORLDCUP!BD61</f>
        <v>Australia</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Austria</v>
      </c>
      <c r="E36" s="9" t="str">
        <f ca="1">+WORLDCUP!BD62</f>
        <v>Ecuador</v>
      </c>
      <c r="F36" s="9" t="str">
        <f ca="1">+WORLDCUP!BD61</f>
        <v>Australia</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Australia</v>
      </c>
      <c r="G37" s="9" t="str">
        <f ca="1">+WORLDCUP!BD67</f>
        <v>Austria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Australia</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Australia</v>
      </c>
      <c r="G39" s="9" t="str">
        <f ca="1">+WORLDCUP!BD67</f>
        <v>Austria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Australia</v>
      </c>
      <c r="G40" s="9" t="str">
        <f ca="1">+WORLDCUP!BD67</f>
        <v>Austria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Australia</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Austria</v>
      </c>
      <c r="F43" s="9" t="str">
        <f ca="1">+WORLDCUP!BD61</f>
        <v>Australia</v>
      </c>
      <c r="G43" s="9" t="str">
        <f ca="1">+WORLDCUP!BD65</f>
        <v>Arabia Saudita</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Australia</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Australia</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Austria</v>
      </c>
      <c r="F46" s="9" t="str">
        <f ca="1">+WORLDCUP!BD61</f>
        <v>Australia</v>
      </c>
      <c r="G46" s="9" t="str">
        <f ca="1">+WORLDCUP!BD65</f>
        <v>Arabia Saudita</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Austria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Austria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Austria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Austria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Austria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Austria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Austria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Austria</v>
      </c>
      <c r="E55" s="9" t="str">
        <f ca="1">+WORLDCUP!BD59</f>
        <v>Bosnia y Herzegovina</v>
      </c>
      <c r="F55" s="9" t="str">
        <f ca="1">+WORLDCUP!BD61</f>
        <v>Australia</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Austria</v>
      </c>
      <c r="E56" s="9" t="str">
        <f ca="1">+WORLDCUP!BD59</f>
        <v>Bosnia y Herzegovina</v>
      </c>
      <c r="F56" s="9" t="str">
        <f ca="1">+WORLDCUP!BD61</f>
        <v>Australia</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Australia</v>
      </c>
      <c r="G57" s="9" t="str">
        <f ca="1">+WORLDCUP!BD67</f>
        <v>Austria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Australia</v>
      </c>
      <c r="G58" s="9" t="str">
        <f ca="1">+WORLDCUP!BD67</f>
        <v>Austria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Australia</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Australia</v>
      </c>
      <c r="G60" s="9" t="str">
        <f ca="1">+WORLDCUP!BD67</f>
        <v>Austria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Australia</v>
      </c>
      <c r="G61" s="9" t="str">
        <f ca="1">+WORLDCUP!BD67</f>
        <v>Austria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Austria</v>
      </c>
      <c r="E62" s="9" t="str">
        <f ca="1">+WORLDCUP!BD59</f>
        <v>Bosnia y Herzegovina</v>
      </c>
      <c r="F62" s="9" t="str">
        <f ca="1">+WORLDCUP!BD61</f>
        <v>Australia</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Austria</v>
      </c>
      <c r="E63" s="9" t="str">
        <f ca="1">+WORLDCUP!BD59</f>
        <v>Bosnia y Herzegovina</v>
      </c>
      <c r="F63" s="9" t="str">
        <f ca="1">+WORLDCUP!BD61</f>
        <v>Australia</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Austria</v>
      </c>
      <c r="E64" s="9" t="str">
        <f ca="1">+WORLDCUP!BD59</f>
        <v>Bosnia y Herzegovina</v>
      </c>
      <c r="F64" s="9" t="str">
        <f ca="1">+WORLDCUP!BD61</f>
        <v>Australia</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Australia</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Austria</v>
      </c>
      <c r="E66" s="9" t="str">
        <f ca="1">+WORLDCUP!BD59</f>
        <v>Bosnia y Herzegovina</v>
      </c>
      <c r="F66" s="9" t="str">
        <f ca="1">+WORLDCUP!BD61</f>
        <v>Australia</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Austria</v>
      </c>
      <c r="E67" s="9" t="str">
        <f ca="1">+WORLDCUP!BD59</f>
        <v>Bosnia y Herzegovina</v>
      </c>
      <c r="F67" s="9" t="str">
        <f ca="1">+WORLDCUP!BD61</f>
        <v>Australia</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Austria</v>
      </c>
      <c r="E68" s="9" t="str">
        <f ca="1">+WORLDCUP!BD59</f>
        <v>Bosnia y Herzegovina</v>
      </c>
      <c r="F68" s="9" t="str">
        <f ca="1">+WORLDCUP!BD61</f>
        <v>Australia</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Austria</v>
      </c>
      <c r="E69" s="9" t="str">
        <f ca="1">+WORLDCUP!BD59</f>
        <v>Bosnia y Herzegovina</v>
      </c>
      <c r="F69" s="9" t="str">
        <f ca="1">+WORLDCUP!BD61</f>
        <v>Australia</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Australia</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Austria</v>
      </c>
      <c r="E71" s="9" t="str">
        <f ca="1">+WORLDCUP!BD59</f>
        <v>Bosnia y Herzegovina</v>
      </c>
      <c r="F71" s="9" t="str">
        <f ca="1">+WORLDCUP!BD61</f>
        <v>Australia</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Austria</v>
      </c>
      <c r="E72" s="9" t="str">
        <f ca="1">+WORLDCUP!BD59</f>
        <v>Bosnia y Herzegovina</v>
      </c>
      <c r="F72" s="9" t="str">
        <f ca="1">+WORLDCUP!BD61</f>
        <v>Australia</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Australia</v>
      </c>
      <c r="G73" s="9" t="str">
        <f ca="1">+WORLDCUP!BD67</f>
        <v>Austria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Australia</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Australia</v>
      </c>
      <c r="G75" s="9" t="str">
        <f ca="1">+WORLDCUP!BD67</f>
        <v>Austria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Australia</v>
      </c>
      <c r="G76" s="9" t="str">
        <f ca="1">+WORLDCUP!BD67</f>
        <v>Austria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Australia</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Australia</v>
      </c>
      <c r="G78" s="9" t="str">
        <f ca="1">+WORLDCUP!BD67</f>
        <v>Austria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Australia</v>
      </c>
      <c r="G79" s="9" t="str">
        <f ca="1">+WORLDCUP!BD67</f>
        <v>Austria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Australia</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Australia</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Australia</v>
      </c>
      <c r="G82" s="9" t="str">
        <f ca="1">+WORLDCUP!BD67</f>
        <v>Austria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Austria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Austria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Austria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Australia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Australia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Australia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Australia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Australia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Australia</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Austria</v>
      </c>
      <c r="E117" s="9" t="str">
        <f ca="1">+WORLDCUP!BD59</f>
        <v>Bosnia y Herzegovina</v>
      </c>
      <c r="F117" s="9" t="str">
        <f ca="1">+WORLDCUP!BD61</f>
        <v>Australia</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Austria</v>
      </c>
      <c r="E118" s="9" t="str">
        <f ca="1">+WORLDCUP!BD59</f>
        <v>Bosnia y Herzegovina</v>
      </c>
      <c r="F118" s="9" t="str">
        <f ca="1">+WORLDCUP!BD61</f>
        <v>Australia</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Australia</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Austria</v>
      </c>
      <c r="E120" s="9" t="str">
        <f ca="1">+WORLDCUP!BD59</f>
        <v>Bosnia y Herzegovina</v>
      </c>
      <c r="F120" s="9" t="str">
        <f ca="1">+WORLDCUP!BD61</f>
        <v>Australia</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Austria</v>
      </c>
      <c r="E121" s="9" t="str">
        <f ca="1">+WORLDCUP!BD59</f>
        <v>Bosnia y Herzegovina</v>
      </c>
      <c r="F121" s="9" t="str">
        <f ca="1">+WORLDCUP!BD61</f>
        <v>Australia</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Australia</v>
      </c>
      <c r="G122" s="9" t="str">
        <f ca="1">+WORLDCUP!BD67</f>
        <v>Austria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Australia</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Australia</v>
      </c>
      <c r="G124" s="9" t="str">
        <f ca="1">+WORLDCUP!BD67</f>
        <v>Austria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Australia</v>
      </c>
      <c r="G125" s="9" t="str">
        <f ca="1">+WORLDCUP!BD67</f>
        <v>Austria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Australia</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Australia</v>
      </c>
      <c r="G127" s="9" t="str">
        <f ca="1">+WORLDCUP!BD65</f>
        <v>Arabia Saudita</v>
      </c>
      <c r="H127" s="9" t="str">
        <f ca="1">+WORLDCUP!BD63</f>
        <v>Suecia</v>
      </c>
      <c r="I127" s="9" t="str">
        <f ca="1">+WORLDCUP!BD69</f>
        <v>Ghana</v>
      </c>
      <c r="J127" s="9" t="str">
        <f ca="1">+WORLDCUP!BD67</f>
        <v>Austria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Australia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Australia</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Australia</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Austria</v>
      </c>
      <c r="E132" s="9" t="str">
        <f ca="1">+WORLDCUP!BD59</f>
        <v>Bosnia y Herzegovina</v>
      </c>
      <c r="F132" s="9" t="str">
        <f ca="1">+WORLDCUP!BD60</f>
        <v>Escocia</v>
      </c>
      <c r="G132" s="9" t="str">
        <f ca="1">+WORLDCUP!BD66</f>
        <v>Senegal</v>
      </c>
      <c r="H132" s="9" t="str">
        <f ca="1">+WORLDCUP!BD61</f>
        <v>Australia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Austria</v>
      </c>
      <c r="E133" s="9" t="str">
        <f ca="1">+WORLDCUP!BD59</f>
        <v>Bosnia y Herzegovina</v>
      </c>
      <c r="F133" s="9" t="str">
        <f ca="1">+WORLDCUP!BD60</f>
        <v>Escocia</v>
      </c>
      <c r="G133" s="9" t="str">
        <f ca="1">+WORLDCUP!BD65</f>
        <v>Arabia Saudita</v>
      </c>
      <c r="H133" s="9" t="str">
        <f ca="1">+WORLDCUP!BD61</f>
        <v>Australia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Australia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Austria</v>
      </c>
      <c r="E135" s="9" t="str">
        <f ca="1">+WORLDCUP!BD59</f>
        <v>Bosnia y Herzegovina</v>
      </c>
      <c r="F135" s="9" t="str">
        <f ca="1">+WORLDCUP!BD60</f>
        <v>Escocia</v>
      </c>
      <c r="G135" s="9" t="str">
        <f ca="1">+WORLDCUP!BD65</f>
        <v>Arabia Saudita</v>
      </c>
      <c r="H135" s="9" t="str">
        <f ca="1">+WORLDCUP!BD61</f>
        <v>Australia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Austria</v>
      </c>
      <c r="E136" s="9" t="str">
        <f ca="1">+WORLDCUP!BD59</f>
        <v>Bosnia y Herzegovina</v>
      </c>
      <c r="F136" s="9" t="str">
        <f ca="1">+WORLDCUP!BD60</f>
        <v>Escocia</v>
      </c>
      <c r="G136" s="9" t="str">
        <f ca="1">+WORLDCUP!BD65</f>
        <v>Arabia Saudita</v>
      </c>
      <c r="H136" s="9" t="str">
        <f ca="1">+WORLDCUP!BD61</f>
        <v>Australia</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Austria</v>
      </c>
      <c r="H137" s="9" t="str">
        <f ca="1">+WORLDCUP!BD61</f>
        <v>Australia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Australia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Austria</v>
      </c>
      <c r="H139" s="9" t="str">
        <f ca="1">+WORLDCUP!BD61</f>
        <v>Australia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Austria</v>
      </c>
      <c r="H140" s="9" t="str">
        <f ca="1">+WORLDCUP!BD61</f>
        <v>Australia</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Arabia Saudita</v>
      </c>
      <c r="H141" s="9" t="str">
        <f ca="1">+WORLDCUP!BD61</f>
        <v>Australia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Australia</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Australia</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Arabia Saudita</v>
      </c>
      <c r="H144" s="9" t="str">
        <f ca="1">+WORLDCUP!BD61</f>
        <v>Australia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Arabia Saudita</v>
      </c>
      <c r="H145" s="9" t="str">
        <f ca="1">+WORLDCUP!BD61</f>
        <v>Australia</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Australia</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Austria</v>
      </c>
      <c r="E147" s="9" t="str">
        <f ca="1">+WORLDCUP!BD59</f>
        <v>Bosnia y Herzegovina</v>
      </c>
      <c r="F147" s="9" t="str">
        <f ca="1">+WORLDCUP!BD61</f>
        <v>Australia</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Australia</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Austria</v>
      </c>
      <c r="E149" s="9" t="str">
        <f ca="1">+WORLDCUP!BD59</f>
        <v>Bosnia y Herzegovina</v>
      </c>
      <c r="F149" s="9" t="str">
        <f ca="1">+WORLDCUP!BD61</f>
        <v>Australia</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Austria</v>
      </c>
      <c r="E150" s="9" t="str">
        <f ca="1">+WORLDCUP!BD59</f>
        <v>Bosnia y Herzegovina</v>
      </c>
      <c r="F150" s="9" t="str">
        <f ca="1">+WORLDCUP!BD61</f>
        <v>Australia</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Australia</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Austria</v>
      </c>
      <c r="E152" s="9" t="str">
        <f ca="1">+WORLDCUP!BD59</f>
        <v>Bosnia y Herzegovina</v>
      </c>
      <c r="F152" s="9" t="str">
        <f ca="1">+WORLDCUP!BD61</f>
        <v>Australia</v>
      </c>
      <c r="G152" s="9" t="str">
        <f ca="1">+WORLDCUP!BD65</f>
        <v>Arabia Saudita</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1</v>
      </c>
      <c r="C153" s="9" t="str">
        <f ca="1">+WORLDCUP!BD60</f>
        <v>Escocia</v>
      </c>
      <c r="D153" s="9" t="str">
        <f ca="1">+WORLDCUP!BD67</f>
        <v>Austria</v>
      </c>
      <c r="E153" s="9" t="str">
        <f ca="1">+WORLDCUP!BD59</f>
        <v>Bosnia y Herzegovina</v>
      </c>
      <c r="F153" s="9" t="str">
        <f ca="1">+WORLDCUP!BD61</f>
        <v>Australia</v>
      </c>
      <c r="G153" s="9" t="str">
        <f ca="1">+WORLDCUP!BD65</f>
        <v>Arabia Saudita</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Australia</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Australia</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Austria</v>
      </c>
      <c r="E156" s="9" t="str">
        <f ca="1">+WORLDCUP!BD59</f>
        <v>Bosnia y Herzegovina</v>
      </c>
      <c r="F156" s="9" t="str">
        <f ca="1">+WORLDCUP!BD61</f>
        <v>Australia</v>
      </c>
      <c r="G156" s="9" t="str">
        <f ca="1">+WORLDCUP!BD65</f>
        <v>Arabia Saudita</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Australia</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Australia</v>
      </c>
      <c r="G158" s="9" t="str">
        <f ca="1">+WORLDCUP!BD67</f>
        <v>Austria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Australia</v>
      </c>
      <c r="G159" s="9" t="str">
        <f ca="1">+WORLDCUP!BD67</f>
        <v>Austria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Australia</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Australia</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Australia</v>
      </c>
      <c r="G162" s="9" t="str">
        <f ca="1">+WORLDCUP!BD67</f>
        <v>Austria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Australia</v>
      </c>
      <c r="G163" s="9" t="str">
        <f ca="1">+WORLDCUP!BD65</f>
        <v>Arabia Saudita</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Australia</v>
      </c>
      <c r="G164" s="9" t="str">
        <f ca="1">+WORLDCUP!BD65</f>
        <v>Arabia Saudita</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Australia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Australia</v>
      </c>
      <c r="G166" s="9" t="str">
        <f ca="1">+WORLDCUP!BD65</f>
        <v>Arabia Saudita</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Austria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Austria</v>
      </c>
      <c r="E175" s="9" t="str">
        <f ca="1">+WORLDCUP!BD66</f>
        <v>Senegal</v>
      </c>
      <c r="F175" s="9" t="str">
        <f ca="1">+WORLDCUP!BD61</f>
        <v>Australia</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Austria</v>
      </c>
      <c r="E176" s="9" t="str">
        <f ca="1">+WORLDCUP!BD66</f>
        <v>Senegal</v>
      </c>
      <c r="F176" s="9" t="str">
        <f ca="1">+WORLDCUP!BD61</f>
        <v>Australia</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Austria</v>
      </c>
      <c r="F177" s="9" t="str">
        <f ca="1">+WORLDCUP!BD61</f>
        <v>Australia</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Australia</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Austria</v>
      </c>
      <c r="E182" s="9" t="str">
        <f ca="1">+WORLDCUP!BD66</f>
        <v>Senegal</v>
      </c>
      <c r="F182" s="9" t="str">
        <f ca="1">+WORLDCUP!BD61</f>
        <v>Australia</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Austria</v>
      </c>
      <c r="E183" s="9" t="str">
        <f ca="1">+WORLDCUP!BD66</f>
        <v>Senegal</v>
      </c>
      <c r="F183" s="9" t="str">
        <f ca="1">+WORLDCUP!BD61</f>
        <v>Australia</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Austria</v>
      </c>
      <c r="F184" s="9" t="str">
        <f ca="1">+WORLDCUP!BD61</f>
        <v>Australia</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Australia</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Austria</v>
      </c>
      <c r="F186" s="9" t="str">
        <f ca="1">+WORLDCUP!BD61</f>
        <v>Australia</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Austria</v>
      </c>
      <c r="F187" s="9" t="str">
        <f ca="1">+WORLDCUP!BD61</f>
        <v>Australia</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Austria</v>
      </c>
      <c r="E188" s="9" t="str">
        <f ca="1">+WORLDCUP!BD66</f>
        <v>Senegal</v>
      </c>
      <c r="F188" s="9" t="str">
        <f ca="1">+WORLDCUP!BD61</f>
        <v>Australia</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Austria</v>
      </c>
      <c r="E189" s="9" t="str">
        <f ca="1">+WORLDCUP!BD62</f>
        <v>Ecuador</v>
      </c>
      <c r="F189" s="9" t="str">
        <f ca="1">+WORLDCUP!BD61</f>
        <v>Australia</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Australia</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Austria</v>
      </c>
      <c r="E191" s="9" t="str">
        <f ca="1">+WORLDCUP!BD62</f>
        <v>Ecuador</v>
      </c>
      <c r="F191" s="9" t="str">
        <f ca="1">+WORLDCUP!BD61</f>
        <v>Australia</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Austria</v>
      </c>
      <c r="E192" s="9" t="str">
        <f ca="1">+WORLDCUP!BD62</f>
        <v>Ecuador</v>
      </c>
      <c r="F192" s="9" t="str">
        <f ca="1">+WORLDCUP!BD61</f>
        <v>Australia</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Austria</v>
      </c>
      <c r="F193" s="9" t="str">
        <f ca="1">+WORLDCUP!BD61</f>
        <v>Australia</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Australia</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Austria</v>
      </c>
      <c r="F195" s="9" t="str">
        <f ca="1">+WORLDCUP!BD61</f>
        <v>Australia</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Austria</v>
      </c>
      <c r="F196" s="9" t="str">
        <f ca="1">+WORLDCUP!BD61</f>
        <v>Australia</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Ecuador</v>
      </c>
      <c r="F197" s="9" t="str">
        <f ca="1">+WORLDCUP!BD61</f>
        <v>Australia</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República Checa</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República Checa</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Ecuador</v>
      </c>
      <c r="F200" s="9" t="str">
        <f ca="1">+WORLDCUP!BD61</f>
        <v>Australia</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Ecuador</v>
      </c>
      <c r="F201" s="9" t="str">
        <f ca="1">+WORLDCUP!BD61</f>
        <v>Australia</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República Checa</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Austria</v>
      </c>
      <c r="E217" s="9" t="str">
        <f ca="1">+WORLDCUP!BD62</f>
        <v>Ecuador</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Austria</v>
      </c>
      <c r="E219" s="9" t="str">
        <f ca="1">+WORLDCUP!BD62</f>
        <v>Ecuador</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Austria</v>
      </c>
      <c r="E220" s="9" t="str">
        <f ca="1">+WORLDCUP!BD62</f>
        <v>Ecuador</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Ecuador</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Ecuador</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Ecuador</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Australia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Australia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Australia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Australia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Australia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Australia</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Austria</v>
      </c>
      <c r="E237" s="9" t="str">
        <f ca="1">+WORLDCUP!BD66</f>
        <v>Senegal</v>
      </c>
      <c r="F237" s="9" t="str">
        <f ca="1">+WORLDCUP!BD61</f>
        <v>Australia</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Austria</v>
      </c>
      <c r="E238" s="9" t="str">
        <f ca="1">+WORLDCUP!BD63</f>
        <v>Suecia</v>
      </c>
      <c r="F238" s="9" t="str">
        <f ca="1">+WORLDCUP!BD60</f>
        <v>Escocia</v>
      </c>
      <c r="G238" s="9" t="str">
        <f ca="1">+WORLDCUP!BD58</f>
        <v>República Checa</v>
      </c>
      <c r="H238" s="9" t="str">
        <f ca="1">+WORLDCUP!BD61</f>
        <v>Australia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Australia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Austria</v>
      </c>
      <c r="E240" s="9" t="str">
        <f ca="1">+WORLDCUP!BD63</f>
        <v>Suecia</v>
      </c>
      <c r="F240" s="9" t="str">
        <f ca="1">+WORLDCUP!BD60</f>
        <v>Escocia</v>
      </c>
      <c r="G240" s="9" t="str">
        <f ca="1">+WORLDCUP!BD58</f>
        <v>República Checa</v>
      </c>
      <c r="H240" s="9" t="str">
        <f ca="1">+WORLDCUP!BD61</f>
        <v>Australia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Austria</v>
      </c>
      <c r="E241" s="9" t="str">
        <f ca="1">+WORLDCUP!BD63</f>
        <v>Suecia</v>
      </c>
      <c r="F241" s="9" t="str">
        <f ca="1">+WORLDCUP!BD60</f>
        <v>Escocia</v>
      </c>
      <c r="G241" s="9" t="str">
        <f ca="1">+WORLDCUP!BD58</f>
        <v>República Checa</v>
      </c>
      <c r="H241" s="9" t="str">
        <f ca="1">+WORLDCUP!BD61</f>
        <v>Australia</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Austria</v>
      </c>
      <c r="F242" s="9" t="str">
        <f ca="1">+WORLDCUP!BD61</f>
        <v>Australia</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Australia</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Austria</v>
      </c>
      <c r="F244" s="9" t="str">
        <f ca="1">+WORLDCUP!BD61</f>
        <v>Australia</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Austria</v>
      </c>
      <c r="F245" s="9" t="str">
        <f ca="1">+WORLDCUP!BD61</f>
        <v>Australia</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Australia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Austria</v>
      </c>
      <c r="F247" s="9" t="str">
        <f ca="1">+WORLDCUP!BD61</f>
        <v>Australia</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Australia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Australia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Australia</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Austria</v>
      </c>
      <c r="E252" s="9" t="str">
        <f ca="1">+WORLDCUP!BD66</f>
        <v>Senegal</v>
      </c>
      <c r="F252" s="9" t="str">
        <f ca="1">+WORLDCUP!BD60</f>
        <v>Escocia</v>
      </c>
      <c r="G252" s="9" t="str">
        <f ca="1">+WORLDCUP!BD58</f>
        <v>República Checa</v>
      </c>
      <c r="H252" s="9" t="str">
        <f ca="1">+WORLDCUP!BD61</f>
        <v>Australia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Austria</v>
      </c>
      <c r="E253" s="9" t="str">
        <f ca="1">+WORLDCUP!BD62</f>
        <v>Ecuador</v>
      </c>
      <c r="F253" s="9" t="str">
        <f ca="1">+WORLDCUP!BD60</f>
        <v>Escocia</v>
      </c>
      <c r="G253" s="9" t="str">
        <f ca="1">+WORLDCUP!BD58</f>
        <v>República Checa</v>
      </c>
      <c r="H253" s="9" t="str">
        <f ca="1">+WORLDCUP!BD61</f>
        <v>Australia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Australia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Austria</v>
      </c>
      <c r="E255" s="9" t="str">
        <f ca="1">+WORLDCUP!BD62</f>
        <v>Ecuador</v>
      </c>
      <c r="F255" s="9" t="str">
        <f ca="1">+WORLDCUP!BD60</f>
        <v>Escocia</v>
      </c>
      <c r="G255" s="9" t="str">
        <f ca="1">+WORLDCUP!BD58</f>
        <v>República Checa</v>
      </c>
      <c r="H255" s="9" t="str">
        <f ca="1">+WORLDCUP!BD61</f>
        <v>Australia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Austria</v>
      </c>
      <c r="E256" s="9" t="str">
        <f ca="1">+WORLDCUP!BD62</f>
        <v>Ecuador</v>
      </c>
      <c r="F256" s="9" t="str">
        <f ca="1">+WORLDCUP!BD60</f>
        <v>Escocia</v>
      </c>
      <c r="G256" s="9" t="str">
        <f ca="1">+WORLDCUP!BD58</f>
        <v>República Checa</v>
      </c>
      <c r="H256" s="9" t="str">
        <f ca="1">+WORLDCUP!BD61</f>
        <v>Australia</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Austria</v>
      </c>
      <c r="F257" s="9" t="str">
        <f ca="1">+WORLDCUP!BD60</f>
        <v>Escocia</v>
      </c>
      <c r="G257" s="9" t="str">
        <f ca="1">+WORLDCUP!BD58</f>
        <v>República Checa</v>
      </c>
      <c r="H257" s="9" t="str">
        <f ca="1">+WORLDCUP!BD61</f>
        <v>Australia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República Checa</v>
      </c>
      <c r="H258" s="9" t="str">
        <f ca="1">+WORLDCUP!BD61</f>
        <v>Australia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Austria</v>
      </c>
      <c r="F259" s="9" t="str">
        <f ca="1">+WORLDCUP!BD60</f>
        <v>Escocia</v>
      </c>
      <c r="G259" s="9" t="str">
        <f ca="1">+WORLDCUP!BD58</f>
        <v>República Checa</v>
      </c>
      <c r="H259" s="9" t="str">
        <f ca="1">+WORLDCUP!BD61</f>
        <v>Australia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Austria</v>
      </c>
      <c r="F260" s="9" t="str">
        <f ca="1">+WORLDCUP!BD60</f>
        <v>Escocia</v>
      </c>
      <c r="G260" s="9" t="str">
        <f ca="1">+WORLDCUP!BD58</f>
        <v>República Checa</v>
      </c>
      <c r="H260" s="9" t="str">
        <f ca="1">+WORLDCUP!BD61</f>
        <v>Australia</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Ecuador</v>
      </c>
      <c r="F261" s="9" t="str">
        <f ca="1">+WORLDCUP!BD60</f>
        <v>Escocia</v>
      </c>
      <c r="G261" s="9" t="str">
        <f ca="1">+WORLDCUP!BD58</f>
        <v>República Checa</v>
      </c>
      <c r="H261" s="9" t="str">
        <f ca="1">+WORLDCUP!BD61</f>
        <v>Australia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Australia</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Australia</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Ecuador</v>
      </c>
      <c r="F264" s="9" t="str">
        <f ca="1">+WORLDCUP!BD60</f>
        <v>Escocia</v>
      </c>
      <c r="G264" s="9" t="str">
        <f ca="1">+WORLDCUP!BD58</f>
        <v>República Checa</v>
      </c>
      <c r="H264" s="9" t="str">
        <f ca="1">+WORLDCUP!BD61</f>
        <v>Australia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Ecuador</v>
      </c>
      <c r="F265" s="9" t="str">
        <f ca="1">+WORLDCUP!BD60</f>
        <v>Escocia</v>
      </c>
      <c r="G265" s="9" t="str">
        <f ca="1">+WORLDCUP!BD58</f>
        <v>República Checa</v>
      </c>
      <c r="H265" s="9" t="str">
        <f ca="1">+WORLDCUP!BD61</f>
        <v>Australia</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Australia</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Austria</v>
      </c>
      <c r="E267" s="9" t="str">
        <f ca="1">+WORLDCUP!BD62</f>
        <v>Ecuador</v>
      </c>
      <c r="F267" s="9" t="str">
        <f ca="1">+WORLDCUP!BD61</f>
        <v>Australia</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Australia</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Austria</v>
      </c>
      <c r="E269" s="9" t="str">
        <f ca="1">+WORLDCUP!BD62</f>
        <v>Ecuador</v>
      </c>
      <c r="F269" s="9" t="str">
        <f ca="1">+WORLDCUP!BD61</f>
        <v>Australia</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Austria</v>
      </c>
      <c r="E270" s="9" t="str">
        <f ca="1">+WORLDCUP!BD62</f>
        <v>Ecuador</v>
      </c>
      <c r="F270" s="9" t="str">
        <f ca="1">+WORLDCUP!BD61</f>
        <v>Australia</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Suecia</v>
      </c>
      <c r="F271" s="9" t="str">
        <f ca="1">+WORLDCUP!BD60</f>
        <v>Escocia</v>
      </c>
      <c r="G271" s="9" t="str">
        <f ca="1">+WORLDCUP!BD58</f>
        <v>República Checa</v>
      </c>
      <c r="H271" s="9" t="str">
        <f ca="1">+WORLDCUP!BD61</f>
        <v>Australia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Austria</v>
      </c>
      <c r="E272" s="9" t="str">
        <f ca="1">+WORLDCUP!BD63</f>
        <v>Suecia</v>
      </c>
      <c r="F272" s="9" t="str">
        <f ca="1">+WORLDCUP!BD60</f>
        <v>Escocia</v>
      </c>
      <c r="G272" s="9" t="str">
        <f ca="1">+WORLDCUP!BD58</f>
        <v>República Checa</v>
      </c>
      <c r="H272" s="9" t="str">
        <f ca="1">+WORLDCUP!BD61</f>
        <v>Australia</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Austria</v>
      </c>
      <c r="E273" s="9" t="str">
        <f ca="1">+WORLDCUP!BD62</f>
        <v>Ecuador</v>
      </c>
      <c r="F273" s="9" t="str">
        <f ca="1">+WORLDCUP!BD60</f>
        <v>Escocia</v>
      </c>
      <c r="G273" s="9" t="str">
        <f ca="1">+WORLDCUP!BD58</f>
        <v>República Checa</v>
      </c>
      <c r="H273" s="9" t="str">
        <f ca="1">+WORLDCUP!BD63</f>
        <v>Suecia</v>
      </c>
      <c r="I273" s="9" t="str">
        <f ca="1">+WORLDCUP!BD61</f>
        <v>Australia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Suecia</v>
      </c>
      <c r="F274" s="9" t="str">
        <f ca="1">+WORLDCUP!BD60</f>
        <v>Escocia</v>
      </c>
      <c r="G274" s="9" t="str">
        <f ca="1">+WORLDCUP!BD58</f>
        <v>República Checa</v>
      </c>
      <c r="H274" s="9" t="str">
        <f ca="1">+WORLDCUP!BD61</f>
        <v>Australia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Suecia</v>
      </c>
      <c r="F275" s="9" t="str">
        <f ca="1">+WORLDCUP!BD60</f>
        <v>Escocia</v>
      </c>
      <c r="G275" s="9" t="str">
        <f ca="1">+WORLDCUP!BD58</f>
        <v>República Checa</v>
      </c>
      <c r="H275" s="9" t="str">
        <f ca="1">+WORLDCUP!BD61</f>
        <v>Australia</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Austria</v>
      </c>
      <c r="E276" s="9" t="str">
        <f ca="1">+WORLDCUP!BD62</f>
        <v>Ecuador</v>
      </c>
      <c r="F276" s="9" t="str">
        <f ca="1">+WORLDCUP!BD60</f>
        <v>Escocia</v>
      </c>
      <c r="G276" s="9" t="str">
        <f ca="1">+WORLDCUP!BD58</f>
        <v>República Checa</v>
      </c>
      <c r="H276" s="9" t="str">
        <f ca="1">+WORLDCUP!BD63</f>
        <v>Suecia</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Australia</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Austria</v>
      </c>
      <c r="F278" s="9" t="str">
        <f ca="1">+WORLDCUP!BD61</f>
        <v>Australia</v>
      </c>
      <c r="G278" s="9" t="str">
        <f ca="1">+WORLDCUP!BD58</f>
        <v>República Checa</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Austria</v>
      </c>
      <c r="F279" s="9" t="str">
        <f ca="1">+WORLDCUP!BD61</f>
        <v>Australia</v>
      </c>
      <c r="G279" s="9" t="str">
        <f ca="1">+WORLDCUP!BD58</f>
        <v>República Checa</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Australia</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Australia</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Austria</v>
      </c>
      <c r="F282" s="9" t="str">
        <f ca="1">+WORLDCUP!BD61</f>
        <v>Australia</v>
      </c>
      <c r="G282" s="9" t="str">
        <f ca="1">+WORLDCUP!BD58</f>
        <v>República Checa</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Australia</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Ecuador</v>
      </c>
      <c r="F284" s="9" t="str">
        <f ca="1">+WORLDCUP!BD60</f>
        <v>Escocia</v>
      </c>
      <c r="G284" s="9" t="str">
        <f ca="1">+WORLDCUP!BD58</f>
        <v>República Checa</v>
      </c>
      <c r="H284" s="9" t="str">
        <f ca="1">+WORLDCUP!BD63</f>
        <v>Suecia</v>
      </c>
      <c r="I284" s="9" t="str">
        <f ca="1">+WORLDCUP!BD61</f>
        <v>Australia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Australia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Ecuador</v>
      </c>
      <c r="F286" s="9" t="str">
        <f ca="1">+WORLDCUP!BD60</f>
        <v>Escocia</v>
      </c>
      <c r="G286" s="9" t="str">
        <f ca="1">+WORLDCUP!BD58</f>
        <v>República Checa</v>
      </c>
      <c r="H286" s="9" t="str">
        <f ca="1">+WORLDCUP!BD63</f>
        <v>Suecia</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Austria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Austria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Austria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Austria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Austria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Austria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Austria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Austria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Austria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Austria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Austria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Austria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Austria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Austria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Austria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Austria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Austria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Austria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Austria</v>
      </c>
      <c r="E311" s="9" t="str">
        <f ca="1">+WORLDCUP!BD59</f>
        <v>Bosnia y Herzegovina</v>
      </c>
      <c r="F311" s="9" t="str">
        <f ca="1">+WORLDCUP!BD63</f>
        <v>Suecia</v>
      </c>
      <c r="G311" s="9" t="str">
        <f ca="1">+WORLDCUP!BD58</f>
        <v>República Checa</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Austria</v>
      </c>
      <c r="E314" s="9" t="str">
        <f ca="1">+WORLDCUP!BD59</f>
        <v>Bosnia y Herzegovina</v>
      </c>
      <c r="F314" s="9" t="str">
        <f ca="1">+WORLDCUP!BD63</f>
        <v>Suecia</v>
      </c>
      <c r="G314" s="9" t="str">
        <f ca="1">+WORLDCUP!BD58</f>
        <v>República Checa</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Austria</v>
      </c>
      <c r="E315" s="9" t="str">
        <f ca="1">+WORLDCUP!BD59</f>
        <v>Bosnia y Herzegovina</v>
      </c>
      <c r="F315" s="9" t="str">
        <f ca="1">+WORLDCUP!BD61</f>
        <v>Australia</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Austria</v>
      </c>
      <c r="E316" s="9" t="str">
        <f ca="1">+WORLDCUP!BD59</f>
        <v>Bosnia y Herzegovina</v>
      </c>
      <c r="F316" s="9" t="str">
        <f ca="1">+WORLDCUP!BD61</f>
        <v>Australia</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Austria</v>
      </c>
      <c r="E317" s="9" t="str">
        <f ca="1">+WORLDCUP!BD59</f>
        <v>Bosnia y Herzegovina</v>
      </c>
      <c r="F317" s="9" t="str">
        <f ca="1">+WORLDCUP!BD61</f>
        <v>Australia</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Australia</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Austria</v>
      </c>
      <c r="E319" s="9" t="str">
        <f ca="1">+WORLDCUP!BD59</f>
        <v>Bosnia y Herzegovina</v>
      </c>
      <c r="F319" s="9" t="str">
        <f ca="1">+WORLDCUP!BD61</f>
        <v>Australia</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Austria</v>
      </c>
      <c r="E320" s="9" t="str">
        <f ca="1">+WORLDCUP!BD59</f>
        <v>Bosnia y Herzegovina</v>
      </c>
      <c r="F320" s="9" t="str">
        <f ca="1">+WORLDCUP!BD61</f>
        <v>Australia</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Austria</v>
      </c>
      <c r="E321" s="9" t="str">
        <f ca="1">+WORLDCUP!BD59</f>
        <v>Bosnia y Herzegovina</v>
      </c>
      <c r="F321" s="9" t="str">
        <f ca="1">+WORLDCUP!BD61</f>
        <v>Australia</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Austria</v>
      </c>
      <c r="E322" s="9" t="str">
        <f ca="1">+WORLDCUP!BD59</f>
        <v>Bosnia y Herzegovina</v>
      </c>
      <c r="F322" s="9" t="str">
        <f ca="1">+WORLDCUP!BD61</f>
        <v>Australia</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Austria</v>
      </c>
      <c r="E324" s="9" t="str">
        <f ca="1">+WORLDCUP!BD59</f>
        <v>Bosnia y Herzegovina</v>
      </c>
      <c r="F324" s="9" t="str">
        <f ca="1">+WORLDCUP!BD61</f>
        <v>Australia</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Austria</v>
      </c>
      <c r="E325" s="9" t="str">
        <f ca="1">+WORLDCUP!BD59</f>
        <v>Bosnia y Herzegovina</v>
      </c>
      <c r="F325" s="9" t="str">
        <f ca="1">+WORLDCUP!BD61</f>
        <v>Australia</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Austria</v>
      </c>
      <c r="E326" s="9" t="str">
        <f ca="1">+WORLDCUP!BD59</f>
        <v>Bosnia y Herzegovina</v>
      </c>
      <c r="F326" s="9" t="str">
        <f ca="1">+WORLDCUP!BD61</f>
        <v>Australia</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Australia</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Austria</v>
      </c>
      <c r="E328" s="9" t="str">
        <f ca="1">+WORLDCUP!BD59</f>
        <v>Bosnia y Herzegovina</v>
      </c>
      <c r="F328" s="9" t="str">
        <f ca="1">+WORLDCUP!BD61</f>
        <v>Australia</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Austria</v>
      </c>
      <c r="E329" s="9" t="str">
        <f ca="1">+WORLDCUP!BD59</f>
        <v>Bosnia y Herzegovina</v>
      </c>
      <c r="F329" s="9" t="str">
        <f ca="1">+WORLDCUP!BD61</f>
        <v>Australia</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Australia</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Australia</v>
      </c>
      <c r="G331" s="9" t="str">
        <f ca="1">+WORLDCUP!BD58</f>
        <v>República Checa</v>
      </c>
      <c r="H331" s="9" t="str">
        <f ca="1">+WORLDCUP!BD63</f>
        <v>Suecia</v>
      </c>
      <c r="I331" s="9" t="str">
        <f ca="1">+WORLDCUP!BD69</f>
        <v>Ghana</v>
      </c>
      <c r="J331" s="9" t="str">
        <f ca="1">+WORLDCUP!BD67</f>
        <v>Austria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Australia</v>
      </c>
      <c r="G332" s="9" t="str">
        <f ca="1">+WORLDCUP!BD58</f>
        <v>República Checa</v>
      </c>
      <c r="H332" s="9" t="str">
        <f ca="1">+WORLDCUP!BD63</f>
        <v>Suecia</v>
      </c>
      <c r="I332" s="9" t="str">
        <f ca="1">+WORLDCUP!BD67</f>
        <v>Austria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Australia</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Australia</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Australia</v>
      </c>
      <c r="G335" s="9" t="str">
        <f ca="1">+WORLDCUP!BD58</f>
        <v>República Checa</v>
      </c>
      <c r="H335" s="9" t="str">
        <f ca="1">+WORLDCUP!BD63</f>
        <v>Suecia</v>
      </c>
      <c r="I335" s="9" t="str">
        <f ca="1">+WORLDCUP!BD66</f>
        <v>Senegal</v>
      </c>
      <c r="J335" s="9" t="str">
        <f ca="1">+WORLDCUP!BD67</f>
        <v>Austria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Austria</v>
      </c>
      <c r="E336" s="9" t="str">
        <f ca="1">+WORLDCUP!BD59</f>
        <v>Bosnia y Herzegovina</v>
      </c>
      <c r="F336" s="9" t="str">
        <f ca="1">+WORLDCUP!BD58</f>
        <v>República Checa</v>
      </c>
      <c r="G336" s="9" t="str">
        <f ca="1">+WORLDCUP!BD66</f>
        <v>Senegal</v>
      </c>
      <c r="H336" s="9" t="str">
        <f ca="1">+WORLDCUP!BD61</f>
        <v>Australia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Austria</v>
      </c>
      <c r="E337" s="9" t="str">
        <f ca="1">+WORLDCUP!BD59</f>
        <v>Bosnia y Herzegovina</v>
      </c>
      <c r="F337" s="9" t="str">
        <f ca="1">+WORLDCUP!BD61</f>
        <v>Australia</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Australia</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Austria</v>
      </c>
      <c r="E339" s="9" t="str">
        <f ca="1">+WORLDCUP!BD59</f>
        <v>Bosnia y Herzegovina</v>
      </c>
      <c r="F339" s="9" t="str">
        <f ca="1">+WORLDCUP!BD61</f>
        <v>Australia</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Austria</v>
      </c>
      <c r="E340" s="9" t="str">
        <f ca="1">+WORLDCUP!BD59</f>
        <v>Bosnia y Herzegovina</v>
      </c>
      <c r="F340" s="9" t="str">
        <f ca="1">+WORLDCUP!BD61</f>
        <v>Australia</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Austria</v>
      </c>
      <c r="E341" s="9" t="str">
        <f ca="1">+WORLDCUP!BD59</f>
        <v>Bosnia y Herzegovina</v>
      </c>
      <c r="F341" s="9" t="str">
        <f ca="1">+WORLDCUP!BD61</f>
        <v>Australia</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Senegal</v>
      </c>
      <c r="H342" s="9" t="str">
        <f ca="1">+WORLDCUP!BD61</f>
        <v>Australia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Austria</v>
      </c>
      <c r="E343" s="9" t="str">
        <f ca="1">+WORLDCUP!BD59</f>
        <v>Bosnia y Herzegovina</v>
      </c>
      <c r="F343" s="9" t="str">
        <f ca="1">+WORLDCUP!BD61</f>
        <v>Australia</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Austria</v>
      </c>
      <c r="E344" s="9" t="str">
        <f ca="1">+WORLDCUP!BD59</f>
        <v>Bosnia y Herzegovina</v>
      </c>
      <c r="F344" s="9" t="str">
        <f ca="1">+WORLDCUP!BD61</f>
        <v>Australia</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Australia</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Austria</v>
      </c>
      <c r="E346" s="9" t="str">
        <f ca="1">+WORLDCUP!BD59</f>
        <v>Bosnia y Herzegovina</v>
      </c>
      <c r="F346" s="9" t="str">
        <f ca="1">+WORLDCUP!BD61</f>
        <v>Australia</v>
      </c>
      <c r="G346" s="9" t="str">
        <f ca="1">+WORLDCUP!BD58</f>
        <v>República Checa</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Austria</v>
      </c>
      <c r="E347" s="9" t="str">
        <f ca="1">+WORLDCUP!BD59</f>
        <v>Bosnia y Herzegovina</v>
      </c>
      <c r="F347" s="9" t="str">
        <f ca="1">+WORLDCUP!BD61</f>
        <v>Australia</v>
      </c>
      <c r="G347" s="9" t="str">
        <f ca="1">+WORLDCUP!BD58</f>
        <v>República Checa</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Australia</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Australia</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Austria</v>
      </c>
      <c r="E350" s="9" t="str">
        <f ca="1">+WORLDCUP!BD59</f>
        <v>Bosnia y Herzegovina</v>
      </c>
      <c r="F350" s="9" t="str">
        <f ca="1">+WORLDCUP!BD61</f>
        <v>Australia</v>
      </c>
      <c r="G350" s="9" t="str">
        <f ca="1">+WORLDCUP!BD58</f>
        <v>República Checa</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Austria</v>
      </c>
      <c r="E351" s="9" t="str">
        <f ca="1">+WORLDCUP!BD59</f>
        <v>Bosnia y Herzegovina</v>
      </c>
      <c r="F351" s="9" t="str">
        <f ca="1">+WORLDCUP!BD61</f>
        <v>Australia</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Australia</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Austria</v>
      </c>
      <c r="E353" s="9" t="str">
        <f ca="1">+WORLDCUP!BD59</f>
        <v>Bosnia y Herzegovina</v>
      </c>
      <c r="F353" s="9" t="str">
        <f ca="1">+WORLDCUP!BD61</f>
        <v>Australia</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Austria</v>
      </c>
      <c r="E354" s="9" t="str">
        <f ca="1">+WORLDCUP!BD59</f>
        <v>Bosnia y Herzegovina</v>
      </c>
      <c r="F354" s="9" t="str">
        <f ca="1">+WORLDCUP!BD61</f>
        <v>Australia</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Bosnia y Herzegovina</v>
      </c>
      <c r="F355" s="9" t="str">
        <f ca="1">+WORLDCUP!BD61</f>
        <v>Australia</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Austria</v>
      </c>
      <c r="E356" s="9" t="str">
        <f ca="1">+WORLDCUP!BD59</f>
        <v>Bosnia y Herzegovina</v>
      </c>
      <c r="F356" s="9" t="str">
        <f ca="1">+WORLDCUP!BD61</f>
        <v>Australia</v>
      </c>
      <c r="G356" s="9" t="str">
        <f ca="1">+WORLDCUP!BD58</f>
        <v>República Checa</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Austria</v>
      </c>
      <c r="E357" s="9" t="str">
        <f ca="1">+WORLDCUP!BD59</f>
        <v>Bosnia y Herzegovina</v>
      </c>
      <c r="F357" s="9" t="str">
        <f ca="1">+WORLDCUP!BD61</f>
        <v>Australia</v>
      </c>
      <c r="G357" s="9" t="str">
        <f ca="1">+WORLDCUP!BD58</f>
        <v>República Checa</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Bosnia y Herzegovina</v>
      </c>
      <c r="F358" s="9" t="str">
        <f ca="1">+WORLDCUP!BD61</f>
        <v>Australia</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Bosnia y Herzegovina</v>
      </c>
      <c r="F359" s="9" t="str">
        <f ca="1">+WORLDCUP!BD61</f>
        <v>Australia</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Austria</v>
      </c>
      <c r="E360" s="9" t="str">
        <f ca="1">+WORLDCUP!BD59</f>
        <v>Bosnia y Herzegovina</v>
      </c>
      <c r="F360" s="9" t="str">
        <f ca="1">+WORLDCUP!BD61</f>
        <v>Australia</v>
      </c>
      <c r="G360" s="9" t="str">
        <f ca="1">+WORLDCUP!BD58</f>
        <v>República Checa</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Australia</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Australia</v>
      </c>
      <c r="G362" s="9" t="str">
        <f ca="1">+WORLDCUP!BD58</f>
        <v>República Checa</v>
      </c>
      <c r="H362" s="9" t="str">
        <f ca="1">+WORLDCUP!BD63</f>
        <v>Suecia</v>
      </c>
      <c r="I362" s="9" t="str">
        <f ca="1">+WORLDCUP!BD69</f>
        <v>Ghana</v>
      </c>
      <c r="J362" s="9" t="str">
        <f ca="1">+WORLDCUP!BD67</f>
        <v>Austria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Australia</v>
      </c>
      <c r="G363" s="9" t="str">
        <f ca="1">+WORLDCUP!BD58</f>
        <v>República Checa</v>
      </c>
      <c r="H363" s="9" t="str">
        <f ca="1">+WORLDCUP!BD63</f>
        <v>Suecia</v>
      </c>
      <c r="I363" s="9" t="str">
        <f ca="1">+WORLDCUP!BD67</f>
        <v>Austria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Australia</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Australia</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Australia</v>
      </c>
      <c r="G366" s="9" t="str">
        <f ca="1">+WORLDCUP!BD58</f>
        <v>República Checa</v>
      </c>
      <c r="H366" s="9" t="str">
        <f ca="1">+WORLDCUP!BD63</f>
        <v>Suecia</v>
      </c>
      <c r="I366" s="9" t="str">
        <f ca="1">+WORLDCUP!BD66</f>
        <v>Senegal</v>
      </c>
      <c r="J366" s="9" t="str">
        <f ca="1">+WORLDCUP!BD67</f>
        <v>Austria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Australia</v>
      </c>
      <c r="G367" s="9" t="str">
        <f ca="1">+WORLDCUP!BD58</f>
        <v>República Checa</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Australia</v>
      </c>
      <c r="G368" s="9" t="str">
        <f ca="1">+WORLDCUP!BD58</f>
        <v>República Checa</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Australia</v>
      </c>
      <c r="G369" s="9" t="str">
        <f ca="1">+WORLDCUP!BD58</f>
        <v>República Checa</v>
      </c>
      <c r="H369" s="9" t="str">
        <f ca="1">+WORLDCUP!BD63</f>
        <v>Suecia</v>
      </c>
      <c r="I369" s="9" t="str">
        <f ca="1">+WORLDCUP!BD62</f>
        <v>Ecuador</v>
      </c>
      <c r="J369" s="9" t="str">
        <f ca="1">+WORLDCUP!BD67</f>
        <v>Austria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Australia</v>
      </c>
      <c r="G370" s="9" t="str">
        <f ca="1">+WORLDCUP!BD58</f>
        <v>República Checa</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Austria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Austria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Austria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Austria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Austria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Austria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Austria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Austria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Austria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Austria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Austria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Austria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Austria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Austria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Austria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Austria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Austria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República Checa</v>
      </c>
      <c r="H427" s="9" t="str">
        <f ca="1">+WORLDCUP!BD61</f>
        <v>Australia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República Checa</v>
      </c>
      <c r="H428" s="9" t="str">
        <f ca="1">+WORLDCUP!BD61</f>
        <v>Australia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Australia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República Checa</v>
      </c>
      <c r="H430" s="9" t="str">
        <f ca="1">+WORLDCUP!BD61</f>
        <v>Australia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República Checa</v>
      </c>
      <c r="H431" s="9" t="str">
        <f ca="1">+WORLDCUP!BD61</f>
        <v>Australia</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Austria</v>
      </c>
      <c r="E432" s="9" t="str">
        <f ca="1">+WORLDCUP!BD59</f>
        <v>Bosnia y Herzegovina</v>
      </c>
      <c r="F432" s="9" t="str">
        <f ca="1">+WORLDCUP!BD61</f>
        <v>Australia</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Australia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Austria</v>
      </c>
      <c r="E434" s="9" t="str">
        <f ca="1">+WORLDCUP!BD59</f>
        <v>Bosnia y Herzegovina</v>
      </c>
      <c r="F434" s="9" t="str">
        <f ca="1">+WORLDCUP!BD61</f>
        <v>Australia</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Austria</v>
      </c>
      <c r="E435" s="9" t="str">
        <f ca="1">+WORLDCUP!BD59</f>
        <v>Bosnia y Herzegovina</v>
      </c>
      <c r="F435" s="9" t="str">
        <f ca="1">+WORLDCUP!BD61</f>
        <v>Australia</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Australia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Australia</v>
      </c>
      <c r="I437" s="9" t="str">
        <f ca="1">+WORLDCUP!BD69</f>
        <v>Ghana</v>
      </c>
      <c r="J437" s="9" t="str">
        <f ca="1">+WORLDCUP!BD67</f>
        <v>Austria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Australia</v>
      </c>
      <c r="I438" s="9" t="str">
        <f ca="1">+WORLDCUP!BD67</f>
        <v>Austria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Australia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Australia</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Australia</v>
      </c>
      <c r="I441" s="9" t="str">
        <f ca="1">+WORLDCUP!BD66</f>
        <v>Senegal</v>
      </c>
      <c r="J441" s="9" t="str">
        <f ca="1">+WORLDCUP!BD67</f>
        <v>Austria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Austria</v>
      </c>
      <c r="E442" s="9" t="str">
        <f ca="1">+WORLDCUP!BD59</f>
        <v>Bosnia y Herzegovina</v>
      </c>
      <c r="F442" s="9" t="str">
        <f ca="1">+WORLDCUP!BD61</f>
        <v>Australia</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Australia</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Austria</v>
      </c>
      <c r="E444" s="9" t="str">
        <f ca="1">+WORLDCUP!BD59</f>
        <v>Bosnia y Herzegovina</v>
      </c>
      <c r="F444" s="9" t="str">
        <f ca="1">+WORLDCUP!BD61</f>
        <v>Australia</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Austria</v>
      </c>
      <c r="E445" s="9" t="str">
        <f ca="1">+WORLDCUP!BD59</f>
        <v>Bosnia y Herzegovina</v>
      </c>
      <c r="F445" s="9" t="str">
        <f ca="1">+WORLDCUP!BD61</f>
        <v>Australia</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Australia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Austria</v>
      </c>
      <c r="E447" s="9" t="str">
        <f ca="1">+WORLDCUP!BD59</f>
        <v>Bosnia y Herzegovina</v>
      </c>
      <c r="F447" s="9" t="str">
        <f ca="1">+WORLDCUP!BD61</f>
        <v>Australia</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República Checa</v>
      </c>
      <c r="H448" s="9" t="str">
        <f ca="1">+WORLDCUP!BD63</f>
        <v>Suecia</v>
      </c>
      <c r="I448" s="9" t="str">
        <f ca="1">+WORLDCUP!BD61</f>
        <v>Australia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Australia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Australia</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República Checa</v>
      </c>
      <c r="H451" s="9" t="str">
        <f ca="1">+WORLDCUP!BD63</f>
        <v>Suecia</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Australia</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Australia</v>
      </c>
      <c r="G453" s="9" t="str">
        <f ca="1">+WORLDCUP!BD58</f>
        <v>República Checa</v>
      </c>
      <c r="H453" s="9" t="str">
        <f ca="1">+WORLDCUP!BD63</f>
        <v>Suecia</v>
      </c>
      <c r="I453" s="9" t="str">
        <f ca="1">+WORLDCUP!BD69</f>
        <v>Ghana</v>
      </c>
      <c r="J453" s="9" t="str">
        <f ca="1">+WORLDCUP!BD67</f>
        <v>Austria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Australia</v>
      </c>
      <c r="G454" s="9" t="str">
        <f ca="1">+WORLDCUP!BD58</f>
        <v>República Checa</v>
      </c>
      <c r="H454" s="9" t="str">
        <f ca="1">+WORLDCUP!BD63</f>
        <v>Suecia</v>
      </c>
      <c r="I454" s="9" t="str">
        <f ca="1">+WORLDCUP!BD67</f>
        <v>Austria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Australia</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Australia</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Australia</v>
      </c>
      <c r="G457" s="9" t="str">
        <f ca="1">+WORLDCUP!BD58</f>
        <v>República Checa</v>
      </c>
      <c r="H457" s="9" t="str">
        <f ca="1">+WORLDCUP!BD63</f>
        <v>Suecia</v>
      </c>
      <c r="I457" s="9" t="str">
        <f ca="1">+WORLDCUP!BD66</f>
        <v>Senegal</v>
      </c>
      <c r="J457" s="9" t="str">
        <f ca="1">+WORLDCUP!BD67</f>
        <v>Austria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Australia</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Australia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Australia</v>
      </c>
      <c r="J460" s="9" t="str">
        <f ca="1">+WORLDCUP!BD67</f>
        <v>Austria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Austria</v>
      </c>
      <c r="E462" s="9" t="str">
        <f ca="1">+WORLDCUP!BD59</f>
        <v>Bosnia y Herzegovina</v>
      </c>
      <c r="F462" s="9" t="str">
        <f ca="1">+WORLDCUP!BD60</f>
        <v>Escocia</v>
      </c>
      <c r="G462" s="9" t="str">
        <f ca="1">+WORLDCUP!BD58</f>
        <v>República Checa</v>
      </c>
      <c r="H462" s="9" t="str">
        <f ca="1">+WORLDCUP!BD61</f>
        <v>Australia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Australia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Austria</v>
      </c>
      <c r="E464" s="9" t="str">
        <f ca="1">+WORLDCUP!BD59</f>
        <v>Bosnia y Herzegovina</v>
      </c>
      <c r="F464" s="9" t="str">
        <f ca="1">+WORLDCUP!BD60</f>
        <v>Escocia</v>
      </c>
      <c r="G464" s="9" t="str">
        <f ca="1">+WORLDCUP!BD58</f>
        <v>República Checa</v>
      </c>
      <c r="H464" s="9" t="str">
        <f ca="1">+WORLDCUP!BD61</f>
        <v>Australia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Austria</v>
      </c>
      <c r="E465" s="9" t="str">
        <f ca="1">+WORLDCUP!BD59</f>
        <v>Bosnia y Herzegovina</v>
      </c>
      <c r="F465" s="9" t="str">
        <f ca="1">+WORLDCUP!BD60</f>
        <v>Escocia</v>
      </c>
      <c r="G465" s="9" t="str">
        <f ca="1">+WORLDCUP!BD58</f>
        <v>República Checa</v>
      </c>
      <c r="H465" s="9" t="str">
        <f ca="1">+WORLDCUP!BD61</f>
        <v>Australia</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Australia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República Checa</v>
      </c>
      <c r="H467" s="9" t="str">
        <f ca="1">+WORLDCUP!BD61</f>
        <v>Australia</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República Checa</v>
      </c>
      <c r="H468" s="9" t="str">
        <f ca="1">+WORLDCUP!BD61</f>
        <v>Australia</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Australia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Australia</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República Checa</v>
      </c>
      <c r="H471" s="9" t="str">
        <f ca="1">+WORLDCUP!BD61</f>
        <v>Australia</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Australia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Australia</v>
      </c>
      <c r="I473" s="9" t="str">
        <f ca="1">+WORLDCUP!BD69</f>
        <v>Ghana</v>
      </c>
      <c r="J473" s="9" t="str">
        <f ca="1">+WORLDCUP!BD67</f>
        <v>Austria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Australia</v>
      </c>
      <c r="I474" s="9" t="str">
        <f ca="1">+WORLDCUP!BD67</f>
        <v>Austria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Australia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Australia</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Australia</v>
      </c>
      <c r="I477" s="9" t="str">
        <f ca="1">+WORLDCUP!BD66</f>
        <v>Senegal</v>
      </c>
      <c r="J477" s="9" t="str">
        <f ca="1">+WORLDCUP!BD67</f>
        <v>Austria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Australia</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Australia</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Australia</v>
      </c>
      <c r="I480" s="9" t="str">
        <f ca="1">+WORLDCUP!BD62</f>
        <v>Ecuador</v>
      </c>
      <c r="J480" s="9" t="str">
        <f ca="1">+WORLDCUP!BD67</f>
        <v>Austria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Australia</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Australia</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Austria</v>
      </c>
      <c r="E483" s="9" t="str">
        <f ca="1">+WORLDCUP!BD59</f>
        <v>Bosnia y Herzegovina</v>
      </c>
      <c r="F483" s="9" t="str">
        <f ca="1">+WORLDCUP!BD61</f>
        <v>Australia</v>
      </c>
      <c r="G483" s="9" t="str">
        <f ca="1">+WORLDCUP!BD58</f>
        <v>República Checa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Austria</v>
      </c>
      <c r="E484" s="9" t="str">
        <f ca="1">+WORLDCUP!BD59</f>
        <v>Bosnia y Herzegovina</v>
      </c>
      <c r="F484" s="9" t="str">
        <f ca="1">+WORLDCUP!BD61</f>
        <v>Australia</v>
      </c>
      <c r="G484" s="9" t="str">
        <f ca="1">+WORLDCUP!BD58</f>
        <v>República Checa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Australia</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Australia</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Austria</v>
      </c>
      <c r="E487" s="9" t="str">
        <f ca="1">+WORLDCUP!BD59</f>
        <v>Bosnia y Herzegovina</v>
      </c>
      <c r="F487" s="9" t="str">
        <f ca="1">+WORLDCUP!BD61</f>
        <v>Australia</v>
      </c>
      <c r="G487" s="9" t="str">
        <f ca="1">+WORLDCUP!BD58</f>
        <v>República Checa</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Australia</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República Checa</v>
      </c>
      <c r="H490" s="9" t="str">
        <f ca="1">+WORLDCUP!BD63</f>
        <v>Suecia</v>
      </c>
      <c r="I490" s="9" t="str">
        <f ca="1">+WORLDCUP!BD61</f>
        <v>Australia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Australia</v>
      </c>
      <c r="G492" s="9" t="str">
        <f ca="1">+WORLDCUP!BD58</f>
        <v>República Checa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Australia</v>
      </c>
      <c r="G493" s="9" t="str">
        <f ca="1">+WORLDCUP!BD58</f>
        <v>República Checa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Australia</v>
      </c>
      <c r="G494" s="9" t="str">
        <f ca="1">+WORLDCUP!BD58</f>
        <v>República Checa</v>
      </c>
      <c r="H494" s="9" t="str">
        <f ca="1">+WORLDCUP!BD63</f>
        <v>Suecia</v>
      </c>
      <c r="I494" s="9" t="str">
        <f ca="1">+WORLDCUP!BD62</f>
        <v>Ecuador</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Australia</v>
      </c>
      <c r="G495" s="9" t="str">
        <f ca="1">+WORLDCUP!BD58</f>
        <v>República Checa</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Australia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6"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6">
      <c r="L89" s="3"/>
      <c r="M89" s="3"/>
      <c r="N89" s="3"/>
      <c r="O89" s="6"/>
      <c r="P89" s="6"/>
      <c r="Q89" s="6"/>
      <c r="R89" s="6"/>
      <c r="T89" s="16" t="s">
        <v>1479</v>
      </c>
      <c r="U89" s="9" t="s">
        <v>1466</v>
      </c>
      <c r="V89" s="9" t="s">
        <v>1466</v>
      </c>
      <c r="W89" s="585" t="s">
        <v>1468</v>
      </c>
      <c r="X89" s="584" t="e" vm="3">
        <v>#VALUE!</v>
      </c>
      <c r="Y89" s="9">
        <v>-4</v>
      </c>
      <c r="Z89" s="6"/>
      <c r="AA89" s="6"/>
      <c r="AB89" s="6"/>
    </row>
    <row r="90" spans="12:28" ht="16">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1458</v>
      </c>
      <c r="O92" s="409" t="s">
        <v>1459</v>
      </c>
      <c r="P92" s="409" t="s">
        <v>1493</v>
      </c>
      <c r="Q92" s="409" t="s">
        <v>1481</v>
      </c>
      <c r="R92" s="409" t="s">
        <v>1473</v>
      </c>
      <c r="Z92" s="6"/>
      <c r="AA92" s="6"/>
      <c r="AB92" s="6"/>
    </row>
    <row r="93" spans="12:28" ht="2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RowHeight="15"/>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Microsoft Office User</cp:lastModifiedBy>
  <cp:lastPrinted>2018-12-06T18:06:35Z</cp:lastPrinted>
  <dcterms:created xsi:type="dcterms:W3CDTF">2015-10-31T09:41:54Z</dcterms:created>
  <dcterms:modified xsi:type="dcterms:W3CDTF">2026-06-11T13:54:55Z</dcterms:modified>
</cp:coreProperties>
</file>