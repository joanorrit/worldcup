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mascl\Downloads\Mundial '26-Amics\"/>
    </mc:Choice>
  </mc:AlternateContent>
  <xr:revisionPtr revIDLastSave="0" documentId="13_ncr:1_{014CBF75-433B-4B3A-9B27-679FA3491AC7}"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AW26" i="45" l="1"/>
  <c r="AO37" i="45"/>
  <c r="AK32" i="45"/>
  <c r="AK7" i="45"/>
  <c r="AG35" i="45"/>
  <c r="AG22" i="45"/>
  <c r="AG5" i="45"/>
  <c r="AC45" i="45"/>
  <c r="AC37" i="45"/>
  <c r="AC30" i="45"/>
  <c r="AC22" i="45"/>
  <c r="AC15" i="45"/>
  <c r="AC7" i="45"/>
  <c r="AB22" i="45"/>
  <c r="AB15" i="45"/>
  <c r="AB7" i="45"/>
  <c r="AC13" i="45"/>
  <c r="AC6" i="45"/>
  <c r="AV25" i="45"/>
  <c r="AF47" i="45"/>
  <c r="AF17" i="45"/>
  <c r="AB36" i="45"/>
  <c r="AB13" i="45"/>
  <c r="AG46" i="45"/>
  <c r="AC49" i="45"/>
  <c r="AC19" i="45"/>
  <c r="AR32" i="45"/>
  <c r="AF16" i="45"/>
  <c r="AB27" i="45"/>
  <c r="AB4" i="45"/>
  <c r="AG41" i="45"/>
  <c r="AC40" i="45"/>
  <c r="AC18" i="45"/>
  <c r="AJ44" i="45"/>
  <c r="AF11" i="45"/>
  <c r="AB25" i="45"/>
  <c r="AO38" i="45"/>
  <c r="AG23" i="45"/>
  <c r="AC31" i="45"/>
  <c r="AV26" i="45"/>
  <c r="AN37" i="45"/>
  <c r="AJ32" i="45"/>
  <c r="AJ7" i="45"/>
  <c r="AF35" i="45"/>
  <c r="AF22" i="45"/>
  <c r="AF5" i="45"/>
  <c r="AB45" i="45"/>
  <c r="AB37" i="45"/>
  <c r="AB30" i="45"/>
  <c r="AJ31" i="45"/>
  <c r="AF34" i="45"/>
  <c r="AB43" i="45"/>
  <c r="AB21" i="45"/>
  <c r="AO13" i="45"/>
  <c r="AG16" i="45"/>
  <c r="AC27" i="45"/>
  <c r="AN13" i="45"/>
  <c r="AF29" i="45"/>
  <c r="AB34" i="45"/>
  <c r="AS31" i="45"/>
  <c r="AG28" i="45"/>
  <c r="AC33" i="45"/>
  <c r="AC3" i="45"/>
  <c r="AF41" i="45"/>
  <c r="AB40" i="45"/>
  <c r="AB10" i="45"/>
  <c r="AK8" i="45"/>
  <c r="AC46" i="45"/>
  <c r="AC9" i="45"/>
  <c r="AW25" i="45"/>
  <c r="AO14" i="45"/>
  <c r="AK31" i="45"/>
  <c r="AG47" i="45"/>
  <c r="AG34" i="45"/>
  <c r="AG17" i="45"/>
  <c r="AG4" i="45"/>
  <c r="AC43" i="45"/>
  <c r="AC36" i="45"/>
  <c r="AC28" i="45"/>
  <c r="AC21" i="45"/>
  <c r="AN14" i="45"/>
  <c r="AF4" i="45"/>
  <c r="AB28" i="45"/>
  <c r="AS32" i="45"/>
  <c r="AG29" i="45"/>
  <c r="AC34" i="45"/>
  <c r="AC4" i="45"/>
  <c r="AF46" i="45"/>
  <c r="AB42" i="45"/>
  <c r="AB12" i="45"/>
  <c r="AK19" i="45"/>
  <c r="AG11" i="45"/>
  <c r="AC25" i="45"/>
  <c r="AR31" i="45"/>
  <c r="AF28" i="45"/>
  <c r="AB33" i="45"/>
  <c r="AB3" i="45"/>
  <c r="AG40" i="45"/>
  <c r="AC39" i="45"/>
  <c r="AC16" i="45"/>
  <c r="AN38" i="45"/>
  <c r="AJ43" i="45"/>
  <c r="AJ8" i="45"/>
  <c r="AF40" i="45"/>
  <c r="AF23" i="45"/>
  <c r="AF10" i="45"/>
  <c r="AB46" i="45"/>
  <c r="AB39" i="45"/>
  <c r="AB31" i="45"/>
  <c r="AB24" i="45"/>
  <c r="AB16" i="45"/>
  <c r="AB9" i="45"/>
  <c r="AB6" i="45"/>
  <c r="AK20" i="45"/>
  <c r="AC42" i="45"/>
  <c r="AC12" i="45"/>
  <c r="AJ20" i="45"/>
  <c r="AB49" i="45"/>
  <c r="AB19" i="45"/>
  <c r="AK44" i="45"/>
  <c r="AC48" i="45"/>
  <c r="AC10" i="45"/>
  <c r="AJ19" i="45"/>
  <c r="AB48" i="45"/>
  <c r="AB18" i="45"/>
  <c r="AK43" i="45"/>
  <c r="AG10" i="45"/>
  <c r="AC24" i="45"/>
  <c r="D256" i="36"/>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Y119"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56" i="3"/>
  <c r="AJ29" i="3"/>
  <c r="AJ21" i="3"/>
  <c r="AJ45" i="3"/>
  <c r="C253" i="31"/>
  <c r="C257" i="31"/>
  <c r="D72" i="36"/>
  <c r="AY3" i="3" s="1"/>
  <c r="D273" i="36"/>
  <c r="EU6144" i="34"/>
  <c r="G227" i="36" s="1"/>
  <c r="D227" i="36" s="1"/>
  <c r="K27" i="6" s="1"/>
  <c r="E17" i="30"/>
  <c r="AC19" i="3"/>
  <c r="AC83" i="3"/>
  <c r="AC91" i="3"/>
  <c r="AC75" i="3"/>
  <c r="AC35" i="3"/>
  <c r="AC142" i="3"/>
  <c r="AC130" i="3"/>
  <c r="AC27" i="3"/>
  <c r="AC119" i="3"/>
  <c r="AC67" i="3"/>
  <c r="AC59" i="3"/>
  <c r="AO13" i="3"/>
  <c r="AA162"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S45"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AD51" i="3"/>
  <c r="X91" i="3"/>
  <c r="BE5" i="3"/>
  <c r="BE57" i="3" s="1"/>
  <c r="BK5" i="3"/>
  <c r="BK57" i="3" s="1"/>
  <c r="AM37" i="3"/>
  <c r="AT77" i="3"/>
  <c r="AF137" i="3"/>
  <c r="AF19" i="3"/>
  <c r="AF35" i="3" s="1"/>
  <c r="Z22" i="3"/>
  <c r="Z87" i="3"/>
  <c r="Z23" i="3"/>
  <c r="Z94" i="3"/>
  <c r="Z71" i="3"/>
  <c r="Z47" i="3"/>
  <c r="Z75" i="3"/>
  <c r="Z51" i="3"/>
  <c r="Z67" i="3"/>
  <c r="AT37" i="3"/>
  <c r="Y11" i="3"/>
  <c r="Y27" i="3" s="1"/>
  <c r="Y43" i="3" s="1"/>
  <c r="Z91" i="3"/>
  <c r="X146" i="3"/>
  <c r="AT29" i="3"/>
  <c r="X75" i="3"/>
  <c r="Z62" i="3"/>
  <c r="AN101" i="3"/>
  <c r="AN77" i="3"/>
  <c r="AN37" i="3"/>
  <c r="Y137" i="3"/>
  <c r="Y83" i="3"/>
  <c r="Z11" i="3"/>
  <c r="Z27" i="3" s="1"/>
  <c r="Z43" i="3" s="1"/>
  <c r="X119" i="3"/>
  <c r="Z7"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59" i="3"/>
  <c r="Y19" i="3"/>
  <c r="Y35" i="3" s="1"/>
  <c r="X142" i="3"/>
  <c r="X11" i="3"/>
  <c r="X27" i="3" s="1"/>
  <c r="X43" i="3" s="1"/>
  <c r="X100" i="3"/>
  <c r="X137" i="3"/>
  <c r="X83" i="3"/>
  <c r="X19" i="3"/>
  <c r="X35" i="3" s="1"/>
  <c r="AS93" i="3"/>
  <c r="AS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AO45" i="3"/>
  <c r="BG5" i="3"/>
  <c r="BG57" i="3" s="1"/>
  <c r="Z83" i="3"/>
  <c r="Z63" i="3"/>
  <c r="Z70" i="3"/>
  <c r="AJ13" i="3"/>
  <c r="AJ85" i="3"/>
  <c r="AL13" i="3"/>
  <c r="AY13" i="3" s="1"/>
  <c r="AL21" i="3"/>
  <c r="AY21" i="3" s="1"/>
  <c r="AL53" i="3"/>
  <c r="AY53" i="3" s="1"/>
  <c r="AP69" i="3"/>
  <c r="AP77" i="3"/>
  <c r="BH5" i="3"/>
  <c r="BH57" i="3" s="1"/>
  <c r="Z14" i="3"/>
  <c r="AJ77" i="3"/>
  <c r="AJ53" i="3"/>
  <c r="AP85" i="3"/>
  <c r="AP93" i="3"/>
  <c r="AP29" i="3"/>
  <c r="AP37" i="3"/>
  <c r="AO69" i="3"/>
  <c r="AO21" i="3"/>
  <c r="AF100" i="3"/>
  <c r="AF130" i="3"/>
  <c r="AJ37" i="3"/>
  <c r="AD19" i="3" l="1"/>
  <c r="Z96" i="3"/>
  <c r="Z77" i="3"/>
  <c r="Z44" i="3"/>
  <c r="AO29" i="3"/>
  <c r="Y51" i="3"/>
  <c r="AD119" i="3"/>
  <c r="Y67" i="3"/>
  <c r="Z16" i="3"/>
  <c r="Z12" i="3"/>
  <c r="Y142" i="3"/>
  <c r="Y75" i="3"/>
  <c r="Y130" i="3"/>
  <c r="Z9" i="3"/>
  <c r="Y100" i="3"/>
  <c r="Y91" i="3"/>
  <c r="AN29" i="3"/>
  <c r="AO37" i="3"/>
  <c r="AO101" i="3"/>
  <c r="AN61" i="3"/>
  <c r="Z52" i="3"/>
  <c r="Z73" i="3"/>
  <c r="AO61" i="3"/>
  <c r="AN85" i="3"/>
  <c r="Z53" i="3"/>
  <c r="Z85" i="3"/>
  <c r="AO77" i="3"/>
  <c r="AN69" i="3"/>
  <c r="Z76" i="3"/>
  <c r="AO53" i="3"/>
  <c r="Z45" i="3"/>
  <c r="AM21" i="3"/>
  <c r="Z33" i="3"/>
  <c r="Z20" i="3"/>
  <c r="Z80" i="3"/>
  <c r="Z84" i="3"/>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C31"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B13"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L20" i="3"/>
  <c r="BL9" i="3"/>
  <c r="BE48"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60" i="32" l="1"/>
  <c r="Y60" i="3" s="1"/>
  <c r="C45" i="32"/>
  <c r="X45" i="3" s="1"/>
  <c r="C33" i="32"/>
  <c r="X33" i="3" s="1"/>
  <c r="C61" i="32"/>
  <c r="X61" i="3" s="1"/>
  <c r="C88" i="32"/>
  <c r="X88" i="3" s="1"/>
  <c r="C62" i="32"/>
  <c r="Y62" i="3" s="1"/>
  <c r="C20" i="32"/>
  <c r="Y20" i="3" s="1"/>
  <c r="C7" i="32"/>
  <c r="X7" i="3" s="1"/>
  <c r="C101" i="32"/>
  <c r="Y101" i="3" s="1"/>
  <c r="C64" i="32"/>
  <c r="Y64" i="3" s="1"/>
  <c r="C53" i="32"/>
  <c r="Y53" i="3" s="1"/>
  <c r="C5" i="32"/>
  <c r="Y5" i="3" s="1"/>
  <c r="C23" i="32"/>
  <c r="X23" i="3" s="1"/>
  <c r="C31" i="32"/>
  <c r="Y31" i="3" s="1"/>
  <c r="C143" i="32"/>
  <c r="X143" i="3" s="1"/>
  <c r="C93" i="32"/>
  <c r="Y93" i="3" s="1"/>
  <c r="C113" i="32"/>
  <c r="X113" i="3" s="1"/>
  <c r="C65" i="32"/>
  <c r="Y65" i="3" s="1"/>
  <c r="C103" i="32"/>
  <c r="X103" i="3" s="1"/>
  <c r="C69" i="32"/>
  <c r="Y69" i="3" s="1"/>
  <c r="C21" i="32"/>
  <c r="X21" i="3" s="1"/>
  <c r="C29" i="32"/>
  <c r="Y29" i="3" s="1"/>
  <c r="C41" i="32"/>
  <c r="X41" i="3" s="1"/>
  <c r="C106" i="32"/>
  <c r="Y106" i="3" s="1"/>
  <c r="C92" i="32"/>
  <c r="X92" i="3" s="1"/>
  <c r="C17" i="32"/>
  <c r="X17" i="3" s="1"/>
  <c r="C84" i="32"/>
  <c r="X84" i="3" s="1"/>
  <c r="C13" i="32"/>
  <c r="Y13" i="3" s="1"/>
  <c r="C38" i="32"/>
  <c r="Y38" i="3" s="1"/>
  <c r="C56" i="32"/>
  <c r="X56" i="3" s="1"/>
  <c r="C134" i="32"/>
  <c r="Y134" i="3" s="1"/>
  <c r="C85" i="32"/>
  <c r="X85" i="3" s="1"/>
  <c r="C12" i="32"/>
  <c r="X12" i="3" s="1"/>
  <c r="C95" i="32"/>
  <c r="X95" i="3" s="1"/>
  <c r="C120" i="32"/>
  <c r="X120" i="3" s="1"/>
  <c r="C28" i="32"/>
  <c r="X28" i="3" s="1"/>
  <c r="C139" i="32"/>
  <c r="X139" i="3" s="1"/>
  <c r="C105" i="32"/>
  <c r="X105" i="3" s="1"/>
  <c r="C55" i="32"/>
  <c r="Y55" i="3" s="1"/>
  <c r="C78" i="32"/>
  <c r="Y78" i="3" s="1"/>
  <c r="C79" i="32"/>
  <c r="Y79" i="3" s="1"/>
  <c r="C125" i="32"/>
  <c r="Y125" i="3" s="1"/>
  <c r="C16" i="32"/>
  <c r="X16" i="3" s="1"/>
  <c r="C14" i="32"/>
  <c r="X14" i="3" s="1"/>
  <c r="C138" i="32"/>
  <c r="Y138" i="3" s="1"/>
  <c r="C94" i="32"/>
  <c r="X94" i="3" s="1"/>
  <c r="C25" i="32"/>
  <c r="X25" i="3" s="1"/>
  <c r="C6" i="32"/>
  <c r="X6" i="3" s="1"/>
  <c r="C108" i="32"/>
  <c r="Y108" i="3" s="1"/>
  <c r="C54" i="32"/>
  <c r="Y54" i="3" s="1"/>
  <c r="C9" i="32"/>
  <c r="X9" i="3" s="1"/>
  <c r="C86" i="32"/>
  <c r="X86" i="3" s="1"/>
  <c r="C115" i="32"/>
  <c r="Y115" i="3" s="1"/>
  <c r="C116" i="32"/>
  <c r="X116" i="3" s="1"/>
  <c r="C81" i="32"/>
  <c r="X81" i="3" s="1"/>
  <c r="C110" i="32"/>
  <c r="X110" i="3" s="1"/>
  <c r="C49" i="32"/>
  <c r="X49"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61" i="3"/>
  <c r="Y45" i="3"/>
  <c r="Y23" i="3"/>
  <c r="X60" i="3"/>
  <c r="Y33" i="3"/>
  <c r="X29" i="3" l="1"/>
  <c r="X93" i="3"/>
  <c r="Y12" i="3"/>
  <c r="Y41" i="3"/>
  <c r="X64" i="3"/>
  <c r="X101" i="3"/>
  <c r="Y7" i="3"/>
  <c r="X62" i="3"/>
  <c r="Y95" i="3"/>
  <c r="X31" i="3"/>
  <c r="X20" i="3"/>
  <c r="X65" i="3"/>
  <c r="X69" i="3"/>
  <c r="Y17" i="3"/>
  <c r="X13" i="3"/>
  <c r="X106" i="3"/>
  <c r="X134" i="3"/>
  <c r="Y84" i="3"/>
  <c r="Y105" i="3"/>
  <c r="Y103" i="3"/>
  <c r="X55" i="3"/>
  <c r="Y94" i="3"/>
  <c r="Y28" i="3"/>
  <c r="X79" i="3"/>
  <c r="X54" i="3"/>
  <c r="X38" i="3"/>
  <c r="Y56" i="3"/>
  <c r="X78" i="3"/>
  <c r="Y113" i="3"/>
  <c r="Y16" i="3"/>
  <c r="Y14" i="3"/>
  <c r="Y143" i="3"/>
  <c r="X5" i="3"/>
  <c r="Y88" i="3"/>
  <c r="Y92" i="3"/>
  <c r="X53" i="3"/>
  <c r="Y21" i="3"/>
  <c r="Y120" i="3"/>
  <c r="Y139" i="3"/>
  <c r="X138" i="3"/>
  <c r="X125" i="3"/>
  <c r="Y85" i="3"/>
  <c r="Y6" i="3"/>
  <c r="Y25" i="3"/>
  <c r="X108" i="3"/>
  <c r="Y86" i="3"/>
  <c r="Y9" i="3"/>
  <c r="X115" i="3"/>
  <c r="Y116" i="3"/>
  <c r="Y81" i="3"/>
  <c r="Y114" i="3"/>
  <c r="Y121" i="3"/>
  <c r="Y4" i="3"/>
  <c r="Y110" i="3"/>
  <c r="X24" i="3"/>
  <c r="Y49" i="3"/>
  <c r="Y127" i="3"/>
  <c r="Y102" i="3"/>
  <c r="X57" i="3"/>
  <c r="X63" i="3"/>
  <c r="Y133" i="3"/>
  <c r="X68" i="3"/>
  <c r="X124" i="3"/>
  <c r="Y76" i="3"/>
  <c r="X48" i="3"/>
  <c r="Y22" i="3"/>
  <c r="X123" i="3"/>
  <c r="Y104" i="3"/>
  <c r="X89" i="3"/>
  <c r="X44" i="3"/>
  <c r="X47" i="3"/>
  <c r="X122" i="3"/>
  <c r="X131"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U26" i="3" s="1"/>
  <c r="BW28" i="3"/>
  <c r="E45" i="3"/>
  <c r="BW29" i="3" s="1"/>
  <c r="F92" i="3"/>
  <c r="F95" i="3"/>
  <c r="BW53" i="3" s="1"/>
  <c r="E97" i="3"/>
  <c r="BV52" i="3" s="1"/>
  <c r="F81" i="3"/>
  <c r="E76" i="3"/>
  <c r="E78" i="3"/>
  <c r="BW44" i="3" s="1"/>
  <c r="E48" i="3"/>
  <c r="F44" i="3"/>
  <c r="F47" i="3"/>
  <c r="E38" i="3"/>
  <c r="BW24" i="3" s="1"/>
  <c r="BW22" i="3"/>
  <c r="F41" i="3"/>
  <c r="E36" i="3"/>
  <c r="BW23" i="3" s="1"/>
  <c r="E39" i="3"/>
  <c r="F37" i="3"/>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BW40" i="3" s="1"/>
  <c r="E55" i="3"/>
  <c r="BU31" i="3" s="1"/>
  <c r="E57" i="3"/>
  <c r="F55" i="3"/>
  <c r="BU33" i="3" s="1"/>
  <c r="F52" i="3"/>
  <c r="BU30" i="3" s="1"/>
  <c r="F25" i="3"/>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2" i="3" s="1"/>
  <c r="BU44" i="3"/>
  <c r="E61" i="3"/>
  <c r="BW37" i="3" s="1"/>
  <c r="F62" i="3"/>
  <c r="BU34" i="3" s="1"/>
  <c r="BU36" i="3"/>
  <c r="F64" i="3"/>
  <c r="BU35" i="3" s="1"/>
  <c r="F72" i="3"/>
  <c r="E68" i="3"/>
  <c r="BW38" i="3"/>
  <c r="BU38" i="3"/>
  <c r="E70" i="3"/>
  <c r="BU24" i="3" l="1"/>
  <c r="BW35" i="3"/>
  <c r="BW39" i="3"/>
  <c r="BU41" i="3"/>
  <c r="BU25" i="3"/>
  <c r="BW36" i="3"/>
  <c r="BU37" i="3"/>
  <c r="BW25" i="3"/>
  <c r="BW15"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X22" i="3" s="1"/>
  <c r="BV23" i="3"/>
  <c r="BX23" i="3" s="1"/>
  <c r="BV24" i="3"/>
  <c r="BV25" i="3"/>
  <c r="BW20" i="3"/>
  <c r="BU10" i="3"/>
  <c r="BU13" i="3"/>
  <c r="BW11" i="3"/>
  <c r="BW14" i="3"/>
  <c r="BW19" i="3"/>
  <c r="BW12" i="3"/>
  <c r="BU15" i="3"/>
  <c r="BW16" i="3"/>
  <c r="BU14" i="3"/>
  <c r="BW7" i="3"/>
  <c r="BU6" i="3"/>
  <c r="BW8" i="3"/>
  <c r="BU9" i="3"/>
  <c r="BW9" i="3"/>
  <c r="BV9" i="3"/>
  <c r="BV8" i="3"/>
  <c r="BV6" i="3"/>
  <c r="BW49" i="3"/>
  <c r="BW31" i="3"/>
  <c r="BW47" i="3"/>
  <c r="BX32" i="3"/>
  <c r="BX24" i="3" l="1"/>
  <c r="BX37" i="3"/>
  <c r="BX25"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0" i="3" s="1"/>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c r="H8" i="3"/>
  <c r="H6" i="3"/>
  <c r="I5" i="3"/>
  <c r="I24" i="3"/>
  <c r="H23" i="3"/>
  <c r="H20" i="3"/>
  <c r="H21" i="3" l="1"/>
  <c r="H78" i="3"/>
  <c r="H25"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A13" i="3"/>
  <c r="CB53" i="3"/>
  <c r="CA45" i="3"/>
  <c r="CB45" i="3"/>
  <c r="CB46" i="3"/>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4" i="3"/>
  <c r="L13" i="3"/>
  <c r="K14" i="3"/>
  <c r="L87" i="3" l="1"/>
  <c r="L97" i="3"/>
  <c r="K12" i="3"/>
  <c r="K24"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46" i="3" l="1"/>
  <c r="CF49"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N96" i="3"/>
  <c r="O97" i="3"/>
  <c r="O93" i="3"/>
  <c r="N95" i="3"/>
  <c r="N61" i="3" l="1"/>
  <c r="CI36" i="3"/>
  <c r="O64" i="3"/>
  <c r="O95" i="3"/>
  <c r="O44" i="3"/>
  <c r="O47" i="3"/>
  <c r="CI42" i="3"/>
  <c r="CK20" i="3"/>
  <c r="CI17" i="3"/>
  <c r="CI51" i="3"/>
  <c r="N29" i="3"/>
  <c r="CJ50" i="3"/>
  <c r="CI9" i="3"/>
  <c r="CI22" i="3"/>
  <c r="O55" i="3"/>
  <c r="O33" i="3"/>
  <c r="CJ19" i="3" s="1"/>
  <c r="N9" i="3"/>
  <c r="N36" i="3"/>
  <c r="O41" i="3"/>
  <c r="CK25" i="3" s="1"/>
  <c r="O4" i="3"/>
  <c r="O69" i="3"/>
  <c r="CK40" i="3" s="1"/>
  <c r="CI35" i="3"/>
  <c r="N72" i="3"/>
  <c r="CK21" i="3"/>
  <c r="O30" i="3"/>
  <c r="N32" i="3"/>
  <c r="CJ18" i="3" s="1"/>
  <c r="N7" i="3"/>
  <c r="O29" i="3"/>
  <c r="CI20" i="3" s="1"/>
  <c r="N49" i="3"/>
  <c r="N52" i="3"/>
  <c r="CK24" i="3"/>
  <c r="N54" i="3"/>
  <c r="CK32" i="3" s="1"/>
  <c r="N37" i="3"/>
  <c r="CI10" i="3"/>
  <c r="N8" i="3"/>
  <c r="CI6" i="3" s="1"/>
  <c r="CK22" i="3"/>
  <c r="CK41" i="3"/>
  <c r="O52" i="3"/>
  <c r="CI30" i="3" s="1"/>
  <c r="N97" i="3"/>
  <c r="O77" i="3"/>
  <c r="CI44" i="3" s="1"/>
  <c r="N80" i="3"/>
  <c r="N55" i="3"/>
  <c r="CI31" i="3" s="1"/>
  <c r="N81" i="3"/>
  <c r="N84" i="3"/>
  <c r="CI45" i="3"/>
  <c r="O5" i="3"/>
  <c r="N47" i="3"/>
  <c r="CI27" i="3" s="1"/>
  <c r="CK46" i="3"/>
  <c r="CI33" i="3"/>
  <c r="O53" i="3"/>
  <c r="CI32" i="3" s="1"/>
  <c r="O79" i="3"/>
  <c r="N6" i="3"/>
  <c r="N86" i="3"/>
  <c r="CK48" i="3" s="1"/>
  <c r="O32" i="3"/>
  <c r="CI21" i="3" s="1"/>
  <c r="CI12" i="3"/>
  <c r="CI43" i="3"/>
  <c r="N88" i="3"/>
  <c r="N30" i="3"/>
  <c r="CI25" i="3"/>
  <c r="CK6" i="3"/>
  <c r="CI18" i="3"/>
  <c r="N73" i="3"/>
  <c r="CI15" i="3"/>
  <c r="N15" i="3"/>
  <c r="CI11" i="3"/>
  <c r="O96" i="3"/>
  <c r="CJ53" i="3" s="1"/>
  <c r="CL53" i="3" s="1"/>
  <c r="CK34" i="3"/>
  <c r="CK8" i="3"/>
  <c r="CI39" i="3"/>
  <c r="CK30" i="3"/>
  <c r="N68" i="3"/>
  <c r="CK50" i="3"/>
  <c r="O40" i="3"/>
  <c r="O15" i="3"/>
  <c r="N65" i="3"/>
  <c r="O9" i="3"/>
  <c r="CI7" i="3" s="1"/>
  <c r="CI23" i="3"/>
  <c r="O36" i="3"/>
  <c r="CJ22" i="3" s="1"/>
  <c r="CK23" i="3"/>
  <c r="O61" i="3"/>
  <c r="CI8" i="3"/>
  <c r="CI47" i="3"/>
  <c r="CK37" i="3"/>
  <c r="N13" i="3"/>
  <c r="O68" i="3"/>
  <c r="O57" i="3"/>
  <c r="O65" i="3"/>
  <c r="N40" i="3"/>
  <c r="O31" i="3"/>
  <c r="CJ21" i="3" s="1"/>
  <c r="N92" i="3"/>
  <c r="CK51" i="3" s="1"/>
  <c r="CK12" i="3"/>
  <c r="N77" i="3"/>
  <c r="CK45" i="3" s="1"/>
  <c r="CK44" i="3"/>
  <c r="CI19" i="3"/>
  <c r="CI50" i="3"/>
  <c r="O25" i="3"/>
  <c r="O37" i="3"/>
  <c r="N5" i="3"/>
  <c r="CJ9" i="3" s="1"/>
  <c r="O72" i="3"/>
  <c r="O84" i="3"/>
  <c r="CI46" i="3" s="1"/>
  <c r="CK39" i="3"/>
  <c r="O87" i="3"/>
  <c r="N60" i="3"/>
  <c r="CK35" i="3" s="1"/>
  <c r="O78" i="3"/>
  <c r="O23" i="3"/>
  <c r="N94" i="3"/>
  <c r="CK52" i="3" s="1"/>
  <c r="N39" i="3"/>
  <c r="CK38" i="3"/>
  <c r="CI52" i="3"/>
  <c r="N4" i="3"/>
  <c r="CK7" i="3" s="1"/>
  <c r="CK19" i="3"/>
  <c r="N87" i="3"/>
  <c r="N25" i="3"/>
  <c r="O22" i="3"/>
  <c r="N76" i="3"/>
  <c r="CJ43" i="3" s="1"/>
  <c r="O49" i="3"/>
  <c r="CI29" i="3" s="1"/>
  <c r="N46" i="3"/>
  <c r="CJ28" i="3" s="1"/>
  <c r="N53" i="3"/>
  <c r="CK33" i="3" s="1"/>
  <c r="CK28" i="3"/>
  <c r="N85" i="3"/>
  <c r="N44" i="3"/>
  <c r="CK27" i="3" s="1"/>
  <c r="N12" i="3"/>
  <c r="O54" i="3"/>
  <c r="O89" i="3"/>
  <c r="O56" i="3"/>
  <c r="N24" i="3"/>
  <c r="O46" i="3"/>
  <c r="CI26" i="3" s="1"/>
  <c r="CI28" i="3"/>
  <c r="O21" i="3"/>
  <c r="CI16" i="3" s="1"/>
  <c r="N45" i="3"/>
  <c r="CK29" i="3" s="1"/>
  <c r="N16" i="3"/>
  <c r="CI48" i="3"/>
  <c r="CK26" i="3"/>
  <c r="CJ48" i="3"/>
  <c r="O20" i="3"/>
  <c r="CI14" i="3" s="1"/>
  <c r="N33" i="3"/>
  <c r="CK10" i="3"/>
  <c r="N69" i="3"/>
  <c r="O73" i="3"/>
  <c r="O60" i="3"/>
  <c r="CI34" i="3" s="1"/>
  <c r="O63" i="3"/>
  <c r="CI40" i="3"/>
  <c r="CK11" i="3"/>
  <c r="O70" i="3"/>
  <c r="CI38" i="3" s="1"/>
  <c r="CK17" i="3"/>
  <c r="N22" i="3"/>
  <c r="CK42" i="3"/>
  <c r="N78" i="3"/>
  <c r="O81" i="3"/>
  <c r="CI13" i="3"/>
  <c r="N14" i="3"/>
  <c r="CK13" i="3"/>
  <c r="N23" i="3"/>
  <c r="N20" i="3"/>
  <c r="CK15" i="3" s="1"/>
  <c r="O24" i="3"/>
  <c r="N17" i="3"/>
  <c r="O14" i="3"/>
  <c r="CK53" i="3"/>
  <c r="CK14" i="3"/>
  <c r="CK49" i="3"/>
  <c r="CK31" i="3"/>
  <c r="CI37" i="3" l="1"/>
  <c r="CI49" i="3"/>
  <c r="CK47" i="3"/>
  <c r="CK43" i="3"/>
  <c r="CI41" i="3"/>
  <c r="CJ36" i="3"/>
  <c r="CL36" i="3" s="1"/>
  <c r="CK36" i="3"/>
  <c r="CI24" i="3"/>
  <c r="CK18" i="3"/>
  <c r="CK1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M49" i="3" s="1"/>
  <c r="CL24" i="3"/>
  <c r="CM45" i="3"/>
  <c r="CM50" i="3"/>
  <c r="CM46" i="3"/>
  <c r="CM53" i="3"/>
  <c r="CM48" i="3"/>
  <c r="CM16" i="3"/>
  <c r="CM40" i="3"/>
  <c r="CM30" i="3"/>
  <c r="CM17" i="3"/>
  <c r="CM15" i="3"/>
  <c r="CM34" i="3"/>
  <c r="CM31" i="3"/>
  <c r="CM33" i="3"/>
  <c r="CM47" i="3"/>
  <c r="CM22" i="3"/>
  <c r="CM43" i="3"/>
  <c r="CM21" i="3"/>
  <c r="CM35" i="3"/>
  <c r="CM18"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R37" i="3"/>
  <c r="Q17" i="3"/>
  <c r="R6" i="3"/>
  <c r="R14" i="3"/>
  <c r="Q9" i="3" l="1"/>
  <c r="R86" i="3"/>
  <c r="R89" i="3"/>
  <c r="R78" i="3"/>
  <c r="R29" i="3"/>
  <c r="R80" i="3"/>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Q21" i="3"/>
  <c r="Q38" i="3"/>
  <c r="R23" i="3"/>
  <c r="Q14" i="3"/>
  <c r="R96" i="3"/>
  <c r="R55" i="3"/>
  <c r="CP33" i="3" s="1"/>
  <c r="R41" i="3"/>
  <c r="R93" i="3"/>
  <c r="R7" i="3"/>
  <c r="R88" i="3"/>
  <c r="R85" i="3"/>
  <c r="Q68" i="3"/>
  <c r="CP39" i="3" s="1"/>
  <c r="R72" i="3"/>
  <c r="R95" i="3"/>
  <c r="Q22" i="3"/>
  <c r="CO15" i="3" s="1"/>
  <c r="Q56" i="3"/>
  <c r="R77" i="3"/>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R68" i="3"/>
  <c r="R8" i="3"/>
  <c r="CO9" i="3" s="1"/>
  <c r="R60" i="3"/>
  <c r="Q4" i="3"/>
  <c r="CP30" i="3"/>
  <c r="CO22" i="3"/>
  <c r="CO30" i="3"/>
  <c r="CP47" i="3"/>
  <c r="CO47" i="3"/>
  <c r="CO12" i="3"/>
  <c r="CP23" i="3"/>
  <c r="CP53" i="3" l="1"/>
  <c r="CO53" i="3"/>
  <c r="CO35" i="3"/>
  <c r="CP36" i="3"/>
  <c r="CP45" i="3"/>
  <c r="CP44" i="3"/>
  <c r="CP49" i="3"/>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45" i="3"/>
  <c r="CQ53" i="3"/>
  <c r="CQ47" i="3"/>
  <c r="CQ35" i="3" l="1"/>
  <c r="CQ36"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7" i="3" l="1"/>
  <c r="T41" i="3"/>
  <c r="T54" i="3"/>
  <c r="U57" i="3"/>
  <c r="U38" i="3"/>
  <c r="T37" i="3"/>
  <c r="CT24" i="3"/>
  <c r="U33" i="3"/>
  <c r="U25" i="3"/>
  <c r="T21" i="3"/>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CT49" i="3" s="1"/>
  <c r="T87" i="3"/>
  <c r="T88" i="3"/>
  <c r="T56" i="3"/>
  <c r="CT32" i="3" s="1"/>
  <c r="T53" i="3"/>
  <c r="CT33" i="3" s="1"/>
  <c r="U13" i="3"/>
  <c r="CT12" i="3" s="1"/>
  <c r="U49" i="3"/>
  <c r="T16" i="3"/>
  <c r="U52" i="3"/>
  <c r="T64" i="3"/>
  <c r="U14" i="3"/>
  <c r="U60" i="3"/>
  <c r="U54" i="3"/>
  <c r="T76" i="3"/>
  <c r="U12" i="3"/>
  <c r="T94" i="3"/>
  <c r="U28" i="3"/>
  <c r="T68" i="3"/>
  <c r="U21" i="3"/>
  <c r="U93" i="3"/>
  <c r="T33" i="3"/>
  <c r="U29" i="3"/>
  <c r="T20" i="3"/>
  <c r="CT15" i="3" s="1"/>
  <c r="T96" i="3"/>
  <c r="U72" i="3"/>
  <c r="U96" i="3"/>
  <c r="CT53" i="3" s="1"/>
  <c r="T44" i="3"/>
  <c r="T5" i="3"/>
  <c r="U39" i="3"/>
  <c r="T72" i="3"/>
  <c r="T57" i="3"/>
  <c r="U94" i="3"/>
  <c r="CT50" i="3" s="1"/>
  <c r="U36" i="3"/>
  <c r="CT22" i="3" s="1"/>
  <c r="T65" i="3"/>
  <c r="U61" i="3"/>
  <c r="U17" i="3"/>
  <c r="T23" i="3"/>
  <c r="U69" i="3"/>
  <c r="T55" i="3"/>
  <c r="CT31" i="3" s="1"/>
  <c r="U97" i="3"/>
  <c r="CT51" i="3" s="1"/>
  <c r="U6" i="3"/>
  <c r="T25" i="3"/>
  <c r="U79" i="3"/>
  <c r="T60" i="3"/>
  <c r="T4" i="3"/>
  <c r="CT7" i="3" s="1"/>
  <c r="T62" i="3"/>
  <c r="T7" i="3"/>
  <c r="U20" i="3"/>
  <c r="T48" i="3"/>
  <c r="CT28" i="3" s="1"/>
  <c r="U44" i="3"/>
  <c r="U76" i="3"/>
  <c r="CT43" i="3"/>
  <c r="U46" i="3"/>
  <c r="T45" i="3"/>
  <c r="T47" i="3"/>
  <c r="T9" i="3"/>
  <c r="T49" i="3"/>
  <c r="CT40" i="3"/>
  <c r="CT47" i="3" l="1"/>
  <c r="CT35" i="3"/>
  <c r="CT34" i="3"/>
  <c r="CT25" i="3"/>
  <c r="CT11"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a="1"/>
  <c r="DN31" i="3" s="1"/>
  <c r="DN33" i="3" l="1"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D122" i="3"/>
  <c r="AG122" i="3" s="1"/>
  <c r="D124" i="3"/>
  <c r="AG124" i="3" s="1"/>
  <c r="D121" i="3"/>
  <c r="AG121" i="3" s="1"/>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M133" i="3"/>
  <c r="AA133" i="3" s="1"/>
  <c r="M132" i="3"/>
  <c r="AA132" i="3" s="1"/>
  <c r="D132"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1" i="3" l="1"/>
  <c r="AA131" i="3" s="1"/>
  <c r="D131" i="3" s="1"/>
  <c r="D120" i="3"/>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H138" i="3"/>
  <c r="AA143" i="3"/>
  <c r="D138" i="3"/>
  <c r="AA147" i="3"/>
  <c r="AM38" i="45" a="1"/>
  <c r="AM38" i="45" s="1"/>
  <c r="C229" i="31"/>
  <c r="C228" i="31"/>
  <c r="AM14" i="45"/>
  <c r="AM13" i="45"/>
  <c r="B232" i="31"/>
  <c r="C226" i="31"/>
  <c r="C232" i="31"/>
  <c r="AI8" i="45" l="1"/>
  <c r="C220" i="31"/>
  <c r="C214" i="31"/>
  <c r="B220" i="31"/>
  <c r="BV61" i="3"/>
  <c r="BV60" i="3"/>
  <c r="BV66" i="3"/>
  <c r="BV69" i="3"/>
  <c r="BV65" i="3"/>
  <c r="BV68" i="3"/>
  <c r="BV62" i="3"/>
  <c r="BV59" i="3"/>
  <c r="BV64" i="3"/>
  <c r="BV58" i="3"/>
  <c r="BV67" i="3"/>
  <c r="BV63" i="3"/>
  <c r="D147" i="3"/>
  <c r="AG147" i="3" s="1"/>
  <c r="AA150" i="3"/>
  <c r="H147" i="3"/>
  <c r="AA151" i="3"/>
  <c r="AG139" i="3"/>
  <c r="N143" i="3"/>
  <c r="N147" i="3"/>
  <c r="AU26" i="45"/>
  <c r="C241" i="31"/>
  <c r="C240" i="31"/>
  <c r="C247" i="31"/>
  <c r="B247"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F143" i="3" l="1"/>
  <c r="H139" i="3"/>
  <c r="AM37" i="45"/>
  <c r="C227" i="31"/>
  <c r="C233" i="31"/>
  <c r="B233" i="31"/>
  <c r="AA152" i="3" l="1"/>
  <c r="D143" i="3"/>
  <c r="AG143" i="3" s="1"/>
  <c r="B244" i="31"/>
  <c r="C244" i="31"/>
  <c r="C237" i="31"/>
  <c r="AQ32" i="45"/>
  <c r="AZ25" i="45" l="1"/>
  <c r="AG152" i="3"/>
  <c r="AJ151" i="3" s="1"/>
  <c r="C252" i="31"/>
  <c r="BM35" i="45" l="1"/>
  <c r="BL35" i="45" s="1"/>
  <c r="BK35" i="45" s="1"/>
  <c r="BJ35" i="45" s="1"/>
  <c r="BI35" i="45" s="1"/>
  <c r="BH35" i="45" s="1"/>
  <c r="BM21" i="45"/>
  <c r="BL21" i="45" s="1"/>
  <c r="BK21" i="45" s="1"/>
  <c r="BJ21" i="45" s="1"/>
  <c r="BI21" i="45" s="1"/>
  <c r="BH21" i="45" s="1"/>
  <c r="BM16" i="45"/>
  <c r="BL16" i="45" s="1"/>
  <c r="BK16" i="45" s="1"/>
  <c r="BJ16" i="45" s="1"/>
  <c r="BI16" i="45" s="1"/>
  <c r="BH16" i="45" s="1"/>
  <c r="BM48" i="45"/>
  <c r="BL48" i="45" s="1"/>
  <c r="BK48" i="45" s="1"/>
  <c r="BJ48" i="45" s="1"/>
  <c r="BI48" i="45" s="1"/>
  <c r="BH48" i="45" s="1"/>
  <c r="BM32" i="45"/>
  <c r="BL32" i="45" s="1"/>
  <c r="BK32" i="45" s="1"/>
  <c r="BJ32" i="45" s="1"/>
  <c r="BI32" i="45" s="1"/>
  <c r="BH32" i="45" s="1"/>
  <c r="BM24" i="45"/>
  <c r="BL24" i="45" s="1"/>
  <c r="BK24" i="45" s="1"/>
  <c r="BJ24" i="45" s="1"/>
  <c r="BI24" i="45" s="1"/>
  <c r="BH24" i="45" s="1"/>
  <c r="BM34" i="45"/>
  <c r="BL34" i="45" s="1"/>
  <c r="BK34" i="45" s="1"/>
  <c r="BJ34" i="45" s="1"/>
  <c r="BI34" i="45" s="1"/>
  <c r="BH34" i="45" s="1"/>
  <c r="BM45" i="45"/>
  <c r="BL45" i="45" s="1"/>
  <c r="BK45" i="45" s="1"/>
  <c r="BJ45" i="45" s="1"/>
  <c r="BI45" i="45" s="1"/>
  <c r="BH45" i="45" s="1"/>
  <c r="BM47" i="45"/>
  <c r="BL47" i="45" s="1"/>
  <c r="BK47" i="45" s="1"/>
  <c r="BJ47" i="45" s="1"/>
  <c r="BI47" i="45" s="1"/>
  <c r="BH47" i="45" s="1"/>
  <c r="BM25" i="45"/>
  <c r="BL25" i="45" s="1"/>
  <c r="BK25" i="45" s="1"/>
  <c r="BJ25" i="45" s="1"/>
  <c r="BI25" i="45" s="1"/>
  <c r="BH25" i="45" s="1"/>
  <c r="BM40" i="45"/>
  <c r="BL40" i="45" s="1"/>
  <c r="BK40" i="45" s="1"/>
  <c r="BJ40" i="45" s="1"/>
  <c r="BI40" i="45" s="1"/>
  <c r="BH40" i="45" s="1"/>
  <c r="BM19" i="45"/>
  <c r="BL19" i="45" s="1"/>
  <c r="BK19" i="45" s="1"/>
  <c r="BJ19" i="45" s="1"/>
  <c r="BI19" i="45" s="1"/>
  <c r="BH19" i="45" s="1"/>
  <c r="BM5" i="45"/>
  <c r="BL5" i="45" s="1"/>
  <c r="BK5" i="45" s="1"/>
  <c r="BJ5" i="45" s="1"/>
  <c r="BI5" i="45" s="1"/>
  <c r="BH5" i="45" s="1"/>
  <c r="BM41" i="45"/>
  <c r="BL41" i="45" s="1"/>
  <c r="BK41" i="45" s="1"/>
  <c r="BJ41" i="45" s="1"/>
  <c r="BI41" i="45" s="1"/>
  <c r="BH41" i="45" s="1"/>
  <c r="BM39" i="45"/>
  <c r="BL39" i="45" s="1"/>
  <c r="BK39" i="45" s="1"/>
  <c r="BJ39" i="45" s="1"/>
  <c r="BI39" i="45" s="1"/>
  <c r="BH39" i="45" s="1"/>
  <c r="BM49" i="45"/>
  <c r="BL49" i="45" s="1"/>
  <c r="BK49" i="45" s="1"/>
  <c r="BJ49" i="45" s="1"/>
  <c r="BI49" i="45" s="1"/>
  <c r="BH49" i="45" s="1"/>
  <c r="BM44" i="45"/>
  <c r="BL44" i="45" s="1"/>
  <c r="BK44" i="45" s="1"/>
  <c r="BJ44" i="45" s="1"/>
  <c r="BI44" i="45" s="1"/>
  <c r="BH44" i="45" s="1"/>
  <c r="BM13" i="45"/>
  <c r="BL13" i="45" s="1"/>
  <c r="BK13" i="45" s="1"/>
  <c r="BJ13" i="45" s="1"/>
  <c r="BI13" i="45" s="1"/>
  <c r="BH13" i="45" s="1"/>
  <c r="BM18" i="45"/>
  <c r="BL18" i="45" s="1"/>
  <c r="BK18" i="45" s="1"/>
  <c r="BJ18" i="45" s="1"/>
  <c r="BI18" i="45" s="1"/>
  <c r="BH18" i="45" s="1"/>
  <c r="BM23" i="45"/>
  <c r="BL23" i="45" s="1"/>
  <c r="BK23" i="45" s="1"/>
  <c r="BJ23" i="45" s="1"/>
  <c r="BI23" i="45" s="1"/>
  <c r="BH23" i="45" s="1"/>
  <c r="BM50" i="45"/>
  <c r="BL50" i="45" s="1"/>
  <c r="BK50" i="45" s="1"/>
  <c r="BJ50" i="45" s="1"/>
  <c r="BI50" i="45" s="1"/>
  <c r="BH50" i="45" s="1"/>
  <c r="BM9" i="45"/>
  <c r="BL9" i="45" s="1"/>
  <c r="BK9" i="45" s="1"/>
  <c r="BJ9" i="45" s="1"/>
  <c r="BI9" i="45" s="1"/>
  <c r="BH9" i="45" s="1"/>
  <c r="BM4" i="45"/>
  <c r="BL4" i="45" s="1"/>
  <c r="BK4" i="45" s="1"/>
  <c r="BJ4" i="45" s="1"/>
  <c r="BI4" i="45" s="1"/>
  <c r="BH4" i="45" s="1"/>
  <c r="BM36" i="45"/>
  <c r="BL36" i="45" s="1"/>
  <c r="BK36" i="45" s="1"/>
  <c r="BJ36" i="45" s="1"/>
  <c r="BI36" i="45" s="1"/>
  <c r="BH36" i="45" s="1"/>
  <c r="BM14" i="45"/>
  <c r="BL14" i="45" s="1"/>
  <c r="BK14" i="45" s="1"/>
  <c r="BJ14" i="45" s="1"/>
  <c r="BI14" i="45" s="1"/>
  <c r="BH14" i="45" s="1"/>
  <c r="BM46" i="45"/>
  <c r="BL46" i="45" s="1"/>
  <c r="BK46" i="45" s="1"/>
  <c r="BJ46" i="45" s="1"/>
  <c r="BI46" i="45" s="1"/>
  <c r="BH46" i="45" s="1"/>
  <c r="BM20" i="45"/>
  <c r="BL20" i="45" s="1"/>
  <c r="BK20" i="45" s="1"/>
  <c r="BJ20" i="45" s="1"/>
  <c r="BI20" i="45" s="1"/>
  <c r="BH20" i="45" s="1"/>
  <c r="BM37" i="45"/>
  <c r="BL37" i="45" s="1"/>
  <c r="BK37" i="45" s="1"/>
  <c r="BJ37" i="45" s="1"/>
  <c r="BI37" i="45" s="1"/>
  <c r="BH37" i="45" s="1"/>
  <c r="BM26" i="45"/>
  <c r="BL26" i="45" s="1"/>
  <c r="BK26" i="45" s="1"/>
  <c r="BJ26" i="45" s="1"/>
  <c r="BI26" i="45" s="1"/>
  <c r="BH26" i="45" s="1"/>
  <c r="BM28" i="45"/>
  <c r="BL28" i="45" s="1"/>
  <c r="BK28" i="45" s="1"/>
  <c r="BJ28" i="45" s="1"/>
  <c r="BI28" i="45" s="1"/>
  <c r="BH28" i="45" s="1"/>
  <c r="BM30" i="45"/>
  <c r="BL30" i="45" s="1"/>
  <c r="BK30" i="45" s="1"/>
  <c r="BJ30" i="45" s="1"/>
  <c r="BI30" i="45" s="1"/>
  <c r="BH30" i="45" s="1"/>
  <c r="BM11" i="45"/>
  <c r="BL11" i="45" s="1"/>
  <c r="BK11" i="45" s="1"/>
  <c r="BJ11" i="45" s="1"/>
  <c r="BI11" i="45" s="1"/>
  <c r="BH11" i="45" s="1"/>
  <c r="BM27" i="45"/>
  <c r="BL27" i="45" s="1"/>
  <c r="BK27" i="45" s="1"/>
  <c r="BJ27" i="45" s="1"/>
  <c r="BI27" i="45" s="1"/>
  <c r="BH27" i="45" s="1"/>
  <c r="BM22" i="45"/>
  <c r="BL22" i="45" s="1"/>
  <c r="BK22" i="45" s="1"/>
  <c r="BJ22" i="45" s="1"/>
  <c r="BI22" i="45" s="1"/>
  <c r="BH22" i="45" s="1"/>
  <c r="BM6" i="45"/>
  <c r="BL6" i="45" s="1"/>
  <c r="BK6" i="45" s="1"/>
  <c r="BJ6" i="45" s="1"/>
  <c r="BI6" i="45" s="1"/>
  <c r="BH6" i="45" s="1"/>
  <c r="BM17" i="45"/>
  <c r="BL17" i="45" s="1"/>
  <c r="BK17" i="45" s="1"/>
  <c r="BJ17" i="45" s="1"/>
  <c r="BI17" i="45" s="1"/>
  <c r="BH17" i="45" s="1"/>
  <c r="BM7" i="45"/>
  <c r="BL7" i="45" s="1"/>
  <c r="BK7" i="45" s="1"/>
  <c r="BJ7" i="45" s="1"/>
  <c r="BI7" i="45" s="1"/>
  <c r="BH7" i="45" s="1"/>
  <c r="BM42" i="45"/>
  <c r="BL42" i="45" s="1"/>
  <c r="BK42" i="45" s="1"/>
  <c r="BJ42" i="45" s="1"/>
  <c r="BI42" i="45" s="1"/>
  <c r="BH42" i="45" s="1"/>
  <c r="BM29" i="45"/>
  <c r="BL29" i="45" s="1"/>
  <c r="BK29" i="45" s="1"/>
  <c r="BJ29" i="45" s="1"/>
  <c r="BI29" i="45" s="1"/>
  <c r="BH29" i="45" s="1"/>
  <c r="BM43" i="45"/>
  <c r="BL43" i="45" s="1"/>
  <c r="BK43" i="45" s="1"/>
  <c r="BJ43" i="45" s="1"/>
  <c r="BI43" i="45" s="1"/>
  <c r="BH43" i="45" s="1"/>
  <c r="BM8" i="45"/>
  <c r="BL8" i="45" s="1"/>
  <c r="BK8" i="45" s="1"/>
  <c r="BJ8" i="45" s="1"/>
  <c r="BI8" i="45" s="1"/>
  <c r="BH8" i="45" s="1"/>
  <c r="BM10" i="45"/>
  <c r="BL10" i="45" s="1"/>
  <c r="BK10" i="45" s="1"/>
  <c r="BJ10" i="45" s="1"/>
  <c r="BI10" i="45" s="1"/>
  <c r="BH10" i="45" s="1"/>
  <c r="BM31" i="45"/>
  <c r="BL31" i="45" s="1"/>
  <c r="BK31" i="45" s="1"/>
  <c r="BJ31" i="45" s="1"/>
  <c r="BI31" i="45" s="1"/>
  <c r="BH31" i="45" s="1"/>
  <c r="BM15" i="45"/>
  <c r="BL15" i="45" s="1"/>
  <c r="BK15" i="45" s="1"/>
  <c r="BJ15" i="45" s="1"/>
  <c r="BI15" i="45" s="1"/>
  <c r="BH15" i="45" s="1"/>
  <c r="BM38" i="45"/>
  <c r="BL38" i="45" s="1"/>
  <c r="BK38" i="45" s="1"/>
  <c r="BJ38" i="45" s="1"/>
  <c r="BI38" i="45" s="1"/>
  <c r="BH38" i="45" s="1"/>
  <c r="BM33" i="45"/>
  <c r="BL33" i="45" s="1"/>
  <c r="BK33" i="45" s="1"/>
  <c r="BJ33" i="45" s="1"/>
  <c r="BI33" i="45" s="1"/>
  <c r="BH33" i="45" s="1"/>
  <c r="BM51" i="45"/>
  <c r="BL51" i="45" s="1"/>
  <c r="BK51" i="45" s="1"/>
  <c r="BJ51" i="45" s="1"/>
  <c r="BI51" i="45" s="1"/>
  <c r="BH51" i="45" s="1"/>
  <c r="BM12" i="45"/>
  <c r="BL12" i="45" s="1"/>
  <c r="BK12" i="45" s="1"/>
  <c r="BJ12" i="45" s="1"/>
  <c r="BI12" i="45" s="1"/>
  <c r="BH12" i="45" s="1"/>
  <c r="AJ15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<sst xmlns="http://schemas.openxmlformats.org/spreadsheetml/2006/main" count="6764" uniqueCount="1522">
  <si>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</si>
  <si>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</si>
  <si>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</si>
  <si>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</si>
  <si>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</si>
  <si>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</si>
  <si>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</si>
  <si>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</si>
  <si>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</si>
  <si>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</si>
  <si>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</si>
  <si>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</si>
  <si>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</si>
  <si>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</si>
  <si>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</si>
  <si>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</si>
  <si>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</si>
  <si>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</si>
  <si>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</si>
  <si>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</si>
  <si>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</si>
  <si>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</si>
  <si>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</si>
  <si>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</si>
  <si>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</si>
  <si>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</si>
  <si>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</si>
  <si>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</si>
  <si>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</si>
  <si>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</si>
  <si>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</si>
  <si>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</si>
  <si>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</si>
  <si>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</si>
  <si>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</si>
  <si>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</si>
  <si>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</si>
  <si>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</si>
  <si>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</si>
  <si>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</si>
  <si>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</si>
  <si>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</si>
  <si>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</si>
  <si>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</si>
  <si>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</si>
  <si>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</si>
  <si>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</si>
  <si>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</si>
  <si>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</si>
  <si>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</si>
  <si>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</si>
  <si>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</si>
  <si>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</si>
  <si>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</si>
  <si>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</si>
  <si>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</si>
  <si>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</si>
  <si>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</si>
  <si>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</si>
  <si>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</si>
  <si>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</si>
  <si>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</si>
  <si>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</si>
  <si>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</si>
  <si>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</si>
  <si>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</si>
  <si>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</si>
  <si>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</si>
  <si>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</si>
  <si>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</si>
  <si>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</si>
  <si>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</si>
  <si>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</si>
  <si>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</si>
  <si>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</si>
  <si>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</si>
  <si>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</si>
  <si>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</si>
  <si>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</si>
  <si>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</si>
  <si>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</si>
  <si>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</si>
  <si>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</si>
  <si>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</si>
  <si>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</si>
  <si>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</si>
  <si>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</si>
  <si>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</si>
  <si>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</si>
  <si>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</si>
  <si>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</si>
  <si>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</si>
  <si>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</si>
  <si>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</si>
  <si>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</si>
  <si>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</si>
  <si>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</si>
  <si>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</si>
  <si>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</si>
  <si>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</si>
  <si>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</si>
  <si>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</si>
  <si>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</si>
  <si>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</si>
  <si>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</si>
  <si>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</si>
  <si>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</si>
  <si>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</si>
  <si>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</si>
  <si>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</si>
  <si>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</si>
  <si>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</si>
  <si>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</si>
  <si>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</si>
  <si>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</si>
  <si>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</si>
  <si>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</si>
  <si>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</si>
  <si>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</si>
  <si>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</si>
  <si>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</si>
  <si>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</si>
  <si>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</si>
  <si>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</si>
  <si>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</si>
  <si>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</si>
  <si>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</si>
  <si>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</si>
  <si>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</si>
  <si>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</si>
  <si>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</si>
  <si>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</si>
  <si>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</si>
  <si>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</si>
  <si>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</si>
  <si>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</si>
  <si>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</si>
  <si>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</si>
  <si>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</si>
  <si>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</si>
  <si>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</si>
  <si>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</si>
  <si>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</si>
  <si>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</si>
  <si>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</si>
  <si>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</si>
  <si>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</si>
  <si>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</si>
  <si>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</si>
  <si>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</si>
  <si>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</si>
  <si>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</si>
  <si>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</si>
  <si>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</si>
  <si>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</si>
  <si>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</si>
  <si>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</si>
  <si>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</si>
  <si>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</si>
  <si>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</si>
  <si>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</si>
  <si>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</si>
  <si>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</si>
  <si>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</si>
  <si>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</si>
  <si>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</si>
  <si>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</si>
  <si>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</si>
  <si>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</si>
  <si>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</si>
  <si>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</si>
  <si>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</si>
  <si>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</si>
  <si>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</si>
  <si>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</si>
  <si>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</si>
  <si>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</si>
  <si>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</si>
  <si>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</si>
  <si>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</si>
  <si>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</si>
  <si>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</si>
  <si>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</si>
  <si>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</si>
  <si>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</si>
  <si>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</si>
  <si>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</si>
  <si>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</si>
  <si>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</si>
  <si>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</si>
  <si>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</si>
  <si>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</si>
  <si>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</si>
  <si>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</si>
  <si>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</si>
  <si>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</si>
  <si>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</si>
  <si>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</si>
  <si>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</si>
  <si>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</si>
  <si>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</si>
  <si>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</si>
  <si>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</si>
  <si>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</si>
  <si>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</si>
  <si>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</si>
  <si>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</si>
  <si>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</si>
  <si>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</si>
  <si>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</si>
  <si>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</si>
  <si>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</si>
  <si>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</si>
  <si>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</si>
  <si>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</si>
  <si>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</si>
  <si>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</si>
  <si>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</si>
  <si>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</si>
  <si>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</si>
  <si>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</si>
  <si>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</si>
  <si>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</si>
  <si>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</si>
  <si>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</si>
  <si>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</si>
  <si>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</si>
  <si>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</si>
  <si>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</si>
  <si>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</si>
  <si>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</si>
  <si>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</si>
  <si>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</si>
  <si>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</si>
  <si>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</si>
  <si>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</si>
  <si>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</si>
  <si>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</si>
  <si>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</si>
  <si>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</si>
  <si>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</si>
  <si>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</si>
  <si>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</si>
  <si>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</si>
  <si>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</si>
  <si>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</si>
  <si>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</si>
  <si>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</si>
  <si>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</si>
  <si>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</si>
  <si>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</si>
  <si>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</si>
  <si>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</si>
  <si>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</si>
  <si>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</si>
  <si>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</si>
  <si>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</si>
  <si>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</si>
  <si>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</si>
  <si>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</si>
  <si>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</si>
  <si>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</si>
  <si>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</si>
  <si>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</si>
  <si>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</si>
  <si>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</si>
  <si>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</si>
  <si>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</si>
  <si>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</si>
  <si>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</si>
  <si>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</si>
  <si>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</si>
  <si>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</si>
  <si>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</si>
  <si>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</si>
  <si>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</si>
  <si>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</si>
  <si>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</si>
  <si>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</si>
  <si>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</si>
  <si>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</si>
  <si>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</si>
  <si>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</si>
  <si>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</si>
  <si>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</si>
  <si>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</si>
  <si>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</si>
  <si>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</si>
  <si>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</si>
  <si>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</si>
  <si>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</si>
  <si>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</si>
  <si>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</si>
  <si>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</si>
  <si>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</si>
  <si>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</si>
  <si>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</si>
  <si>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</si>
  <si>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</si>
  <si>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</si>
  <si>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</si>
  <si>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</si>
  <si>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</si>
  <si>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</si>
  <si>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</si>
  <si>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</si>
  <si>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</si>
  <si>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</si>
  <si>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</si>
  <si>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</si>
  <si>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</si>
  <si>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</si>
  <si>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</si>
  <si>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</si>
  <si>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</si>
  <si>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</si>
  <si>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</si>
  <si>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</si>
  <si>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</si>
  <si>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</si>
  <si>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</si>
  <si>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</si>
  <si>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</si>
  <si>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</si>
  <si>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</si>
  <si>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</si>
  <si>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</si>
  <si>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</si>
  <si>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</si>
  <si>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</si>
  <si>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</si>
  <si>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</si>
  <si>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</si>
  <si>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</si>
  <si>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</si>
  <si>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</si>
  <si>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</si>
  <si>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</si>
  <si>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</si>
  <si>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</si>
  <si>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</si>
  <si>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</si>
  <si>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</si>
  <si>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</si>
  <si>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</si>
  <si>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</si>
  <si>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</si>
  <si>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</si>
  <si>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</si>
  <si>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</si>
  <si>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</si>
  <si>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</si>
  <si>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</si>
  <si>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</si>
  <si>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</si>
  <si>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</si>
  <si>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</si>
  <si>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</si>
  <si>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</si>
  <si>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</si>
  <si>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</si>
  <si>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</si>
  <si>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</si>
  <si>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</si>
  <si>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</si>
  <si>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</si>
  <si>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</si>
  <si>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</si>
  <si>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</si>
  <si>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</si>
  <si>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</si>
  <si>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</si>
  <si>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</si>
  <si>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</si>
  <si>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</si>
  <si>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</si>
  <si>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</si>
  <si>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</si>
  <si>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</si>
  <si>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</si>
  <si>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</si>
  <si>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</si>
  <si>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</si>
  <si>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</si>
  <si>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</si>
  <si>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</si>
  <si>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</si>
  <si>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</si>
  <si>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</si>
  <si>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</si>
  <si>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</si>
  <si>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</si>
  <si>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</si>
  <si>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</si>
  <si>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</si>
  <si>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</si>
  <si>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</si>
  <si>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</si>
  <si>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</si>
  <si>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</si>
  <si>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</si>
  <si>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</si>
  <si>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</si>
  <si>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</si>
  <si>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</si>
  <si>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</si>
  <si>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</si>
  <si>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</si>
  <si>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</si>
  <si>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</si>
  <si>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</si>
  <si>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</si>
  <si>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</si>
  <si>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</si>
  <si>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</si>
  <si>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</si>
  <si>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</si>
  <si>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</si>
  <si>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</si>
  <si>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</si>
  <si>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</si>
  <si>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</si>
  <si>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</si>
  <si>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</si>
  <si>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</si>
  <si>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</si>
  <si>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</si>
  <si>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</si>
  <si>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</si>
  <si>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</si>
  <si>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</si>
  <si>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</si>
  <si>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</si>
  <si>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</si>
  <si>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</si>
  <si>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</si>
  <si>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</si>
  <si>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</si>
  <si>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</si>
  <si>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</si>
  <si>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</si>
  <si>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</si>
  <si>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</si>
  <si>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</si>
  <si>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</si>
  <si>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</si>
  <si>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</si>
  <si>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</si>
  <si>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</si>
  <si>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</si>
  <si>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</si>
  <si>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</si>
  <si>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</si>
  <si>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</si>
  <si>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</si>
  <si>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</si>
  <si>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</si>
  <si>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</si>
  <si>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</si>
  <si>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</si>
  <si>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</si>
  <si>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</si>
  <si>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</si>
  <si>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</si>
  <si>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</si>
  <si>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</si>
  <si>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</si>
  <si>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</si>
  <si>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</si>
  <si>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</si>
  <si>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</si>
  <si>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</si>
  <si>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</si>
  <si>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</si>
  <si>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</si>
  <si>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</si>
  <si>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</si>
  <si>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</si>
  <si>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</si>
  <si>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</si>
  <si>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</si>
  <si>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</si>
  <si>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</si>
  <si>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</si>
  <si>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</si>
  <si>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</si>
  <si>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</si>
  <si>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</si>
  <si>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</si>
  <si>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</si>
  <si>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</si>
  <si>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</si>
  <si>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</si>
  <si>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</si>
  <si>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</si>
  <si>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</si>
  <si>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</si>
  <si>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</si>
  <si>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</si>
  <si>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</si>
  <si>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</si>
  <si>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</si>
  <si>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</si>
  <si>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</si>
  <si>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</si>
  <si>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</si>
  <si>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</si>
  <si>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</si>
  <si>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</si>
  <si>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</si>
  <si>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</si>
  <si>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</si>
  <si>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</si>
  <si>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</si>
  <si>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</si>
  <si>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</si>
  <si>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</si>
  <si>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</si>
  <si>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</si>
  <si>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</si>
  <si>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</si>
  <si>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</si>
  <si>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</si>
  <si>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</si>
  <si>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</si>
  <si>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</si>
  <si>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</si>
  <si>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</si>
  <si>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</si>
  <si>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</si>
  <si>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</si>
  <si>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</si>
  <si>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</si>
  <si>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</si>
  <si>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</si>
  <si>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</si>
  <si>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</si>
  <si>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</si>
  <si>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</si>
  <si>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</si>
  <si>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</si>
  <si>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</si>
  <si>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</si>
  <si>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</si>
  <si>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</si>
  <si>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</si>
  <si>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</si>
  <si>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</si>
  <si>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</si>
  <si>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</si>
  <si>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</si>
  <si>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</si>
  <si>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</si>
  <si>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</si>
  <si>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</si>
  <si>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</si>
  <si>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</si>
  <si>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</si>
  <si>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</si>
  <si>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</si>
  <si>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</si>
  <si>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</si>
  <si>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</si>
  <si>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</si>
  <si>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</si>
  <si>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</si>
  <si>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</si>
  <si>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</si>
  <si>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</si>
  <si>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</si>
  <si>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</si>
  <si>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</si>
  <si>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</si>
  <si>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</si>
  <si>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</si>
  <si>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</si>
  <si>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</si>
  <si>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</si>
  <si>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</si>
  <si>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</si>
  <si>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</si>
  <si>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</si>
  <si>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</si>
  <si>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</si>
  <si>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</si>
  <si>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</si>
  <si>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</si>
  <si>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</si>
  <si>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</si>
  <si>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</si>
  <si>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</si>
  <si>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</si>
  <si>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</si>
  <si>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</si>
  <si>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</si>
  <si>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</si>
  <si>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</si>
  <si>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</si>
  <si>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</si>
  <si>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</si>
  <si>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</si>
  <si>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</si>
  <si>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</si>
  <si>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</si>
  <si>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</si>
  <si>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</si>
  <si>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</si>
  <si>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</si>
  <si>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</si>
  <si>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</si>
  <si>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</si>
  <si>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</si>
  <si>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</si>
  <si>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</si>
  <si>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</si>
  <si>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</si>
  <si>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</si>
  <si>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</si>
  <si>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</si>
  <si>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</si>
  <si>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</si>
  <si>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</si>
  <si>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</si>
  <si>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</si>
  <si>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</si>
  <si>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</si>
  <si>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</si>
  <si>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</si>
  <si>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</si>
  <si>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</si>
  <si>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</si>
  <si>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</si>
  <si>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</si>
  <si>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</si>
  <si>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</si>
  <si>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</si>
  <si>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</si>
  <si>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</si>
  <si>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</si>
  <si>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</si>
  <si>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</si>
  <si>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</si>
  <si>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</si>
  <si>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</si>
  <si>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</si>
  <si>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</si>
  <si>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</si>
  <si>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</si>
  <si>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</si>
  <si>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</si>
  <si>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</si>
  <si>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</si>
  <si>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</si>
  <si>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</si>
  <si>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</si>
  <si>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</si>
  <si>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</si>
  <si>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</si>
  <si>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</si>
  <si>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</si>
  <si>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</si>
  <si>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</si>
  <si>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</si>
  <si>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</si>
  <si>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</si>
  <si>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</si>
  <si>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</si>
  <si>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</si>
  <si>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</si>
  <si>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</si>
  <si>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</si>
  <si>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</si>
  <si>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</si>
  <si>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</si>
  <si>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</si>
  <si>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</si>
  <si>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</si>
  <si>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</si>
  <si>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</si>
  <si>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</si>
  <si>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</si>
  <si>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</si>
  <si>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</si>
  <si>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</si>
  <si>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</si>
  <si>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</si>
  <si>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</si>
  <si>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</si>
  <si>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</si>
  <si>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</si>
  <si>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</si>
  <si>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</si>
  <si>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</si>
  <si>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</si>
  <si>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</si>
  <si>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</si>
  <si>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</si>
  <si>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</si>
  <si>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</si>
  <si>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</si>
  <si>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</si>
  <si>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</si>
  <si>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</si>
  <si>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</si>
  <si>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</si>
  <si>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</si>
  <si>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</si>
  <si>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</si>
  <si>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</si>
  <si>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</si>
  <si>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</si>
  <si>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</si>
  <si>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</si>
  <si>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</si>
  <si>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</si>
  <si>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</si>
  <si>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</si>
  <si>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</si>
  <si>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</si>
  <si>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</si>
  <si>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</si>
  <si>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</si>
  <si>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</si>
  <si>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</si>
  <si>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</si>
  <si>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</si>
  <si>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</si>
  <si>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</si>
  <si>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</si>
  <si>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</si>
  <si>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</si>
  <si>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</si>
  <si>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</si>
  <si>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</si>
  <si>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</si>
  <si>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</si>
  <si>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</si>
  <si>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</si>
  <si>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</si>
  <si>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</si>
  <si>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</si>
  <si>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</si>
  <si>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</si>
  <si>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</si>
  <si>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</si>
  <si>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</si>
  <si>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</si>
  <si>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</si>
  <si>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</si>
  <si>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</si>
  <si>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</si>
  <si>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</si>
  <si>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</si>
  <si>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</si>
  <si>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</si>
  <si>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</si>
  <si>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</si>
  <si>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</si>
  <si>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</si>
  <si>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</si>
  <si>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</si>
  <si>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</si>
  <si>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</si>
  <si>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</si>
  <si>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</si>
  <si>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</si>
  <si>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</si>
  <si>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</si>
  <si>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</si>
  <si>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</si>
  <si>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</si>
  <si>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</si>
  <si>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</si>
  <si>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</si>
  <si>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</si>
  <si>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</si>
  <si>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</si>
  <si>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</si>
  <si>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</si>
  <si>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</si>
  <si>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</si>
  <si>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</si>
  <si>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</si>
  <si>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</si>
  <si>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</si>
  <si>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</si>
  <si>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</si>
  <si>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</si>
  <si>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</si>
  <si>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</si>
  <si>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</si>
  <si>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</si>
  <si>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</si>
  <si>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</si>
  <si>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</si>
  <si>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</si>
  <si>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</si>
  <si>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</si>
  <si>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</si>
  <si>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</si>
  <si>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</si>
  <si>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</si>
  <si>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</si>
  <si>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</si>
  <si>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</si>
  <si>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</si>
  <si>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</si>
  <si>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</si>
  <si>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</si>
  <si>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</si>
  <si>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</si>
  <si>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</si>
  <si>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</si>
  <si>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</si>
  <si>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</si>
  <si>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</si>
  <si>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</si>
  <si>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</si>
  <si>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</si>
  <si>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</si>
  <si>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</si>
  <si>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</si>
  <si>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</si>
  <si>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</si>
  <si>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</si>
  <si>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</si>
  <si>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</si>
  <si>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</si>
  <si>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</si>
  <si>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</si>
  <si>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</si>
  <si>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</si>
  <si>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</si>
  <si>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</si>
  <si>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</si>
  <si>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</si>
  <si>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</si>
  <si>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</si>
  <si>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</si>
  <si>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</si>
  <si>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</si>
  <si>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</si>
  <si>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</si>
  <si>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</si>
  <si>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</si>
  <si>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</si>
  <si>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</si>
  <si>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</si>
  <si>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</si>
  <si>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</si>
  <si>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</si>
  <si>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</si>
  <si>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</si>
  <si>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</si>
  <si>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</si>
  <si>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</si>
  <si>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</si>
  <si>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</si>
  <si>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</si>
  <si>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</si>
  <si>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</si>
  <si>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</si>
  <si>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</si>
  <si>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</si>
  <si>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</si>
  <si>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</si>
  <si>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</si>
  <si>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</si>
  <si>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</si>
  <si>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</si>
  <si>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</si>
  <si>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</si>
  <si>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</si>
  <si>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</si>
  <si>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</si>
  <si>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</si>
  <si>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</si>
  <si>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</si>
  <si>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</si>
  <si>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</si>
  <si>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</si>
  <si>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</si>
  <si>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</si>
  <si>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</si>
  <si>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</si>
  <si>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</si>
  <si>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</si>
  <si>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</si>
  <si>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</si>
  <si>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</si>
  <si>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</si>
  <si>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</si>
  <si>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</si>
  <si>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</si>
  <si>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</si>
  <si>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</si>
  <si>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</si>
  <si>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</si>
  <si>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</si>
  <si>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</si>
  <si>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</si>
  <si>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</si>
  <si>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</si>
  <si>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</si>
  <si>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</si>
  <si>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</si>
  <si>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</si>
  <si>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</si>
  <si>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</si>
  <si>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</si>
  <si>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</si>
  <si>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</si>
  <si>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</si>
  <si>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</si>
  <si>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</si>
  <si>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</si>
  <si>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</si>
  <si>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</si>
  <si>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</si>
  <si>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</si>
  <si>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</si>
  <si>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</si>
  <si>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</si>
  <si>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</si>
  <si>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</si>
  <si>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</si>
  <si>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</si>
  <si>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</si>
  <si>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</si>
  <si>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</si>
  <si>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</si>
  <si>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</si>
  <si>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</si>
  <si>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</si>
  <si>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</si>
  <si>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</si>
  <si>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</si>
  <si>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</si>
  <si>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</si>
  <si>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</si>
  <si>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</si>
  <si>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</si>
  <si>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</si>
  <si>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</si>
  <si>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</si>
  <si>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</si>
  <si>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</si>
  <si>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</si>
  <si>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</si>
  <si>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</si>
  <si>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</si>
  <si>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</si>
  <si>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</si>
  <si>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</si>
  <si>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</si>
  <si>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</si>
  <si>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</si>
  <si>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</si>
  <si>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</si>
  <si>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</si>
  <si>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</si>
  <si>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</si>
  <si>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</si>
  <si>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</si>
  <si>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</si>
  <si>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</si>
  <si>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</si>
  <si>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</si>
  <si>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</si>
  <si>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</si>
  <si>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</si>
  <si>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</si>
  <si>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</si>
  <si>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</si>
  <si>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</si>
  <si>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</si>
  <si>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</si>
  <si>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</si>
  <si>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</si>
  <si>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</si>
  <si>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</si>
  <si>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</si>
  <si>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</si>
  <si>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</si>
  <si>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</si>
  <si>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</si>
  <si>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</si>
  <si>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</si>
  <si>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</si>
  <si>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</si>
  <si>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</si>
  <si>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</si>
  <si>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</si>
  <si>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</si>
  <si>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</si>
  <si>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</si>
  <si>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</si>
  <si>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</si>
  <si>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</si>
  <si>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</si>
  <si>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</si>
  <si>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</si>
  <si>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</si>
  <si>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</si>
  <si>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</si>
  <si>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</si>
  <si>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</si>
  <si>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</si>
  <si>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</si>
  <si>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</si>
  <si>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</si>
  <si>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</si>
  <si>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</si>
  <si>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</si>
  <si>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</si>
  <si>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</si>
  <si>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</si>
  <si>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</si>
  <si>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</si>
  <si>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</si>
  <si>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</si>
  <si>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</si>
  <si>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</si>
  <si>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</si>
  <si>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</si>
  <si>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</si>
  <si>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</si>
  <si>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</si>
  <si>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</si>
  <si>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</si>
  <si>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</si>
  <si>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</si>
  <si>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</si>
  <si>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</si>
  <si>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</si>
  <si>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</si>
  <si>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</si>
  <si>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</si>
  <si>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</si>
  <si>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</si>
  <si>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</si>
  <si>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</si>
  <si>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</si>
  <si>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</si>
  <si>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</si>
  <si>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</si>
  <si>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</si>
  <si>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</si>
  <si>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</si>
  <si>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</si>
  <si>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</si>
  <si>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</si>
  <si>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</si>
  <si>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</si>
  <si>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</si>
  <si>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</si>
  <si>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</si>
  <si>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</si>
  <si>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</si>
  <si>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</si>
  <si>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</si>
  <si>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</si>
  <si>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</si>
  <si>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</si>
  <si>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</si>
  <si>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</si>
  <si>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</si>
  <si>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</si>
  <si>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</si>
  <si>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</si>
  <si>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</si>
  <si>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</si>
  <si>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</si>
  <si>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</si>
  <si>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</si>
  <si>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</si>
  <si>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</si>
  <si>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</si>
  <si>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</si>
  <si>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</si>
  <si>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</si>
  <si>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</si>
  <si>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</si>
  <si>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</si>
  <si>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</si>
  <si>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</si>
  <si>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</si>
  <si>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</si>
  <si>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</si>
  <si>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</si>
  <si>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</si>
  <si>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</si>
  <si>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</si>
  <si>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</si>
  <si>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</si>
  <si>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</si>
  <si>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</si>
  <si>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</si>
  <si>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</si>
  <si>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</si>
  <si>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</si>
  <si>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</si>
  <si>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</si>
  <si>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</si>
  <si>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</si>
  <si>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</si>
  <si>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</si>
  <si>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</si>
  <si>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</si>
  <si>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</si>
  <si>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</si>
  <si>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</si>
  <si>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</si>
  <si>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</si>
  <si>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</si>
  <si>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</si>
  <si>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</si>
  <si>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</si>
  <si>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</si>
  <si>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</si>
  <si>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</si>
  <si>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</si>
  <si>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</si>
  <si>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</si>
  <si>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</si>
  <si>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</si>
  <si>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</si>
  <si>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</si>
  <si>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</si>
  <si>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</si>
  <si>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</si>
  <si>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</si>
  <si>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</si>
  <si>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</si>
  <si>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</si>
  <si>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</si>
  <si>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</si>
  <si>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</si>
  <si>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</si>
  <si>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</si>
  <si>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</si>
  <si>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</si>
  <si>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</si>
  <si>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</si>
  <si>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</si>
  <si>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</si>
  <si>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</si>
  <si>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</si>
  <si>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</si>
  <si>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</si>
  <si>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</si>
  <si>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</si>
  <si>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</si>
  <si>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</si>
  <si>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</si>
  <si>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</si>
  <si>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</si>
  <si>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</si>
  <si>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</si>
  <si>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</si>
  <si>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</si>
  <si>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</si>
  <si>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</si>
  <si>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</si>
  <si>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</si>
  <si>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</si>
  <si>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</si>
  <si>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</si>
  <si>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</si>
  <si>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</si>
  <si>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</si>
  <si>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</si>
  <si>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</si>
  <si>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</si>
  <si>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</si>
  <si>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</si>
  <si>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</si>
  <si>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</si>
  <si>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</si>
  <si>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</si>
  <si>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</si>
  <si>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</si>
  <si>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</si>
  <si>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</si>
  <si>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</si>
  <si>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</si>
  <si>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</si>
  <si>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</si>
  <si>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</si>
  <si>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</si>
  <si>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</si>
  <si>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</si>
  <si>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</si>
  <si>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</si>
  <si>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</si>
  <si>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</si>
  <si>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</si>
  <si>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</si>
  <si>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</si>
  <si>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</si>
  <si>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</si>
  <si>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</si>
  <si>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</si>
  <si>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</si>
  <si>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</si>
  <si>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</si>
  <si>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</si>
  <si>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</si>
  <si>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</si>
  <si>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</si>
  <si>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</si>
  <si>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</si>
  <si>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</si>
  <si>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</si>
  <si>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</si>
  <si>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</si>
  <si>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</si>
  <si>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</si>
  <si>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</si>
  <si>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</si>
  <si>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</si>
  <si>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</si>
  <si>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</si>
  <si>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</si>
  <si>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</si>
  <si>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</si>
  <si>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</si>
  <si>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</si>
  <si>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</si>
  <si>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</si>
  <si>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</si>
  <si>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</si>
  <si>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</si>
  <si>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</si>
  <si>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</si>
  <si>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</si>
  <si>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</si>
  <si>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</si>
  <si>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</si>
  <si>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</si>
  <si>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</si>
  <si>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</si>
  <si>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</si>
  <si>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</si>
  <si>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</si>
  <si>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</si>
  <si>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</si>
  <si>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</si>
  <si>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</si>
  <si>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</si>
  <si>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</si>
  <si>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</si>
  <si>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</si>
  <si>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</si>
  <si>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</si>
  <si>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</si>
  <si>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</si>
  <si>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</si>
  <si>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</si>
  <si>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</si>
  <si>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</si>
  <si>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</si>
  <si>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</si>
  <si>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</si>
  <si>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</si>
  <si>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</si>
  <si>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</si>
  <si>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</si>
  <si>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</si>
  <si>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</si>
  <si>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</si>
  <si>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</si>
  <si>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</si>
  <si>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</si>
  <si>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</si>
  <si>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</si>
  <si>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</si>
  <si>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</si>
  <si>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</si>
  <si>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</si>
  <si>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</si>
  <si>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</si>
  <si>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</si>
  <si>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</si>
  <si>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</si>
  <si>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</si>
  <si>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</si>
  <si>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</si>
  <si>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</si>
  <si>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</si>
  <si>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</si>
  <si>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</si>
  <si>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</si>
  <si>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</si>
  <si>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</si>
  <si>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</si>
  <si>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</si>
  <si>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</si>
  <si>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</si>
  <si>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</si>
  <si>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</si>
  <si>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</si>
  <si>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</si>
  <si>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</si>
  <si>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</si>
  <si>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</si>
  <si>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</si>
  <si>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</si>
  <si>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</si>
  <si>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</si>
  <si>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</si>
  <si>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</si>
  <si>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</si>
  <si>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</si>
  <si>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</si>
  <si>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</si>
  <si>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</si>
  <si>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</si>
  <si>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</si>
  <si>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</si>
  <si>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</si>
  <si>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</si>
  <si>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</si>
  <si>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</si>
  <si>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</si>
  <si>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</si>
  <si>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</si>
  <si>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</si>
  <si>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</si>
  <si>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</si>
  <si>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</si>
  <si>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</si>
  <si>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</si>
  <si>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</si>
  <si>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</si>
  <si>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</si>
  <si>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</si>
  <si>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</si>
  <si>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</si>
  <si>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</si>
  <si>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</si>
  <si>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</si>
  <si>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</si>
  <si>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</si>
  <si>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</si>
  <si>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</si>
  <si>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</si>
  <si>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</si>
  <si>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</si>
  <si>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</si>
  <si>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</si>
  <si>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</si>
  <si>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</si>
  <si>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</si>
  <si>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</si>
  <si>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</si>
  <si>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</si>
  <si>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</si>
  <si>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</si>
  <si>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</si>
  <si>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</si>
  <si>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</si>
  <si>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</si>
  <si>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</si>
  <si>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</si>
  <si>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</si>
  <si>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</si>
  <si>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</si>
  <si>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</si>
  <si>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</si>
  <si>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</si>
  <si>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</si>
  <si>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</si>
  <si>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</si>
  <si>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</si>
  <si>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</si>
  <si>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</si>
  <si>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</si>
  <si>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</si>
  <si>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</si>
  <si>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</si>
  <si>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</si>
  <si>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</si>
  <si>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</si>
  <si>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</si>
  <si>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</si>
  <si>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</si>
  <si>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</si>
  <si>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</si>
  <si>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</si>
  <si>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</si>
  <si>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</si>
  <si>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</si>
  <si>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</si>
  <si>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</si>
  <si>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</si>
  <si>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</si>
  <si>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</si>
  <si>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</si>
  <si>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</si>
  <si>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</si>
  <si>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</si>
  <si>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</si>
  <si>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</si>
  <si>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</si>
  <si>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</si>
  <si>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</si>
  <si>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</si>
  <si>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</si>
  <si>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</si>
  <si>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</si>
  <si>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</si>
  <si>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</si>
  <si>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</si>
  <si>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</si>
  <si>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</si>
  <si>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</si>
  <si>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</si>
  <si>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</si>
  <si>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</si>
  <si>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</si>
  <si>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</si>
  <si>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</si>
  <si>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</si>
  <si>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</si>
  <si>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</si>
  <si>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</si>
  <si>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</si>
  <si>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</si>
  <si>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</si>
  <si>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</si>
  <si>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</si>
  <si>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</si>
  <si>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</si>
  <si>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</si>
  <si>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</si>
  <si>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</si>
  <si>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</si>
  <si>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</si>
  <si>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</si>
  <si>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</si>
  <si>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</si>
  <si>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</si>
  <si>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</si>
  <si>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</si>
  <si>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</si>
  <si>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</si>
  <si>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</si>
  <si>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</si>
  <si>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</si>
  <si>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</si>
  <si>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</si>
  <si>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</si>
  <si>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</si>
  <si>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</si>
  <si>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</si>
  <si>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</si>
  <si>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</si>
  <si>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</si>
  <si>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</si>
  <si>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</si>
  <si>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</si>
  <si>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</si>
  <si>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</si>
  <si>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</si>
  <si>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</si>
  <si>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</si>
  <si>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</si>
  <si>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</si>
  <si>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</si>
  <si>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</si>
  <si>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</si>
  <si>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</si>
  <si>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</si>
  <si>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</si>
  <si>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</si>
  <si>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</si>
  <si>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</si>
  <si>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</si>
  <si>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</si>
  <si>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</si>
  <si>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</si>
  <si>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</si>
  <si>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</si>
  <si>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</si>
  <si>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</si>
  <si>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</si>
  <si>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</si>
  <si>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</si>
  <si>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</si>
  <si>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</si>
  <si>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</si>
  <si>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</si>
  <si>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</si>
  <si>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</si>
  <si>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</si>
  <si>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</si>
  <si>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</si>
  <si>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</si>
  <si>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</si>
  <si>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</si>
  <si>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</si>
  <si>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</si>
  <si>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</si>
  <si>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</si>
  <si>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</si>
  <si>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</si>
  <si>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</si>
  <si>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</si>
  <si>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</si>
  <si>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</si>
  <si>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</si>
  <si>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</si>
  <si>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</si>
  <si>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</si>
  <si>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</si>
  <si>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Memo Cervantes</t>
  </si>
  <si>
    <t>Raul Gimenez</t>
  </si>
  <si>
    <t>Bruno Fernandez</t>
  </si>
  <si>
    <t>Lamine Yamal</t>
  </si>
  <si>
    <t>K. Mbappe</t>
  </si>
  <si>
    <t>H. 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</si>
</sst>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5" zoomScaleNormal="100" workbookViewId="0">
      <selection activeCell="AA156" sqref="AA156"/>
      <extLst>
        <ext xmlns:xlsdti="http://schemas.microsoft.com/office/spreadsheetml/2023/showDataTypeIcons" uri="{77bfe23e-c014-4d31-8a63-9c772dbf06b6}">
          <xlsdti:showDataTypeIcons visible="0"/>
        </ext>
      </extLst>
    </sheetView>
  </sheetViews>
  <sheetFormatPr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0</v>
      </c>
      <c r="X4" s="24">
        <f ca="1">Horarios!C4</f>
        <v>46184.875</v>
      </c>
      <c r="Y4" s="25">
        <f ca="1">Horarios!C4</f>
        <v>46184.875</v>
      </c>
      <c r="Z4" s="26" t="str">
        <f>Idiomas!D61</f>
        <v>J1</v>
      </c>
      <c r="AA4" s="27" t="str">
        <f ca="1">+A5</f>
        <v>México</v>
      </c>
      <c r="AB4" s="49" t="e" cm="1" vm="1">
        <f t="array" aca="1" ref="AB4" ca="1">Ver_flag_local</f>
        <v>#VALUE!</v>
      </c>
      <c r="AC4" s="50">
        <v>2</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0"/>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0"/>
      <c r="X6" s="24">
        <f ca="1">Horarios!C6</f>
        <v>46191.75</v>
      </c>
      <c r="Y6" s="25">
        <f ca="1">Horarios!C6</f>
        <v>46191.75</v>
      </c>
      <c r="Z6" s="26" t="str">
        <f>Idiomas!D62</f>
        <v>J2</v>
      </c>
      <c r="AA6" s="27" t="str">
        <f ca="1">A8</f>
        <v>República Checa</v>
      </c>
      <c r="AB6" s="49" t="e" cm="1" vm="4">
        <f t="array" aca="1" ref="AB6" ca="1">Ver_flag_local</f>
        <v>#VALUE!</v>
      </c>
      <c r="AC6" s="50">
        <v>2</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2</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6</v>
      </c>
      <c r="AN7" s="39">
        <f t="shared" ca="1" si="15"/>
        <v>3</v>
      </c>
      <c r="AO7" s="39">
        <f t="shared" ca="1" si="15"/>
        <v>2</v>
      </c>
      <c r="AP7" s="39">
        <f t="shared" ca="1" si="15"/>
        <v>0</v>
      </c>
      <c r="AQ7" s="39">
        <f t="shared" ca="1" si="15"/>
        <v>1</v>
      </c>
      <c r="AR7" s="39">
        <f t="shared" ca="1" si="15"/>
        <v>5</v>
      </c>
      <c r="AS7" s="39">
        <f t="shared" ca="1" si="15"/>
        <v>3</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1</v>
      </c>
      <c r="BK7" s="16">
        <f t="shared" ca="1" si="21"/>
        <v>6</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46198.125</v>
      </c>
      <c r="Y8" s="25">
        <f ca="1">Horarios!C8</f>
        <v>46198.125</v>
      </c>
      <c r="Z8" s="26" t="str">
        <f>Idiomas!D63</f>
        <v>J3</v>
      </c>
      <c r="AA8" s="27" t="str">
        <f ca="1">A8</f>
        <v>República Checa</v>
      </c>
      <c r="AB8" s="49" t="e" cm="1" vm="4">
        <f t="array" aca="1" ref="AB8" ca="1">Ver_flag_local</f>
        <v>#VALUE!</v>
      </c>
      <c r="AC8" s="50">
        <v>0</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6</v>
      </c>
      <c r="BF8" s="16">
        <f t="shared" ca="1" si="41"/>
        <v>3</v>
      </c>
      <c r="BG8" s="16">
        <f t="shared" ca="1" si="17"/>
        <v>2</v>
      </c>
      <c r="BH8" s="16">
        <f t="shared" ca="1" si="18"/>
        <v>0</v>
      </c>
      <c r="BI8" s="16">
        <f t="shared" ca="1" si="19"/>
        <v>1</v>
      </c>
      <c r="BJ8" s="16">
        <f t="shared" ca="1" si="20"/>
        <v>5</v>
      </c>
      <c r="BK8" s="16">
        <f t="shared" ca="1" si="21"/>
        <v>3</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6</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46198.125</v>
      </c>
      <c r="Y9" s="29">
        <f ca="1">Horarios!C9</f>
        <v>46198.125</v>
      </c>
      <c r="Z9" s="30" t="str">
        <f>$Z$8</f>
        <v>J3</v>
      </c>
      <c r="AA9" s="31" t="str">
        <f ca="1">A6</f>
        <v>Sudáfrica</v>
      </c>
      <c r="AB9" s="52" t="e" cm="1" vm="2">
        <f t="array" aca="1" ref="AB9" ca="1">Ver_flag_local</f>
        <v>#VALUE!</v>
      </c>
      <c r="AC9" s="53">
        <v>0</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6</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41"/>
        <v>3</v>
      </c>
      <c r="BG9" s="16">
        <f t="shared" ca="1" si="17"/>
        <v>1</v>
      </c>
      <c r="BH9" s="16">
        <f t="shared" ca="1" si="18"/>
        <v>0</v>
      </c>
      <c r="BI9" s="16">
        <f t="shared" ca="1" si="19"/>
        <v>2</v>
      </c>
      <c r="BJ9" s="16">
        <f t="shared" ca="1" si="20"/>
        <v>3</v>
      </c>
      <c r="BK9" s="16">
        <f t="shared" ca="1" si="21"/>
        <v>4</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6</v>
      </c>
      <c r="BK10" s="16">
        <f t="shared" ca="1" si="21"/>
        <v>4</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3</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2"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9</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46186.875</v>
      </c>
      <c r="Y13" s="25">
        <f ca="1">Horarios!C13</f>
        <v>46186.875</v>
      </c>
      <c r="Z13" s="26" t="str">
        <f>$Z$4</f>
        <v>J1</v>
      </c>
      <c r="AA13" s="27" t="str">
        <f ca="1">A15</f>
        <v>Catar</v>
      </c>
      <c r="AB13" s="49" t="e" cm="1" vm="7">
        <f t="array" aca="1" ref="AB13" ca="1">Ver_flag_local</f>
        <v>#VALUE!</v>
      </c>
      <c r="AC13" s="50">
        <v>0</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6</v>
      </c>
      <c r="BK13" s="16">
        <f t="shared" ca="1" si="21"/>
        <v>2</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2"/>
      <c r="X14" s="24">
        <f ca="1">Horarios!C14</f>
        <v>46191.875</v>
      </c>
      <c r="Y14" s="25">
        <f ca="1">Horarios!C14</f>
        <v>46191.875</v>
      </c>
      <c r="Z14" s="26" t="str">
        <f>$Z$6</f>
        <v>J2</v>
      </c>
      <c r="AA14" s="27" t="str">
        <f ca="1">A16</f>
        <v>Suiza</v>
      </c>
      <c r="AB14" s="49" t="e" cm="1" vm="8">
        <f t="array" aca="1" ref="AB14" ca="1">Ver_flag_local</f>
        <v>#VALUE!</v>
      </c>
      <c r="AC14" s="50">
        <v>1</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10</v>
      </c>
      <c r="BK14" s="16">
        <f t="shared" ca="1" si="21"/>
        <v>1</v>
      </c>
      <c r="BL14" s="16">
        <f t="shared" ca="1" si="42"/>
        <v>9</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2"/>
      <c r="X15" s="24">
        <f ca="1">Horarios!C15</f>
        <v>46192</v>
      </c>
      <c r="Y15" s="25">
        <f ca="1">Horarios!C15</f>
        <v>46192</v>
      </c>
      <c r="Z15" s="26" t="str">
        <f>$Z$6</f>
        <v>J2</v>
      </c>
      <c r="AA15" s="27" t="str">
        <f ca="1">A13</f>
        <v>Canadá</v>
      </c>
      <c r="AB15" s="49" t="e" cm="1" vm="5">
        <f t="array" aca="1" ref="AB15" ca="1">Ver_flag_local</f>
        <v>#VALUE!</v>
      </c>
      <c r="AC15" s="50">
        <v>3</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6</v>
      </c>
      <c r="AS15" s="39">
        <f t="shared" ca="1" si="69"/>
        <v>4</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8</v>
      </c>
      <c r="BK15" s="16">
        <f t="shared" ca="1" si="21"/>
        <v>4</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2"/>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3</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12</v>
      </c>
      <c r="BL16" s="16">
        <f t="shared" ca="1" si="42"/>
        <v>-12</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v>3</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9</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5</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2</v>
      </c>
      <c r="BF18" s="16">
        <f t="shared" ca="1" si="41"/>
        <v>3</v>
      </c>
      <c r="BG18" s="16">
        <f t="shared" ca="1" si="17"/>
        <v>0</v>
      </c>
      <c r="BH18" s="16">
        <f t="shared" ca="1" si="18"/>
        <v>2</v>
      </c>
      <c r="BI18" s="16">
        <f t="shared" ca="1" si="19"/>
        <v>1</v>
      </c>
      <c r="BJ18" s="16">
        <f t="shared" ca="1" si="20"/>
        <v>4</v>
      </c>
      <c r="BK18" s="16">
        <f t="shared" ca="1" si="21"/>
        <v>6</v>
      </c>
      <c r="BL18" s="16">
        <f t="shared" ca="1" si="42"/>
        <v>-2</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2</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5</v>
      </c>
      <c r="BF19" s="16">
        <f t="shared" ca="1" si="41"/>
        <v>3</v>
      </c>
      <c r="BG19" s="16">
        <f t="shared" ca="1" si="17"/>
        <v>1</v>
      </c>
      <c r="BH19" s="16">
        <f t="shared" ca="1" si="18"/>
        <v>2</v>
      </c>
      <c r="BI19" s="16">
        <f t="shared" ca="1" si="19"/>
        <v>0</v>
      </c>
      <c r="BJ19" s="16">
        <f t="shared" ca="1" si="20"/>
        <v>6</v>
      </c>
      <c r="BK19" s="16">
        <f t="shared" ca="1" si="21"/>
        <v>4</v>
      </c>
      <c r="BL19" s="16">
        <f t="shared" ca="1" si="42"/>
        <v>2</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5</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Paraguay</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1" t="s">
        <v>2</v>
      </c>
      <c r="X20" s="24">
        <f ca="1">Horarios!C20</f>
        <v>46187</v>
      </c>
      <c r="Y20" s="25">
        <f ca="1">Horarios!C20</f>
        <v>46187</v>
      </c>
      <c r="Z20" s="26" t="str">
        <f>$Z$4</f>
        <v>J1</v>
      </c>
      <c r="AA20" s="27" t="str">
        <f ca="1">A21</f>
        <v>Brasil</v>
      </c>
      <c r="AB20" s="49" t="e" cm="1" vm="9">
        <f t="array" aca="1" ref="AB20" ca="1">Ver_flag_local</f>
        <v>#VALUE!</v>
      </c>
      <c r="AC20" s="50">
        <v>3</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1</v>
      </c>
      <c r="BK20" s="16">
        <f t="shared" ca="1" si="21"/>
        <v>6</v>
      </c>
      <c r="BL20" s="16">
        <f t="shared" ca="1" si="42"/>
        <v>-5</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e" cm="1" vm="11">
        <f t="array" aca="1" ref="AB21" ca="1">Ver_flag_local</f>
        <v>#VALUE!</v>
      </c>
      <c r="AC21" s="50">
        <v>0</v>
      </c>
      <c r="AD21" s="51">
        <v>3</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8</v>
      </c>
      <c r="BK21" s="16">
        <f t="shared" ca="1" si="21"/>
        <v>3</v>
      </c>
      <c r="BL21" s="16">
        <f t="shared" ca="1" si="42"/>
        <v>5</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1"/>
      <c r="X22" s="24">
        <f ca="1">Horarios!C22</f>
        <v>46193</v>
      </c>
      <c r="Y22" s="25">
        <f ca="1">Horarios!C22</f>
        <v>46193</v>
      </c>
      <c r="Z22" s="26" t="str">
        <f>$Z$6</f>
        <v>J2</v>
      </c>
      <c r="AA22" s="27" t="str">
        <f ca="1">A24</f>
        <v>Escocia</v>
      </c>
      <c r="AB22" s="49" t="e" cm="1" vm="12">
        <f t="array" aca="1" ref="AB22" ca="1">Ver_flag_local</f>
        <v>#VALUE!</v>
      </c>
      <c r="AC22" s="50">
        <v>1</v>
      </c>
      <c r="AD22" s="51">
        <v>3</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10</v>
      </c>
      <c r="AS22" s="36">
        <f t="shared" ca="1" si="87"/>
        <v>1</v>
      </c>
      <c r="AT22" s="41">
        <f t="shared" ca="1" si="87"/>
        <v>9</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2</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1"/>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8</v>
      </c>
      <c r="AS23" s="39">
        <f t="shared" ca="1" si="87"/>
        <v>4</v>
      </c>
      <c r="AT23" s="43">
        <f t="shared" ca="1" si="87"/>
        <v>4</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12</v>
      </c>
      <c r="BL23" s="16">
        <f t="shared" ca="1" si="42"/>
        <v>-12</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1"/>
      <c r="X24" s="24">
        <f ca="1">Horarios!C24</f>
        <v>46198</v>
      </c>
      <c r="Y24" s="25">
        <f ca="1">Horarios!C24</f>
        <v>46198</v>
      </c>
      <c r="Z24" s="26" t="str">
        <f>$Z$8</f>
        <v>J3</v>
      </c>
      <c r="AA24" s="27" t="str">
        <f ca="1">A24</f>
        <v>Escocia</v>
      </c>
      <c r="AB24" s="49" t="e" cm="1" vm="12">
        <f t="array" aca="1" ref="AB24" ca="1">Ver_flag_local</f>
        <v>#VALUE!</v>
      </c>
      <c r="AC24" s="50">
        <v>0</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5</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7</v>
      </c>
      <c r="BK24" s="16">
        <f t="shared" ca="1" si="21"/>
        <v>4</v>
      </c>
      <c r="BL24" s="16">
        <f t="shared" ca="1" si="42"/>
        <v>3</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2</v>
      </c>
      <c r="CB24" s="16">
        <f t="shared" ca="1" si="28"/>
        <v>2</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2</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2</v>
      </c>
      <c r="CP24" s="16">
        <f t="shared" ca="1" si="34"/>
        <v>2</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2</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3</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2"/>
      <c r="X25" s="28">
        <f ca="1">Horarios!C25</f>
        <v>46198</v>
      </c>
      <c r="Y25" s="29">
        <f ca="1">Horarios!C25</f>
        <v>46198</v>
      </c>
      <c r="Z25" s="30" t="str">
        <f>$Z$8</f>
        <v>J3</v>
      </c>
      <c r="AA25" s="31" t="str">
        <f ca="1">A22</f>
        <v>Marruecos</v>
      </c>
      <c r="AB25" s="52" t="e" cm="1" vm="10">
        <f t="array" aca="1" ref="AB25" ca="1">Ver_flag_local</f>
        <v>#VALUE!</v>
      </c>
      <c r="AC25" s="53">
        <v>4</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12</v>
      </c>
      <c r="AT25" s="48">
        <f t="shared" ca="1" si="87"/>
        <v>-12</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6</v>
      </c>
      <c r="BK25" s="16">
        <f t="shared" ca="1" si="21"/>
        <v>4</v>
      </c>
      <c r="BL25" s="16">
        <f t="shared" ca="1" si="42"/>
        <v>2</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2</v>
      </c>
      <c r="CB25" s="16">
        <f t="shared" ca="1" si="28"/>
        <v>2</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2</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2</v>
      </c>
      <c r="CP25" s="16">
        <f t="shared" ca="1" si="34"/>
        <v>2</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2</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2</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9</v>
      </c>
      <c r="BK26" s="16">
        <f t="shared" ca="1" si="21"/>
        <v>5</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6</v>
      </c>
      <c r="BK27" s="16">
        <f t="shared" ca="1" si="21"/>
        <v>5</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05"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43" t="s">
        <v>74</v>
      </c>
      <c r="X28" s="24">
        <f ca="1">Horarios!C28</f>
        <v>46186.125</v>
      </c>
      <c r="Y28" s="25">
        <f ca="1">Horarios!C28</f>
        <v>46186.125</v>
      </c>
      <c r="Z28" s="26" t="str">
        <f>$Z$4</f>
        <v>J1</v>
      </c>
      <c r="AA28" s="27" t="str">
        <f ca="1">A29</f>
        <v>Estados Unidos</v>
      </c>
      <c r="AB28" s="49" t="e" cm="1" vm="13">
        <f t="array" aca="1" ref="AB28" ca="1">Ver_flag_local</f>
        <v>#VALUE!</v>
      </c>
      <c r="AC28" s="50">
        <v>2</v>
      </c>
      <c r="AD28" s="51">
        <v>2</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5</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43"/>
      <c r="X29" s="24">
        <f ca="1">Horarios!C29</f>
        <v>46187.25</v>
      </c>
      <c r="Y29" s="25">
        <f ca="1">Horarios!C29</f>
        <v>46187.25</v>
      </c>
      <c r="Z29" s="26" t="str">
        <f>$Z$4</f>
        <v>J1</v>
      </c>
      <c r="AA29" s="27" t="str">
        <f ca="1">A31</f>
        <v>Australia</v>
      </c>
      <c r="AB29" s="49" t="e" cm="1" vm="15">
        <f t="array" aca="1" ref="AB29" ca="1">Ver_flag_local</f>
        <v>#VALUE!</v>
      </c>
      <c r="AC29" s="50">
        <v>0</v>
      </c>
      <c r="AD29" s="51">
        <v>3</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3</v>
      </c>
      <c r="BK29" s="16">
        <f t="shared" ca="1" si="21"/>
        <v>7</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43"/>
      <c r="X30" s="24">
        <f ca="1">Horarios!C30</f>
        <v>46192.875</v>
      </c>
      <c r="Y30" s="25">
        <f ca="1">Horarios!C30</f>
        <v>46192.875</v>
      </c>
      <c r="Z30" s="26" t="str">
        <f>$Z$6</f>
        <v>J2</v>
      </c>
      <c r="AA30" s="27" t="str">
        <f ca="1">A29</f>
        <v>Estados Unidos</v>
      </c>
      <c r="AB30" s="49" t="e" cm="1" vm="13">
        <f t="array" aca="1" ref="AB30" ca="1">Ver_flag_local</f>
        <v>#VALUE!</v>
      </c>
      <c r="AC30" s="50">
        <v>1</v>
      </c>
      <c r="AD30" s="51">
        <v>1</v>
      </c>
      <c r="AE30" s="595" t="e" cm="1" vm="15">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8</v>
      </c>
      <c r="AS30" s="36">
        <f t="shared" ca="1" si="107"/>
        <v>3</v>
      </c>
      <c r="AT30" s="41">
        <f t="shared" ca="1" si="107"/>
        <v>5</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3</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43"/>
      <c r="X31" s="24">
        <f ca="1">Horarios!C31</f>
        <v>46193.208333333336</v>
      </c>
      <c r="Y31" s="25">
        <f ca="1">Horarios!C31</f>
        <v>46193.208333333336</v>
      </c>
      <c r="Z31" s="26" t="str">
        <f>$Z$6</f>
        <v>J2</v>
      </c>
      <c r="AA31" s="27" t="str">
        <f ca="1">A32</f>
        <v>Turquía</v>
      </c>
      <c r="AB31" s="49" t="e" cm="1" vm="16">
        <f t="array" aca="1" ref="AB31" ca="1">Ver_flag_local</f>
        <v>#VALUE!</v>
      </c>
      <c r="AC31" s="50">
        <v>2</v>
      </c>
      <c r="AD31" s="51">
        <v>2</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4">
        <f t="array" aca="1" ref="AK31" ca="1">Ver_flag_visit</f>
        <v>#VALUE!</v>
      </c>
      <c r="AL31" s="37" t="str">
        <f ca="1">IFERROR(INDEX($BD$6:$BD$53,MATCH(AI31,$BN$6:$BN$53,0)),"")</f>
        <v>Paraguay</v>
      </c>
      <c r="AM31" s="38">
        <f t="shared" ca="1" si="107"/>
        <v>5</v>
      </c>
      <c r="AN31" s="39">
        <f t="shared" ca="1" si="107"/>
        <v>3</v>
      </c>
      <c r="AO31" s="39">
        <f t="shared" ca="1" si="107"/>
        <v>1</v>
      </c>
      <c r="AP31" s="39">
        <f t="shared" ca="1" si="107"/>
        <v>2</v>
      </c>
      <c r="AQ31" s="39">
        <f t="shared" ca="1" si="107"/>
        <v>0</v>
      </c>
      <c r="AR31" s="39">
        <f t="shared" ca="1" si="107"/>
        <v>6</v>
      </c>
      <c r="AS31" s="39">
        <f t="shared" ca="1" si="107"/>
        <v>4</v>
      </c>
      <c r="AT31" s="43">
        <f t="shared" ca="1" si="107"/>
        <v>2</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5</v>
      </c>
      <c r="BL31" s="16">
        <f t="shared" ca="1" si="42"/>
        <v>-1</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-1</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Irán</v>
      </c>
    </row>
    <row r="32" spans="1:121" ht="16.0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46199.166666666664</v>
      </c>
      <c r="Y32" s="25">
        <f ca="1">Horarios!C32</f>
        <v>46199.166666666664</v>
      </c>
      <c r="Z32" s="26" t="str">
        <f>$Z$8</f>
        <v>J3</v>
      </c>
      <c r="AA32" s="27" t="str">
        <f ca="1">A32</f>
        <v>Turquía</v>
      </c>
      <c r="AB32" s="49" t="e" cm="1" vm="16">
        <f t="array" aca="1" ref="AB32" ca="1">Ver_flag_local</f>
        <v>#VALUE!</v>
      </c>
      <c r="AC32" s="50">
        <v>3</v>
      </c>
      <c r="AD32" s="51">
        <v>1</v>
      </c>
      <c r="AE32" s="595" t="e" cm="1" vm="13">
        <f t="array" aca="1" ref="AE32" ca="1">Ver_flag_visit</f>
        <v>#VALUE!</v>
      </c>
      <c r="AF32" s="32" t="str">
        <f ca="1">A29</f>
        <v>Estados Unidos</v>
      </c>
      <c r="AG32" s="323">
        <f t="shared" si="104"/>
        <v>1</v>
      </c>
      <c r="AH32" s="195">
        <v>59</v>
      </c>
      <c r="AI32" s="181" t="str">
        <f t="shared" si="108"/>
        <v>3D</v>
      </c>
      <c r="AJ32" s="42">
        <v>3</v>
      </c>
      <c r="AK32" s="602" t="e" cm="1" vm="13">
        <f t="array" aca="1" ref="AK32" ca="1">Ver_flag_visit</f>
        <v>#VALUE!</v>
      </c>
      <c r="AL32" s="37" t="str">
        <f ca="1">IFERROR(INDEX($BD$6:$BD$53,MATCH(AI32,$BN$6:$BN$53,0)),"")</f>
        <v>Estados Unidos</v>
      </c>
      <c r="AM32" s="38">
        <f t="shared" ca="1" si="107"/>
        <v>2</v>
      </c>
      <c r="AN32" s="39">
        <f t="shared" ca="1" si="107"/>
        <v>3</v>
      </c>
      <c r="AO32" s="39">
        <f t="shared" ca="1" si="107"/>
        <v>0</v>
      </c>
      <c r="AP32" s="39">
        <f t="shared" ca="1" si="107"/>
        <v>2</v>
      </c>
      <c r="AQ32" s="39">
        <f t="shared" ca="1" si="107"/>
        <v>1</v>
      </c>
      <c r="AR32" s="39">
        <f t="shared" ca="1" si="107"/>
        <v>4</v>
      </c>
      <c r="AS32" s="39">
        <f t="shared" ca="1" si="107"/>
        <v>6</v>
      </c>
      <c r="AT32" s="43">
        <f t="shared" ca="1" si="107"/>
        <v>-2</v>
      </c>
      <c r="AU32" s="330">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4</v>
      </c>
      <c r="BK32" s="16">
        <f t="shared" ca="1" si="21"/>
        <v>3</v>
      </c>
      <c r="BL32" s="16">
        <f t="shared" ca="1" si="42"/>
        <v>1</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1</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44"/>
      <c r="X33" s="28">
        <f ca="1">Horarios!C33</f>
        <v>46199.166666666664</v>
      </c>
      <c r="Y33" s="29">
        <f ca="1">Horarios!C33</f>
        <v>46199.166666666664</v>
      </c>
      <c r="Z33" s="30" t="str">
        <f>$Z$8</f>
        <v>J3</v>
      </c>
      <c r="AA33" s="31" t="str">
        <f ca="1">A30</f>
        <v>Paraguay</v>
      </c>
      <c r="AB33" s="52" t="e" cm="1" vm="14">
        <f t="array" aca="1" ref="AB33" ca="1">Ver_flag_local</f>
        <v>#VALUE!</v>
      </c>
      <c r="AC33" s="53">
        <v>2</v>
      </c>
      <c r="AD33" s="54">
        <v>0</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1</v>
      </c>
      <c r="AS33" s="47">
        <f t="shared" ca="1" si="107"/>
        <v>6</v>
      </c>
      <c r="AT33" s="48">
        <f t="shared" ca="1" si="107"/>
        <v>-5</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2</v>
      </c>
      <c r="BK33" s="16">
        <f t="shared" ca="1" si="21"/>
        <v>7</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8</v>
      </c>
      <c r="BK34" s="16">
        <f t="shared" ca="1" si="21"/>
        <v>2</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2</v>
      </c>
      <c r="CB34" s="16">
        <f t="shared" ca="1" si="28"/>
        <v>2</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2</v>
      </c>
      <c r="CP34" s="16">
        <f t="shared" ca="1" si="34"/>
        <v>2</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6</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-7</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3</v>
      </c>
      <c r="X36" s="24">
        <f ca="1">Horarios!C36</f>
        <v>46187.791666666664</v>
      </c>
      <c r="Y36" s="25">
        <f ca="1">Horarios!C36</f>
        <v>46187.791666666664</v>
      </c>
      <c r="Z36" s="26" t="str">
        <f>$Z$4</f>
        <v>J1</v>
      </c>
      <c r="AA36" s="27" t="str">
        <f ca="1">A37</f>
        <v>Alemania</v>
      </c>
      <c r="AB36" s="49" t="e" cm="1" vm="17">
        <f t="array" aca="1" ref="AB36" ca="1">Ver_flag_local</f>
        <v>#VALUE!</v>
      </c>
      <c r="AC36" s="50">
        <v>5</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45"/>
      <c r="X37" s="24">
        <f ca="1">Horarios!C37</f>
        <v>46188.041666666664</v>
      </c>
      <c r="Y37" s="25">
        <f ca="1">Horarios!C37</f>
        <v>46188.041666666664</v>
      </c>
      <c r="Z37" s="26" t="str">
        <f>$Z$4</f>
        <v>J1</v>
      </c>
      <c r="AA37" s="27" t="str">
        <f ca="1">A39</f>
        <v>Costa de Marfil</v>
      </c>
      <c r="AB37" s="49" t="e" cm="1" vm="19">
        <f t="array" aca="1" ref="AB37" ca="1">Ver_flag_local</f>
        <v>#VALUE!</v>
      </c>
      <c r="AC37" s="50">
        <v>2</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7</v>
      </c>
      <c r="BK37" s="16">
        <f t="shared" ca="1" si="21"/>
        <v>3</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2</v>
      </c>
      <c r="CB37" s="16">
        <f t="shared" ca="1" si="28"/>
        <v>2</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2</v>
      </c>
      <c r="CP37" s="16">
        <f t="shared" ca="1" si="34"/>
        <v>2</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4</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45"/>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2</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45"/>
      <c r="X39" s="24">
        <f ca="1">Horarios!C39</f>
        <v>46194.083333333336</v>
      </c>
      <c r="Y39" s="25">
        <f ca="1">Horarios!C39</f>
        <v>46194.083333333336</v>
      </c>
      <c r="Z39" s="26" t="str">
        <f>$Z$6</f>
        <v>J2</v>
      </c>
      <c r="AA39" s="27" t="str">
        <f ca="1">A40</f>
        <v>Ecuador</v>
      </c>
      <c r="AB39" s="49" t="e" cm="1" vm="20">
        <f t="array" aca="1" ref="AB39" ca="1">Ver_flag_local</f>
        <v>#VALUE!</v>
      </c>
      <c r="AC39" s="50">
        <v>3</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4</v>
      </c>
      <c r="AN39" s="39">
        <f t="shared" ca="1" si="127"/>
        <v>3</v>
      </c>
      <c r="AO39" s="39">
        <f t="shared" ca="1" si="127"/>
        <v>1</v>
      </c>
      <c r="AP39" s="39">
        <f t="shared" ca="1" si="127"/>
        <v>1</v>
      </c>
      <c r="AQ39" s="39">
        <f t="shared" ca="1" si="127"/>
        <v>1</v>
      </c>
      <c r="AR39" s="39">
        <f t="shared" ca="1" si="127"/>
        <v>7</v>
      </c>
      <c r="AS39" s="39">
        <f t="shared" ca="1" si="127"/>
        <v>4</v>
      </c>
      <c r="AT39" s="43">
        <f t="shared" ca="1" si="127"/>
        <v>3</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3</v>
      </c>
      <c r="BK39" s="16">
        <f t="shared" ca="1" si="21"/>
        <v>5</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45"/>
      <c r="X40" s="24">
        <f ca="1">Horarios!C40</f>
        <v>46198.916666666664</v>
      </c>
      <c r="Y40" s="25">
        <f ca="1">Horarios!C40</f>
        <v>46198.916666666664</v>
      </c>
      <c r="Z40" s="26" t="str">
        <f>$Z$8</f>
        <v>J3</v>
      </c>
      <c r="AA40" s="27" t="str">
        <f ca="1">A38</f>
        <v>Curazao</v>
      </c>
      <c r="AB40" s="49" t="e" cm="1" vm="18">
        <f t="array" aca="1" ref="AB40" ca="1">Ver_flag_local</f>
        <v>#VALUE!</v>
      </c>
      <c r="AC40" s="50">
        <v>0</v>
      </c>
      <c r="AD40" s="51">
        <v>4</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6</v>
      </c>
      <c r="AS40" s="39">
        <f t="shared" ca="1" si="127"/>
        <v>4</v>
      </c>
      <c r="AT40" s="43">
        <f t="shared" ca="1" si="127"/>
        <v>2</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7</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46"/>
      <c r="X41" s="28">
        <f ca="1">Horarios!C41</f>
        <v>46198.916666666664</v>
      </c>
      <c r="Y41" s="29">
        <f ca="1">Horarios!C41</f>
        <v>46198.916666666664</v>
      </c>
      <c r="Z41" s="30" t="str">
        <f>$Z$8</f>
        <v>J3</v>
      </c>
      <c r="AA41" s="31" t="str">
        <f ca="1">A40</f>
        <v>Ecuador</v>
      </c>
      <c r="AB41" s="52" t="e" cm="1" vm="20">
        <f t="array" aca="1" ref="AB41" ca="1">Ver_flag_local</f>
        <v>#VALUE!</v>
      </c>
      <c r="AC41" s="53">
        <v>1</v>
      </c>
      <c r="AD41" s="54">
        <v>2</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12</v>
      </c>
      <c r="AT41" s="48">
        <f t="shared" ca="1" si="127"/>
        <v>-12</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6</v>
      </c>
      <c r="BK41" s="16">
        <f t="shared" ca="1" si="21"/>
        <v>4</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3</v>
      </c>
      <c r="BK43" s="16">
        <f t="shared" ca="1" si="21"/>
        <v>6</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55"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2</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7</v>
      </c>
      <c r="BK44" s="16">
        <f t="shared" ca="1" si="21"/>
        <v>3</v>
      </c>
      <c r="BL44" s="16">
        <f t="shared" ca="1" si="42"/>
        <v>4</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55"/>
      <c r="X45" s="24">
        <f ca="1">Horarios!C45</f>
        <v>46188.166666666664</v>
      </c>
      <c r="Y45" s="25">
        <f ca="1">Horarios!C45</f>
        <v>46188.166666666664</v>
      </c>
      <c r="Z45" s="26" t="str">
        <f>$Z$4</f>
        <v>J1</v>
      </c>
      <c r="AA45" s="27" t="str">
        <f ca="1">A47</f>
        <v>Suecia</v>
      </c>
      <c r="AB45" s="49" t="e" cm="1" vm="23">
        <f t="array" aca="1" ref="AB45" ca="1">Ver_flag_local</f>
        <v>#VALUE!</v>
      </c>
      <c r="AC45" s="50">
        <v>1</v>
      </c>
      <c r="AD45" s="51">
        <v>0</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9</v>
      </c>
      <c r="BL45" s="16">
        <f t="shared" ca="1" si="42"/>
        <v>-8</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55"/>
      <c r="X46" s="24">
        <f ca="1">Horarios!C46</f>
        <v>46193.791666666664</v>
      </c>
      <c r="Y46" s="25">
        <f ca="1">Horarios!C46</f>
        <v>46193.791666666664</v>
      </c>
      <c r="Z46" s="26" t="str">
        <f>$Z$6</f>
        <v>J2</v>
      </c>
      <c r="AA46" s="27" t="str">
        <f ca="1">A45</f>
        <v>Países Bajos</v>
      </c>
      <c r="AB46" s="49" t="e" cm="1" vm="21">
        <f t="array" aca="1" ref="AB46" ca="1">Ver_flag_local</f>
        <v>#VALUE!</v>
      </c>
      <c r="AC46" s="50">
        <v>3</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9</v>
      </c>
      <c r="AS46" s="36">
        <f t="shared" ca="1" si="147"/>
        <v>5</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9</v>
      </c>
      <c r="BK46" s="16">
        <f t="shared" ca="1" si="21"/>
        <v>3</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2</v>
      </c>
      <c r="CB46" s="16">
        <f t="shared" ca="1" si="28"/>
        <v>2</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2</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2</v>
      </c>
      <c r="CP46" s="16">
        <f t="shared" ca="1" si="34"/>
        <v>2</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2</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6</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46194.25</v>
      </c>
      <c r="Y47" s="25">
        <f ca="1">Horarios!C47</f>
        <v>46194.25</v>
      </c>
      <c r="Z47" s="26" t="str">
        <f>$Z$6</f>
        <v>J2</v>
      </c>
      <c r="AA47" s="27" t="str">
        <f ca="1">A48</f>
        <v>Túnez</v>
      </c>
      <c r="AB47" s="49" t="e" cm="1" vm="24">
        <f t="array" aca="1" ref="AB47" ca="1">Ver_flag_local</f>
        <v>#VALUE!</v>
      </c>
      <c r="AC47" s="50">
        <v>1</v>
      </c>
      <c r="AD47" s="51">
        <v>2</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6</v>
      </c>
      <c r="AS47" s="39">
        <f t="shared" ca="1" si="147"/>
        <v>5</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0</v>
      </c>
      <c r="BK47" s="16">
        <f t="shared" ca="1" si="21"/>
        <v>5</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0</v>
      </c>
      <c r="CB47" s="16">
        <f t="shared" ca="1" si="28"/>
        <v>0</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0</v>
      </c>
      <c r="CP47" s="16">
        <f t="shared" ca="1" si="34"/>
        <v>0</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-5</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37"/>
        <v>0</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55"/>
      <c r="X48" s="24">
        <f ca="1">Horarios!C48</f>
        <v>46199.041666666664</v>
      </c>
      <c r="Y48" s="25">
        <f ca="1">Horarios!C48</f>
        <v>46199.041666666664</v>
      </c>
      <c r="Z48" s="26" t="str">
        <f>$Z$8</f>
        <v>J3</v>
      </c>
      <c r="AA48" s="27" t="str">
        <f ca="1">A46</f>
        <v>Japón</v>
      </c>
      <c r="AB48" s="49" t="e" cm="1" vm="22">
        <f t="array" aca="1" ref="AB48" ca="1">Ver_flag_local</f>
        <v>#VALUE!</v>
      </c>
      <c r="AC48" s="50">
        <v>2</v>
      </c>
      <c r="AD48" s="51">
        <v>2</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4</v>
      </c>
      <c r="AS48" s="39">
        <f t="shared" ca="1" si="147"/>
        <v>5</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0</v>
      </c>
      <c r="CB48" s="16">
        <f t="shared" ca="1" si="28"/>
        <v>0</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0</v>
      </c>
      <c r="CP48" s="16">
        <f t="shared" ca="1" si="34"/>
        <v>0</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37"/>
        <v>1</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46199.041666666664</v>
      </c>
      <c r="Y49" s="29">
        <f ca="1">Horarios!C49</f>
        <v>46199.041666666664</v>
      </c>
      <c r="Z49" s="30" t="str">
        <f>$Z$8</f>
        <v>J3</v>
      </c>
      <c r="AA49" s="31" t="str">
        <f ca="1">A48</f>
        <v>Túnez</v>
      </c>
      <c r="AB49" s="52" t="e" cm="1" vm="24">
        <f t="array" aca="1" ref="AB49" ca="1">Ver_flag_local</f>
        <v>#VALUE!</v>
      </c>
      <c r="AC49" s="53">
        <v>2</v>
      </c>
      <c r="AD49" s="54">
        <v>4</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3</v>
      </c>
      <c r="AS49" s="47">
        <f t="shared" ca="1" si="147"/>
        <v>7</v>
      </c>
      <c r="AT49" s="48">
        <f t="shared" ca="1" si="147"/>
        <v>-4</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6</v>
      </c>
      <c r="BK49" s="16">
        <f t="shared" ca="1" si="21"/>
        <v>2</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2</v>
      </c>
      <c r="CB49" s="16">
        <f t="shared" ca="1" si="28"/>
        <v>2</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2</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2</v>
      </c>
      <c r="CP49" s="16">
        <f t="shared" ca="1" si="34"/>
        <v>2</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2</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5</v>
      </c>
      <c r="BK51" s="16">
        <f t="shared" ca="1" si="21"/>
        <v>4</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75" t="s">
        <v>6</v>
      </c>
      <c r="X52" s="24">
        <f ca="1">Horarios!C52</f>
        <v>46188.875</v>
      </c>
      <c r="Y52" s="25">
        <f ca="1">Horarios!C52</f>
        <v>46188.875</v>
      </c>
      <c r="Z52" s="26" t="str">
        <f>$Z$4</f>
        <v>J1</v>
      </c>
      <c r="AA52" s="27" t="str">
        <f ca="1">A53</f>
        <v>Bélgica</v>
      </c>
      <c r="AB52" s="49" t="e" cm="1" vm="25">
        <f t="array" aca="1" ref="AB52" ca="1">Ver_flag_local</f>
        <v>#VALUE!</v>
      </c>
      <c r="AC52" s="50">
        <v>3</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3</v>
      </c>
      <c r="BK52" s="16">
        <f t="shared" ca="1" si="21"/>
        <v>5</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75"/>
      <c r="X53" s="24">
        <f ca="1">Horarios!C53</f>
        <v>46189.125</v>
      </c>
      <c r="Y53" s="25">
        <f ca="1">Horarios!C53</f>
        <v>46189.125</v>
      </c>
      <c r="Z53" s="26" t="str">
        <f>$Z$4</f>
        <v>J1</v>
      </c>
      <c r="AA53" s="27" t="str">
        <f ca="1">A55</f>
        <v>Irán</v>
      </c>
      <c r="AB53" s="49" t="e" cm="1" vm="27">
        <f t="array" aca="1" ref="AB53" ca="1">Ver_flag_local</f>
        <v>#VALUE!</v>
      </c>
      <c r="AC53" s="50">
        <v>2</v>
      </c>
      <c r="AD53" s="51">
        <v>0</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3</v>
      </c>
      <c r="BK53" s="16">
        <f t="shared" ca="1" si="21"/>
        <v>6</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75"/>
      <c r="X54" s="24">
        <f ca="1">Horarios!C54</f>
        <v>46194.875</v>
      </c>
      <c r="Y54" s="25">
        <f ca="1">Horarios!C54</f>
        <v>46194.875</v>
      </c>
      <c r="Z54" s="26" t="str">
        <f>$Z$6</f>
        <v>J2</v>
      </c>
      <c r="AA54" s="27" t="str">
        <f ca="1">A53</f>
        <v>Bélgica</v>
      </c>
      <c r="AB54" s="49" t="e" cm="1" vm="25">
        <f t="array" aca="1" ref="AB54" ca="1">Ver_flag_local</f>
        <v>#VALUE!</v>
      </c>
      <c r="AC54" s="50">
        <v>2</v>
      </c>
      <c r="AD54" s="51">
        <v>1</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3</v>
      </c>
      <c r="AT54" s="41">
        <f t="shared" ca="1" si="165"/>
        <v>5</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75"/>
      <c r="X55" s="24">
        <f ca="1">Horarios!C55</f>
        <v>46195.125</v>
      </c>
      <c r="Y55" s="25">
        <f ca="1">Horarios!C55</f>
        <v>46195.125</v>
      </c>
      <c r="Z55" s="26" t="str">
        <f>$Z$6</f>
        <v>J2</v>
      </c>
      <c r="AA55" s="27" t="str">
        <f ca="1">A56</f>
        <v>Nueva Zelanda</v>
      </c>
      <c r="AB55" s="49" t="e" cm="1" vm="28">
        <f t="array" aca="1" ref="AB55" ca="1">Ver_flag_local</f>
        <v>#VALUE!</v>
      </c>
      <c r="AC55" s="50">
        <v>1</v>
      </c>
      <c r="AD55" s="51">
        <v>2</v>
      </c>
      <c r="AE55" s="595" t="e" cm="1" vm="26">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Irán</v>
      </c>
      <c r="AM55" s="38">
        <f t="shared" ca="1" si="165"/>
        <v>4</v>
      </c>
      <c r="AN55" s="39">
        <f t="shared" ca="1" si="165"/>
        <v>3</v>
      </c>
      <c r="AO55" s="39">
        <f t="shared" ca="1" si="165"/>
        <v>1</v>
      </c>
      <c r="AP55" s="39">
        <f t="shared" ca="1" si="165"/>
        <v>1</v>
      </c>
      <c r="AQ55" s="39">
        <f t="shared" ca="1" si="165"/>
        <v>1</v>
      </c>
      <c r="AR55" s="39">
        <f t="shared" ca="1" si="165"/>
        <v>4</v>
      </c>
      <c r="AS55" s="39">
        <f t="shared" ca="1" si="165"/>
        <v>3</v>
      </c>
      <c r="AT55" s="43">
        <f t="shared" ca="1" si="165"/>
        <v>1</v>
      </c>
      <c r="AU55" s="330">
        <f ca="1">INDEX($DL$6:$DL$53,MATCH(AI55,$DP$6:$DP$53,0))</f>
        <v>1</v>
      </c>
      <c r="AV55" s="182" t="str">
        <f ca="1">INDEX($BD$6:$BD$53,MATCH(AI55,$BM$6:$BM$53,0))</f>
        <v>Irán</v>
      </c>
      <c r="AW55" s="210"/>
      <c r="AX55" s="171"/>
      <c r="AY55" s="203" t="str">
        <f ca="1">+A54</f>
        <v>Egipto</v>
      </c>
      <c r="AZ55" s="204"/>
      <c r="BA55" s="176"/>
    </row>
    <row r="56" spans="1:121" ht="16.05"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75"/>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95" t="e" cm="1" vm="27">
        <f t="array" aca="1" ref="AE56" ca="1">Ver_flag_visit</f>
        <v>#VALUE!</v>
      </c>
      <c r="AF56" s="32" t="str">
        <f ca="1">A55</f>
        <v>Irán</v>
      </c>
      <c r="AG56" s="323">
        <f t="shared" si="162"/>
        <v>1</v>
      </c>
      <c r="AH56" s="195">
        <v>63</v>
      </c>
      <c r="AI56" s="181" t="str">
        <f t="shared" si="166"/>
        <v>3G</v>
      </c>
      <c r="AJ56" s="42">
        <v>3</v>
      </c>
      <c r="AK56" s="602" t="e" cm="1" vm="26">
        <f t="array" aca="1" ref="AK56" ca="1">Ver_flag_visit</f>
        <v>#VALUE!</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4</v>
      </c>
      <c r="AS56" s="39">
        <f t="shared" ca="1" si="165"/>
        <v>5</v>
      </c>
      <c r="AT56" s="43">
        <f t="shared" ca="1" si="165"/>
        <v>-1</v>
      </c>
      <c r="AU56" s="330">
        <f ca="1">INDEX($DL$6:$DL$53,MATCH(AI56,$DP$6:$DP$53,0))</f>
        <v>1</v>
      </c>
      <c r="AV56" s="182" t="str">
        <f ca="1">INDEX($BD$6:$BD$53,MATCH(AI56,$BM$6:$BM$53,0))</f>
        <v>Egipto</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76"/>
      <c r="X57" s="28">
        <f ca="1">Horarios!C57</f>
        <v>46200.208333333336</v>
      </c>
      <c r="Y57" s="29">
        <f ca="1">Horarios!C57</f>
        <v>46200.208333333336</v>
      </c>
      <c r="Z57" s="30" t="str">
        <f>$Z$8</f>
        <v>J3</v>
      </c>
      <c r="AA57" s="31" t="str">
        <f ca="1">A56</f>
        <v>Nueva Zelanda</v>
      </c>
      <c r="AB57" s="52" t="e" cm="1" vm="28">
        <f t="array" aca="1" ref="AB57" ca="1">Ver_flag_local</f>
        <v>#VALUE!</v>
      </c>
      <c r="AC57" s="53">
        <v>1</v>
      </c>
      <c r="AD57" s="54">
        <v>3</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2</v>
      </c>
      <c r="AS57" s="47">
        <f t="shared" ca="1" si="165"/>
        <v>7</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6</v>
      </c>
      <c r="BN58" s="16">
        <f ca="1">CF58</f>
        <v>6</v>
      </c>
      <c r="BO58" s="16" t="str">
        <f t="shared" ref="BO58:BO69" si="174">"4"&amp;BC58</f>
        <v>4A</v>
      </c>
      <c r="BP58" s="16"/>
      <c r="BQ58" s="16"/>
      <c r="BR58" s="16">
        <f t="shared" ref="BR58:BR69" ca="1" si="175">+BE58</f>
        <v>3</v>
      </c>
      <c r="BS58" s="16">
        <f ca="1">COUNTIFS(BR$58:BR$69,"&gt;"&amp;BR58)+1</f>
        <v>5</v>
      </c>
      <c r="BT58" s="16" t="str">
        <f ca="1">IF(COUNTIF(BS$58:BS$69,BS58)=1,"-","Pos. "&amp;BS58&amp;" ("&amp;COUNTIF(BS$58:BS$69,BS58)&amp;")")</f>
        <v>Pos. 5 (5)</v>
      </c>
      <c r="BU58" s="16">
        <f t="shared" ref="BU58:BU69" ca="1" si="176">IF(BT58="-","-",BL58)</f>
        <v>-1</v>
      </c>
      <c r="BV58" s="16">
        <f t="shared" ref="BV58:BV69" ca="1" si="177">BS58+COUNTIFS(BT$58:BT$69,BT58,BU$58:BU$69,"&gt;"&amp;BU58)</f>
        <v>5</v>
      </c>
      <c r="BW58" s="16" t="str">
        <f t="shared" ref="BW58:BW69" ca="1" si="178">IF(COUNTIF(BV$58:BV$69,BV58)=1,"-","Pos. "&amp;BV58&amp;" ("&amp;COUNTIF(BV$58:BV$69,BV58)&amp;")")</f>
        <v>Pos. 5 (2)</v>
      </c>
      <c r="BX58" s="16">
        <f t="shared" ref="BX58:BX69" ca="1" si="179">IF(BW58="-","-",BJ58)</f>
        <v>3</v>
      </c>
      <c r="BY58" s="16">
        <f t="shared" ref="BY58:BY69" ca="1" si="180">BV58+COUNTIFS(BW$58:BW$69,BW58,BX$58:BX$69,"&gt;"&amp;BX58)</f>
        <v>6</v>
      </c>
      <c r="BZ58" s="16" t="str">
        <f t="shared" ref="BZ58:BZ69" ca="1" si="181">IF(COUNTIF(BY$58:BY$69,BY58)=1,"-","Pos. "&amp;BY58&amp;" ("&amp;COUNTIF(BY$58:BY$69,BY58)&amp;")")</f>
        <v>-</v>
      </c>
      <c r="CA58" s="16" t="str">
        <f t="shared" ref="CA58:CA69" ca="1" si="182">IF(BZ58="-","-",COUNTIF($BD$58:$BD$69,"&gt;"&amp;BD58))</f>
        <v>-</v>
      </c>
      <c r="CB58" s="16">
        <f ca="1">BY58+COUNTIFS(BZ$58:BZ$69,BZ58,CA$58:CA$69,"&gt;"&amp;CA58)</f>
        <v>6</v>
      </c>
      <c r="CC58" s="16"/>
      <c r="CD58" s="16">
        <f t="shared" ref="CD58:CD69" ca="1" si="183">IF(OR(INDEX($AW$102:$AW$113,MATCH($BD58,$AV$102:$AV$113,0))="",BZ58="-"),CB58,INDEX($AW$102:$AW$113,MATCH($BD58,$AV$102:$AV$113,0))+CB58/1000)</f>
        <v>6</v>
      </c>
      <c r="CE58" s="16" t="str">
        <f ca="1">IF(BZ58="-","-",COUNTIF(CD$58:CD$69,"&lt;"&amp;CD58))</f>
        <v>-</v>
      </c>
      <c r="CF58" s="16">
        <f ca="1">BY58+COUNTIFS(BZ$58:BZ$69,BZ58,CE$58:CE$69,"&lt;"&amp;CE58)</f>
        <v>6</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Ecuador</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3</v>
      </c>
      <c r="BL59" s="16">
        <f t="shared" ref="BL59:BL69" ca="1" si="190">+BJ59-BK59</f>
        <v>2</v>
      </c>
      <c r="BM59" s="16">
        <f t="shared" ref="BM59:BM69" ca="1" si="191">CB59</f>
        <v>2</v>
      </c>
      <c r="BN59" s="16">
        <f t="shared" ref="BN59:BN69" ca="1" si="192">CF59</f>
        <v>2</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(4)</v>
      </c>
      <c r="BU59" s="16">
        <f t="shared" ca="1" si="176"/>
        <v>2</v>
      </c>
      <c r="BV59" s="16">
        <f t="shared" ca="1" si="177"/>
        <v>1</v>
      </c>
      <c r="BW59" s="16" t="str">
        <f t="shared" ca="1" si="178"/>
        <v>Pos. 1 (2)</v>
      </c>
      <c r="BX59" s="16">
        <f t="shared" ca="1" si="179"/>
        <v>5</v>
      </c>
      <c r="BY59" s="16">
        <f t="shared" ca="1" si="180"/>
        <v>2</v>
      </c>
      <c r="BZ59" s="16" t="str">
        <f t="shared" ca="1" si="181"/>
        <v>-</v>
      </c>
      <c r="CA59" s="16" t="str">
        <f t="shared" ca="1" si="182"/>
        <v>-</v>
      </c>
      <c r="CB59" s="16">
        <f t="shared" ref="CB59:CB68" ca="1" si="195">BY59+COUNTIFS(BZ$58:BZ$69,BZ59,CA$58:CA$69,"&gt;"&amp;CA59)</f>
        <v>2</v>
      </c>
      <c r="CC59" s="16"/>
      <c r="CD59" s="16">
        <f t="shared" ca="1" si="183"/>
        <v>2</v>
      </c>
      <c r="CE59" s="16" t="str">
        <f t="shared" ref="CE59:CE69" ca="1" si="196">IF(BZ59="-","-",COUNTIF(CD$58:CD$69,"&lt;"&amp;CD59))</f>
        <v>-</v>
      </c>
      <c r="CF59" s="16">
        <f t="shared" ref="CF59:CF69" ca="1" si="197">BY59+COUNTIFS(BZ$58:BZ$69,BZ59,CE$58:CE$69,"&lt;"&amp;CE59)</f>
        <v>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Bosnia y Herzegovina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P.3 (2)</v>
      </c>
      <c r="G60" s="16"/>
      <c r="H60" s="16" t="str">
        <f t="shared" ref="H60:H65" ca="1" si="202">IF(D60="Pendiente","-",INDEX($BZ$6:$BZ$53,MATCH($AA60,$BD$6:$BD$53,0)))</f>
        <v>P.1 (2)</v>
      </c>
      <c r="I60" s="16" t="str">
        <f t="shared" ref="I60:I65" ca="1" si="203">IF(D60="Pendiente","-",INDEX($BZ$6:$BZ$53,MATCH($AF60,$BD$6:$BD$53,0)))</f>
        <v>P.3 (2)</v>
      </c>
      <c r="J60" s="16"/>
      <c r="K60" s="16" t="str">
        <f t="shared" ref="K60:K65" ca="1" si="204">IF(D60="Pendiente","-",INDEX($CE$6:$CE$53,MATCH($AA60,$BD$6:$BD$53,0)))</f>
        <v>P.1 (2)</v>
      </c>
      <c r="L60" s="16" t="str">
        <f t="shared" ref="L60:L65" ca="1" si="205">IF(D60="Pendiente","-",INDEX($CE$6:$CE$53,MATCH($AF60,$BD$6:$BD$53,0)))</f>
        <v>P.3 (2)</v>
      </c>
      <c r="M60" s="16"/>
      <c r="N60" s="16" t="str">
        <f t="shared" ref="N60:N65" ca="1" si="206">IF(D60="Pendiente","-",INDEX($CH$6:$CH$53,MATCH($AA60,$BD$6:$BD$53,0)))</f>
        <v>P.1 (2)</v>
      </c>
      <c r="O60" s="16" t="str">
        <f t="shared" ref="O60:O65" ca="1" si="207">IF(D60="Pendiente","-",INDEX($CH$6:$CH$53,MATCH($AF60,$BD$6:$BD$53,0)))</f>
        <v>P.3 (2)</v>
      </c>
      <c r="P60" s="16"/>
      <c r="Q60" s="16" t="str">
        <f t="shared" ref="Q60:Q65" ca="1" si="208">IF(D60="Pendiente","-",INDEX($CN$6:$CN$53,MATCH($AA60,$BD$6:$BD$53,0)))</f>
        <v>P.1 (2)</v>
      </c>
      <c r="R60" s="16" t="str">
        <f t="shared" ref="R60:R65" ca="1" si="209">IF(D60="Pendiente","-",INDEX($CN$6:$CN$53,MATCH($AF60,$BD$6:$BD$53,0)))</f>
        <v>P.3 (2)</v>
      </c>
      <c r="S60" s="16"/>
      <c r="T60" s="16" t="str">
        <f t="shared" ref="T60:T65" ca="1" si="210">IF(D60="Pendiente","-",INDEX($CS$6:$CS$53,MATCH($AA60,$BD$6:$BD$53,0)))</f>
        <v>P.1 (2)</v>
      </c>
      <c r="U60" s="16" t="str">
        <f t="shared" ref="U60:U65" ca="1" si="211">IF(D60="Pendiente","-",INDEX($CS$6:$CS$53,MATCH($AF60,$BD$6:$BD$53,0)))</f>
        <v>P.3 (2)</v>
      </c>
      <c r="V60" s="17"/>
      <c r="W60" s="657" t="s">
        <v>447</v>
      </c>
      <c r="X60" s="24">
        <f ca="1">Horarios!C60</f>
        <v>46188.75</v>
      </c>
      <c r="Y60" s="25">
        <f ca="1">Horarios!C60</f>
        <v>46188.75</v>
      </c>
      <c r="Z60" s="26" t="str">
        <f>$Z$4</f>
        <v>J1</v>
      </c>
      <c r="AA60" s="27" t="str">
        <f ca="1">A61</f>
        <v>España</v>
      </c>
      <c r="AB60" s="49" t="e" cm="1" vm="29">
        <f t="array" aca="1" ref="AB60" ca="1">Ver_flag_local</f>
        <v>#VALUE!</v>
      </c>
      <c r="AC60" s="50">
        <v>4</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5</v>
      </c>
      <c r="BL60" s="16">
        <f t="shared" ca="1" si="190"/>
        <v>-1</v>
      </c>
      <c r="BM60" s="16">
        <f t="shared" ca="1" si="191"/>
        <v>5</v>
      </c>
      <c r="BN60" s="16">
        <f t="shared" ca="1" si="192"/>
        <v>5</v>
      </c>
      <c r="BO60" s="16" t="str">
        <f t="shared" si="174"/>
        <v>4C</v>
      </c>
      <c r="BP60" s="16"/>
      <c r="BQ60" s="16"/>
      <c r="BR60" s="16">
        <f t="shared" ca="1" si="175"/>
        <v>3</v>
      </c>
      <c r="BS60" s="16">
        <f t="shared" ca="1" si="193"/>
        <v>5</v>
      </c>
      <c r="BT60" s="16" t="str">
        <f t="shared" ca="1" si="194"/>
        <v>Pos. 5 (5)</v>
      </c>
      <c r="BU60" s="16">
        <f t="shared" ca="1" si="176"/>
        <v>-1</v>
      </c>
      <c r="BV60" s="16">
        <f t="shared" ca="1" si="177"/>
        <v>5</v>
      </c>
      <c r="BW60" s="16" t="str">
        <f t="shared" ca="1" si="178"/>
        <v>Pos. 5 (2)</v>
      </c>
      <c r="BX60" s="16">
        <f t="shared" ca="1" si="179"/>
        <v>4</v>
      </c>
      <c r="BY60" s="16">
        <f t="shared" ca="1" si="180"/>
        <v>5</v>
      </c>
      <c r="BZ60" s="16" t="str">
        <f t="shared" ca="1" si="181"/>
        <v>-</v>
      </c>
      <c r="CA60" s="16" t="str">
        <f t="shared" ca="1" si="182"/>
        <v>-</v>
      </c>
      <c r="CB60" s="16">
        <f t="shared" ca="1" si="195"/>
        <v>5</v>
      </c>
      <c r="CC60" s="16"/>
      <c r="CD60" s="16">
        <f t="shared" ca="1" si="183"/>
        <v>5</v>
      </c>
      <c r="CE60" s="16" t="str">
        <f t="shared" ca="1" si="196"/>
        <v>-</v>
      </c>
      <c r="CF60" s="16">
        <f t="shared" ca="1" si="197"/>
        <v>5</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Egipto</v>
      </c>
    </row>
    <row r="61" spans="1:121" ht="16.05" customHeight="1">
      <c r="A61" s="16" t="str">
        <f ca="1">+Equipos!B30</f>
        <v>España</v>
      </c>
      <c r="B61" s="16"/>
      <c r="C61" s="16"/>
      <c r="D61" s="16" t="str">
        <f t="shared" si="199"/>
        <v>Visitante</v>
      </c>
      <c r="E61" s="16" t="str">
        <f t="shared" ca="1" si="200"/>
        <v>P.3 (2)</v>
      </c>
      <c r="F61" s="16" t="str">
        <f t="shared" ca="1" si="201"/>
        <v>P.1 (2)</v>
      </c>
      <c r="G61" s="16"/>
      <c r="H61" s="16" t="str">
        <f t="shared" ca="1" si="202"/>
        <v>P.3 (2)</v>
      </c>
      <c r="I61" s="16" t="str">
        <f t="shared" ca="1" si="203"/>
        <v>P.1 (2)</v>
      </c>
      <c r="J61" s="16"/>
      <c r="K61" s="16" t="str">
        <f t="shared" ca="1" si="204"/>
        <v>P.3 (2)</v>
      </c>
      <c r="L61" s="16" t="str">
        <f t="shared" ca="1" si="205"/>
        <v>P.1 (2)</v>
      </c>
      <c r="M61" s="16"/>
      <c r="N61" s="16" t="str">
        <f t="shared" ca="1" si="206"/>
        <v>P.3 (2)</v>
      </c>
      <c r="O61" s="16" t="str">
        <f t="shared" ca="1" si="207"/>
        <v>P.1 (2)</v>
      </c>
      <c r="P61" s="16"/>
      <c r="Q61" s="16" t="str">
        <f t="shared" ca="1" si="208"/>
        <v>P.3 (2)</v>
      </c>
      <c r="R61" s="16" t="str">
        <f t="shared" ca="1" si="209"/>
        <v>P.1 (2)</v>
      </c>
      <c r="S61" s="16"/>
      <c r="T61" s="16" t="str">
        <f t="shared" ca="1" si="210"/>
        <v>P.3 (2)</v>
      </c>
      <c r="U61" s="16" t="str">
        <f t="shared" ca="1" si="211"/>
        <v>P.1 (2)</v>
      </c>
      <c r="V61" s="17"/>
      <c r="W61" s="657"/>
      <c r="X61" s="24">
        <f ca="1">Horarios!C61</f>
        <v>46189</v>
      </c>
      <c r="Y61" s="25">
        <f ca="1">Horarios!C61</f>
        <v>46189</v>
      </c>
      <c r="Z61" s="26" t="str">
        <f>$Z$4</f>
        <v>J1</v>
      </c>
      <c r="AA61" s="27" t="str">
        <f ca="1">A63</f>
        <v>Arabia Saudita</v>
      </c>
      <c r="AB61" s="49" t="e" cm="1" vm="32">
        <f t="array" aca="1" ref="AB61" ca="1">Ver_flag_local</f>
        <v>#VALUE!</v>
      </c>
      <c r="AC61" s="50">
        <v>1</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Estados Unidos</v>
      </c>
      <c r="BE61" s="16">
        <f t="shared" ca="1" si="188"/>
        <v>2</v>
      </c>
      <c r="BF61" s="16">
        <f t="shared" ca="1" si="189"/>
        <v>3</v>
      </c>
      <c r="BG61" s="16">
        <f t="shared" ca="1" si="169"/>
        <v>0</v>
      </c>
      <c r="BH61" s="16">
        <f t="shared" ca="1" si="170"/>
        <v>2</v>
      </c>
      <c r="BI61" s="16">
        <f t="shared" ca="1" si="171"/>
        <v>1</v>
      </c>
      <c r="BJ61" s="16">
        <f t="shared" ca="1" si="172"/>
        <v>4</v>
      </c>
      <c r="BK61" s="16">
        <f t="shared" ca="1" si="173"/>
        <v>6</v>
      </c>
      <c r="BL61" s="16">
        <f t="shared" ca="1" si="190"/>
        <v>-2</v>
      </c>
      <c r="BM61" s="16">
        <f t="shared" ca="1" si="191"/>
        <v>10</v>
      </c>
      <c r="BN61" s="16">
        <f t="shared" ca="1" si="192"/>
        <v>10</v>
      </c>
      <c r="BO61" s="16" t="str">
        <f t="shared" si="174"/>
        <v>4D</v>
      </c>
      <c r="BP61" s="16"/>
      <c r="BQ61" s="16"/>
      <c r="BR61" s="16">
        <f t="shared" ca="1" si="175"/>
        <v>2</v>
      </c>
      <c r="BS61" s="16">
        <f t="shared" ca="1" si="193"/>
        <v>10</v>
      </c>
      <c r="BT61" s="16" t="str">
        <f t="shared" ca="1" si="194"/>
        <v>-</v>
      </c>
      <c r="BU61" s="16" t="str">
        <f t="shared" ca="1" si="176"/>
        <v>-</v>
      </c>
      <c r="BV61" s="16">
        <f t="shared" ca="1" si="177"/>
        <v>10</v>
      </c>
      <c r="BW61" s="16" t="str">
        <f t="shared" ca="1" si="178"/>
        <v>-</v>
      </c>
      <c r="BX61" s="16" t="str">
        <f t="shared" ca="1" si="179"/>
        <v>-</v>
      </c>
      <c r="BY61" s="16">
        <f t="shared" ca="1" si="180"/>
        <v>10</v>
      </c>
      <c r="BZ61" s="16" t="str">
        <f t="shared" ca="1" si="181"/>
        <v>-</v>
      </c>
      <c r="CA61" s="16" t="str">
        <f t="shared" ca="1" si="182"/>
        <v>-</v>
      </c>
      <c r="CB61" s="16">
        <f t="shared" ca="1" si="195"/>
        <v>10</v>
      </c>
      <c r="CC61" s="16"/>
      <c r="CD61" s="16">
        <f t="shared" ca="1" si="183"/>
        <v>10</v>
      </c>
      <c r="CE61" s="16" t="str">
        <f t="shared" ca="1" si="196"/>
        <v>-</v>
      </c>
      <c r="CF61" s="16">
        <f t="shared" ca="1" si="197"/>
        <v>10</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Suecia</v>
      </c>
    </row>
    <row r="62" spans="1:121" ht="16.05" customHeight="1">
      <c r="A62" s="16" t="str">
        <f ca="1">+Equipos!B31</f>
        <v>Cabo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57"/>
      <c r="X62" s="24">
        <f ca="1">Horarios!C62</f>
        <v>46194.75</v>
      </c>
      <c r="Y62" s="25">
        <f ca="1">Horarios!C62</f>
        <v>46194.75</v>
      </c>
      <c r="Z62" s="26" t="str">
        <f>$Z$6</f>
        <v>J2</v>
      </c>
      <c r="AA62" s="27" t="str">
        <f ca="1">A61</f>
        <v>España</v>
      </c>
      <c r="AB62" s="49" t="e" cm="1" vm="29">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8</v>
      </c>
      <c r="AS62" s="36">
        <f t="shared" ca="1" si="215"/>
        <v>2</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6</v>
      </c>
      <c r="BK62" s="16">
        <f t="shared" ca="1" si="173"/>
        <v>4</v>
      </c>
      <c r="BL62" s="16">
        <f t="shared" ca="1" si="190"/>
        <v>2</v>
      </c>
      <c r="BM62" s="16">
        <f t="shared" ca="1" si="191"/>
        <v>1</v>
      </c>
      <c r="BN62" s="16">
        <f t="shared" ca="1" si="192"/>
        <v>1</v>
      </c>
      <c r="BO62" s="16" t="str">
        <f t="shared" si="174"/>
        <v>4E</v>
      </c>
      <c r="BP62" s="16"/>
      <c r="BQ62" s="16"/>
      <c r="BR62" s="16">
        <f t="shared" ca="1" si="175"/>
        <v>4</v>
      </c>
      <c r="BS62" s="16">
        <f t="shared" ca="1" si="193"/>
        <v>1</v>
      </c>
      <c r="BT62" s="16" t="str">
        <f t="shared" ca="1" si="194"/>
        <v>Pos. 1 (4)</v>
      </c>
      <c r="BU62" s="16">
        <f t="shared" ca="1" si="176"/>
        <v>2</v>
      </c>
      <c r="BV62" s="16">
        <f t="shared" ca="1" si="177"/>
        <v>1</v>
      </c>
      <c r="BW62" s="16" t="str">
        <f t="shared" ca="1" si="178"/>
        <v>Pos. 1 (2)</v>
      </c>
      <c r="BX62" s="16">
        <f t="shared" ca="1" si="179"/>
        <v>6</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Escocia</v>
      </c>
    </row>
    <row r="63" spans="1:121" ht="16.05" customHeight="1">
      <c r="A63" s="16" t="str">
        <f ca="1">+Equipos!B32</f>
        <v>Arabia Saudita</v>
      </c>
      <c r="B63" s="16"/>
      <c r="C63" s="16"/>
      <c r="D63" s="16" t="str">
        <f t="shared" si="199"/>
        <v>Local</v>
      </c>
      <c r="E63" s="16" t="str">
        <f t="shared" ca="1" si="200"/>
        <v>P.1 (2)</v>
      </c>
      <c r="F63" s="16" t="str">
        <f t="shared" ca="1" si="201"/>
        <v>P.3 (2)</v>
      </c>
      <c r="G63" s="16"/>
      <c r="H63" s="16" t="str">
        <f t="shared" ca="1" si="202"/>
        <v>P.1 (2)</v>
      </c>
      <c r="I63" s="16" t="str">
        <f t="shared" ca="1" si="203"/>
        <v>P.3 (2)</v>
      </c>
      <c r="J63" s="16"/>
      <c r="K63" s="16" t="str">
        <f t="shared" ca="1" si="204"/>
        <v>P.1 (2)</v>
      </c>
      <c r="L63" s="16" t="str">
        <f t="shared" ca="1" si="205"/>
        <v>P.3 (2)</v>
      </c>
      <c r="M63" s="16"/>
      <c r="N63" s="16" t="str">
        <f t="shared" ca="1" si="206"/>
        <v>P.1 (2)</v>
      </c>
      <c r="O63" s="16" t="str">
        <f t="shared" ca="1" si="207"/>
        <v>P.3 (2)</v>
      </c>
      <c r="P63" s="16"/>
      <c r="Q63" s="16" t="str">
        <f t="shared" ca="1" si="208"/>
        <v>P.1 (2)</v>
      </c>
      <c r="R63" s="16" t="str">
        <f t="shared" ca="1" si="209"/>
        <v>P.3 (2)</v>
      </c>
      <c r="S63" s="16"/>
      <c r="T63" s="16" t="str">
        <f t="shared" ca="1" si="210"/>
        <v>P.1 (2)</v>
      </c>
      <c r="U63" s="16" t="str">
        <f t="shared" ca="1" si="211"/>
        <v>P.3 (2)</v>
      </c>
      <c r="V63" s="17"/>
      <c r="W63" s="657"/>
      <c r="X63" s="24">
        <f ca="1">Horarios!C63</f>
        <v>46195</v>
      </c>
      <c r="Y63" s="25">
        <f ca="1">Horarios!C63</f>
        <v>46195</v>
      </c>
      <c r="Z63" s="26" t="str">
        <f>$Z$6</f>
        <v>J2</v>
      </c>
      <c r="AA63" s="27" t="str">
        <f ca="1">A64</f>
        <v>Uruguay</v>
      </c>
      <c r="AB63" s="49" t="e" cm="1" vm="33">
        <f t="array" aca="1" ref="AB63" ca="1">Ver_flag_local</f>
        <v>#VALUE!</v>
      </c>
      <c r="AC63" s="50">
        <v>3</v>
      </c>
      <c r="AD63" s="51">
        <v>0</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7</v>
      </c>
      <c r="AS63" s="39">
        <f t="shared" ca="1" si="215"/>
        <v>3</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4</v>
      </c>
      <c r="BK63" s="16">
        <f t="shared" ca="1" si="173"/>
        <v>5</v>
      </c>
      <c r="BL63" s="16">
        <f t="shared" ca="1" si="190"/>
        <v>-1</v>
      </c>
      <c r="BM63" s="16">
        <f t="shared" ca="1" si="191"/>
        <v>4</v>
      </c>
      <c r="BN63" s="16">
        <f t="shared" ca="1" si="192"/>
        <v>4</v>
      </c>
      <c r="BO63" s="16" t="str">
        <f t="shared" si="174"/>
        <v>4F</v>
      </c>
      <c r="BP63" s="16"/>
      <c r="BQ63" s="16"/>
      <c r="BR63" s="16">
        <f t="shared" ca="1" si="175"/>
        <v>4</v>
      </c>
      <c r="BS63" s="16">
        <f t="shared" ca="1" si="193"/>
        <v>1</v>
      </c>
      <c r="BT63" s="16" t="str">
        <f t="shared" ca="1" si="194"/>
        <v>Pos. 1 (4)</v>
      </c>
      <c r="BU63" s="16">
        <f t="shared" ca="1" si="176"/>
        <v>-1</v>
      </c>
      <c r="BV63" s="16">
        <f t="shared" ca="1" si="177"/>
        <v>3</v>
      </c>
      <c r="BW63" s="16" t="str">
        <f t="shared" ca="1" si="178"/>
        <v>Pos. 3 (2)</v>
      </c>
      <c r="BX63" s="16">
        <f t="shared" ca="1" si="179"/>
        <v>4</v>
      </c>
      <c r="BY63" s="16">
        <f t="shared" ca="1" si="180"/>
        <v>3</v>
      </c>
      <c r="BZ63" s="16" t="str">
        <f t="shared" ca="1" si="181"/>
        <v>Pos. 3 (2)</v>
      </c>
      <c r="CA63" s="16">
        <f t="shared" ca="1" si="182"/>
        <v>1</v>
      </c>
      <c r="CB63" s="16">
        <f t="shared" ca="1" si="195"/>
        <v>4</v>
      </c>
      <c r="CC63" s="16"/>
      <c r="CD63" s="16">
        <f t="shared" ca="1" si="183"/>
        <v>4</v>
      </c>
      <c r="CE63" s="16">
        <f t="shared" ca="1" si="196"/>
        <v>3</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República Checa</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57"/>
      <c r="X64" s="24">
        <f ca="1">Horarios!C64</f>
        <v>46200.083333333336</v>
      </c>
      <c r="Y64" s="25">
        <f ca="1">Horarios!C64</f>
        <v>46200.083333333336</v>
      </c>
      <c r="Z64" s="26" t="str">
        <f>$Z$8</f>
        <v>J3</v>
      </c>
      <c r="AA64" s="27" t="str">
        <f ca="1">A62</f>
        <v>Cabo Verde</v>
      </c>
      <c r="AB64" s="49" t="e" cm="1" vm="30">
        <f t="array" aca="1" ref="AB64" ca="1">Ver_flag_local</f>
        <v>#VALUE!</v>
      </c>
      <c r="AC64" s="50">
        <v>1</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2</v>
      </c>
      <c r="AS64" s="39">
        <f t="shared" ca="1" si="215"/>
        <v>5</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Egipto</v>
      </c>
      <c r="BE64" s="16">
        <f t="shared" ca="1" si="188"/>
        <v>4</v>
      </c>
      <c r="BF64" s="16">
        <f t="shared" ca="1" si="189"/>
        <v>3</v>
      </c>
      <c r="BG64" s="16">
        <f t="shared" ca="1" si="169"/>
        <v>1</v>
      </c>
      <c r="BH64" s="16">
        <f t="shared" ca="1" si="170"/>
        <v>1</v>
      </c>
      <c r="BI64" s="16">
        <f t="shared" ca="1" si="171"/>
        <v>1</v>
      </c>
      <c r="BJ64" s="16">
        <f t="shared" ca="1" si="172"/>
        <v>4</v>
      </c>
      <c r="BK64" s="16">
        <f t="shared" ca="1" si="173"/>
        <v>5</v>
      </c>
      <c r="BL64" s="16">
        <f t="shared" ca="1" si="190"/>
        <v>-1</v>
      </c>
      <c r="BM64" s="16">
        <f t="shared" ca="1" si="191"/>
        <v>3</v>
      </c>
      <c r="BN64" s="16">
        <f t="shared" ca="1" si="192"/>
        <v>3</v>
      </c>
      <c r="BO64" s="16" t="str">
        <f t="shared" si="174"/>
        <v>4G</v>
      </c>
      <c r="BP64" s="16"/>
      <c r="BQ64" s="16"/>
      <c r="BR64" s="16">
        <f t="shared" ca="1" si="175"/>
        <v>4</v>
      </c>
      <c r="BS64" s="16">
        <f t="shared" ca="1" si="193"/>
        <v>1</v>
      </c>
      <c r="BT64" s="16" t="str">
        <f t="shared" ca="1" si="194"/>
        <v>Pos. 1 (4)</v>
      </c>
      <c r="BU64" s="16">
        <f t="shared" ca="1" si="176"/>
        <v>-1</v>
      </c>
      <c r="BV64" s="16">
        <f t="shared" ca="1" si="177"/>
        <v>3</v>
      </c>
      <c r="BW64" s="16" t="str">
        <f t="shared" ca="1" si="178"/>
        <v>Pos. 3 (2)</v>
      </c>
      <c r="BX64" s="16">
        <f t="shared" ca="1" si="179"/>
        <v>4</v>
      </c>
      <c r="BY64" s="16">
        <f t="shared" ca="1" si="180"/>
        <v>3</v>
      </c>
      <c r="BZ64" s="16" t="str">
        <f t="shared" ca="1" si="181"/>
        <v>Pos. 3 (2)</v>
      </c>
      <c r="CA64" s="16">
        <f t="shared" ca="1" si="182"/>
        <v>7</v>
      </c>
      <c r="CB64" s="16">
        <f t="shared" ca="1" si="195"/>
        <v>3</v>
      </c>
      <c r="CC64" s="16"/>
      <c r="CD64" s="16">
        <f t="shared" ca="1" si="183"/>
        <v>3</v>
      </c>
      <c r="CE64" s="16">
        <f t="shared" ca="1" si="196"/>
        <v>2</v>
      </c>
      <c r="CF64" s="16">
        <f t="shared" ca="1" si="197"/>
        <v>3</v>
      </c>
      <c r="DJ64" s="16">
        <f t="shared" ca="1" si="184"/>
        <v>7</v>
      </c>
      <c r="DK64" s="16"/>
      <c r="DL64" s="16">
        <f t="shared" ca="1" si="185"/>
        <v>2</v>
      </c>
      <c r="DM64" s="16" t="str">
        <f t="shared" ca="1" si="186"/>
        <v>7.2</v>
      </c>
      <c r="DN64" s="16" t="e" cm="1" vm="31">
        <f t="array" aca="1" ref="DN64" ca="1">OFFSET(Horarios!$P$3,DJ64-1,0,DL64,1)</f>
        <v>#VALUE!</v>
      </c>
      <c r="DO64" s="16"/>
      <c r="DP64" s="16">
        <v>7</v>
      </c>
      <c r="DQ64" s="16" t="str">
        <f t="shared" ca="1" si="198"/>
        <v>Ghana</v>
      </c>
    </row>
    <row r="65" spans="1:121" ht="16.0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58"/>
      <c r="X65" s="28">
        <f ca="1">Horarios!C65</f>
        <v>46200.083333333336</v>
      </c>
      <c r="Y65" s="29">
        <f ca="1">Horarios!C65</f>
        <v>46200.083333333336</v>
      </c>
      <c r="Z65" s="30" t="str">
        <f>$Z$8</f>
        <v>J3</v>
      </c>
      <c r="AA65" s="31" t="str">
        <f ca="1">A64</f>
        <v>Uruguay</v>
      </c>
      <c r="AB65" s="52" t="e" cm="1" vm="33">
        <f t="array" aca="1" ref="AB65" ca="1">Ver_flag_local</f>
        <v>#VALUE!</v>
      </c>
      <c r="AC65" s="53">
        <v>2</v>
      </c>
      <c r="AD65" s="54">
        <v>2</v>
      </c>
      <c r="AE65" s="596" t="e" cm="1" vm="29">
        <f t="array" aca="1" ref="AE65" ca="1">Ver_flag_visit</f>
        <v>#VALUE!</v>
      </c>
      <c r="AF65" s="33" t="str">
        <f ca="1">A61</f>
        <v>España</v>
      </c>
      <c r="AG65" s="323">
        <f t="shared" si="212"/>
        <v>1</v>
      </c>
      <c r="AH65" s="195">
        <v>66</v>
      </c>
      <c r="AI65" s="181" t="str">
        <f t="shared" si="216"/>
        <v>4H</v>
      </c>
      <c r="AJ65" s="44">
        <v>4</v>
      </c>
      <c r="AK65" s="604" t="e" cm="1" vm="30">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8</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2</v>
      </c>
      <c r="BK65" s="16">
        <f t="shared" ca="1" si="173"/>
        <v>5</v>
      </c>
      <c r="BL65" s="16">
        <f t="shared" ca="1" si="190"/>
        <v>-3</v>
      </c>
      <c r="BM65" s="16">
        <f t="shared" ca="1" si="191"/>
        <v>11</v>
      </c>
      <c r="BN65" s="16">
        <f t="shared" ca="1" si="192"/>
        <v>11</v>
      </c>
      <c r="BO65" s="16" t="str">
        <f t="shared" si="174"/>
        <v>4H</v>
      </c>
      <c r="BP65" s="16"/>
      <c r="BQ65" s="16"/>
      <c r="BR65" s="16">
        <f t="shared" ca="1" si="175"/>
        <v>1</v>
      </c>
      <c r="BS65" s="16">
        <f t="shared" ca="1" si="193"/>
        <v>11</v>
      </c>
      <c r="BT65" s="16" t="str">
        <f t="shared" ca="1" si="194"/>
        <v>Pos. 11 (2)</v>
      </c>
      <c r="BU65" s="16">
        <f t="shared" ca="1" si="176"/>
        <v>-3</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7</v>
      </c>
      <c r="DK65" s="16"/>
      <c r="DL65" s="16">
        <f t="shared" ca="1" si="185"/>
        <v>2</v>
      </c>
      <c r="DM65" s="16" t="str">
        <f t="shared" ca="1" si="186"/>
        <v>7.2</v>
      </c>
      <c r="DN65" s="16" t="e" cm="1" vm="31">
        <f t="array" aca="1" ref="DN65" ca="1">OFFSET(Horarios!$P$3,DJ65-1,0,DL65,1)</f>
        <v>#VALUE!</v>
      </c>
      <c r="DO65" s="16"/>
      <c r="DP65" s="16">
        <v>8</v>
      </c>
      <c r="DQ65" s="16" t="str">
        <f t="shared" ca="1" si="198"/>
        <v>Senegal</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3</v>
      </c>
      <c r="BK66" s="16">
        <f t="shared" ca="1" si="173"/>
        <v>5</v>
      </c>
      <c r="BL66" s="16">
        <f t="shared" ca="1" si="190"/>
        <v>-2</v>
      </c>
      <c r="BM66" s="16">
        <f t="shared" ca="1" si="191"/>
        <v>8</v>
      </c>
      <c r="BN66" s="16">
        <f t="shared" ca="1" si="192"/>
        <v>8</v>
      </c>
      <c r="BO66" s="16" t="str">
        <f t="shared" si="174"/>
        <v>4I</v>
      </c>
      <c r="BP66" s="16"/>
      <c r="BQ66" s="16"/>
      <c r="BR66" s="16">
        <f t="shared" ca="1" si="175"/>
        <v>3</v>
      </c>
      <c r="BS66" s="16">
        <f t="shared" ca="1" si="193"/>
        <v>5</v>
      </c>
      <c r="BT66" s="16" t="str">
        <f t="shared" ca="1" si="194"/>
        <v>Pos. 5 (5)</v>
      </c>
      <c r="BU66" s="16">
        <f t="shared" ca="1" si="176"/>
        <v>-2</v>
      </c>
      <c r="BV66" s="16">
        <f t="shared" ca="1" si="177"/>
        <v>7</v>
      </c>
      <c r="BW66" s="16" t="str">
        <f t="shared" ca="1" si="178"/>
        <v>Pos. 7 (2)</v>
      </c>
      <c r="BX66" s="16">
        <f t="shared" ca="1" si="179"/>
        <v>3</v>
      </c>
      <c r="BY66" s="16">
        <f t="shared" ca="1" si="180"/>
        <v>7</v>
      </c>
      <c r="BZ66" s="16" t="str">
        <f t="shared" ca="1" si="181"/>
        <v>Pos. 7 (2)</v>
      </c>
      <c r="CA66" s="16">
        <f t="shared" ca="1" si="182"/>
        <v>2</v>
      </c>
      <c r="CB66" s="16">
        <f t="shared" ca="1" si="195"/>
        <v>8</v>
      </c>
      <c r="CC66" s="16"/>
      <c r="CD66" s="16">
        <f t="shared" ca="1" si="183"/>
        <v>8</v>
      </c>
      <c r="CE66" s="16">
        <f t="shared" ca="1" si="196"/>
        <v>7</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Argelia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3</v>
      </c>
      <c r="BK67" s="16">
        <f t="shared" ca="1" si="173"/>
        <v>6</v>
      </c>
      <c r="BL67" s="16">
        <f t="shared" ca="1" si="190"/>
        <v>-3</v>
      </c>
      <c r="BM67" s="16">
        <f t="shared" ca="1" si="191"/>
        <v>9</v>
      </c>
      <c r="BN67" s="16">
        <f t="shared" ca="1" si="192"/>
        <v>9</v>
      </c>
      <c r="BO67" s="16" t="str">
        <f t="shared" si="174"/>
        <v>4J</v>
      </c>
      <c r="BP67" s="16"/>
      <c r="BQ67" s="16"/>
      <c r="BR67" s="16">
        <f t="shared" ca="1" si="175"/>
        <v>3</v>
      </c>
      <c r="BS67" s="16">
        <f t="shared" ca="1" si="193"/>
        <v>5</v>
      </c>
      <c r="BT67" s="16" t="str">
        <f t="shared" ca="1" si="194"/>
        <v>Pos. 5 (5)</v>
      </c>
      <c r="BU67" s="16">
        <f t="shared" ca="1" si="176"/>
        <v>-3</v>
      </c>
      <c r="BV67" s="16">
        <f t="shared" ca="1" si="177"/>
        <v>9</v>
      </c>
      <c r="BW67" s="16" t="str">
        <f t="shared" ca="1" si="178"/>
        <v>-</v>
      </c>
      <c r="BX67" s="16" t="str">
        <f t="shared" ca="1" si="179"/>
        <v>-</v>
      </c>
      <c r="BY67" s="16">
        <f t="shared" ca="1" si="180"/>
        <v>9</v>
      </c>
      <c r="BZ67" s="16" t="str">
        <f t="shared" ca="1" si="181"/>
        <v>-</v>
      </c>
      <c r="CA67" s="16" t="str">
        <f t="shared" ca="1" si="182"/>
        <v>-</v>
      </c>
      <c r="CB67" s="16">
        <f t="shared" ca="1" si="195"/>
        <v>9</v>
      </c>
      <c r="CC67" s="16"/>
      <c r="CD67" s="16">
        <f t="shared" ca="1" si="183"/>
        <v>9</v>
      </c>
      <c r="CE67" s="16" t="str">
        <f t="shared" ca="1" si="196"/>
        <v>-</v>
      </c>
      <c r="CF67" s="16">
        <f t="shared" ca="1" si="197"/>
        <v>9</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Estados Unidos</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448</v>
      </c>
      <c r="X68" s="24">
        <f ca="1">Horarios!C68</f>
        <v>46189.875</v>
      </c>
      <c r="Y68" s="25">
        <f ca="1">Horarios!C68</f>
        <v>46189.875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1</v>
      </c>
      <c r="BF68" s="16">
        <f t="shared" ca="1" si="189"/>
        <v>3</v>
      </c>
      <c r="BG68" s="16">
        <f t="shared" ca="1" si="169"/>
        <v>0</v>
      </c>
      <c r="BH68" s="16">
        <f t="shared" ca="1" si="170"/>
        <v>1</v>
      </c>
      <c r="BI68" s="16">
        <f t="shared" ca="1" si="171"/>
        <v>2</v>
      </c>
      <c r="BJ68" s="16">
        <f t="shared" ca="1" si="172"/>
        <v>1</v>
      </c>
      <c r="BK68" s="16">
        <f t="shared" ca="1" si="173"/>
        <v>6</v>
      </c>
      <c r="BL68" s="16">
        <f t="shared" ca="1" si="190"/>
        <v>-5</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-5</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46190</v>
      </c>
      <c r="Y69" s="25">
        <f ca="1">Horarios!C69</f>
        <v>46190</v>
      </c>
      <c r="Z69" s="26" t="str">
        <f>$Z$4</f>
        <v>J1</v>
      </c>
      <c r="AA69" s="27" t="str">
        <f ca="1">A71</f>
        <v>Irak</v>
      </c>
      <c r="AB69" s="49" t="e" cm="1" vm="36">
        <f t="array" aca="1" ref="AB69" ca="1">Ver_flag_local</f>
        <v>#VALUE!</v>
      </c>
      <c r="AC69" s="50">
        <v>1</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3</v>
      </c>
      <c r="BK69" s="16">
        <f t="shared" ca="1" si="173"/>
        <v>5</v>
      </c>
      <c r="BL69" s="16">
        <f t="shared" ca="1" si="190"/>
        <v>-2</v>
      </c>
      <c r="BM69" s="16">
        <f t="shared" ca="1" si="191"/>
        <v>7</v>
      </c>
      <c r="BN69" s="16">
        <f t="shared" ca="1" si="192"/>
        <v>7</v>
      </c>
      <c r="BO69" s="16" t="str">
        <f t="shared" si="174"/>
        <v>4L</v>
      </c>
      <c r="BP69" s="16"/>
      <c r="BQ69" s="16"/>
      <c r="BR69" s="16">
        <f t="shared" ca="1" si="175"/>
        <v>3</v>
      </c>
      <c r="BS69" s="16">
        <f t="shared" ca="1" si="193"/>
        <v>5</v>
      </c>
      <c r="BT69" s="16" t="str">
        <f t="shared" ca="1" si="194"/>
        <v>Pos. 5 (5)</v>
      </c>
      <c r="BU69" s="16">
        <f t="shared" ca="1" si="176"/>
        <v>-2</v>
      </c>
      <c r="BV69" s="16">
        <f t="shared" ca="1" si="177"/>
        <v>7</v>
      </c>
      <c r="BW69" s="16" t="str">
        <f t="shared" ca="1" si="178"/>
        <v>Pos. 7 (2)</v>
      </c>
      <c r="BX69" s="16">
        <f t="shared" ca="1" si="179"/>
        <v>3</v>
      </c>
      <c r="BY69" s="16">
        <f t="shared" ca="1" si="180"/>
        <v>7</v>
      </c>
      <c r="BZ69" s="16" t="str">
        <f t="shared" ca="1" si="181"/>
        <v>Pos. 7 (2)</v>
      </c>
      <c r="CA69" s="16">
        <f t="shared" ca="1" si="182"/>
        <v>4</v>
      </c>
      <c r="CB69" s="16">
        <f ca="1">BY69+COUNTIFS(BZ$58:BZ$69,BZ69,CA$58:CA$69,"&gt;"&amp;CA69)</f>
        <v>7</v>
      </c>
      <c r="CC69" s="16"/>
      <c r="CD69" s="16">
        <f t="shared" ca="1" si="183"/>
        <v>7</v>
      </c>
      <c r="CE69" s="16">
        <f t="shared" ca="1" si="196"/>
        <v>6</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Uzbekistán</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2</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6</v>
      </c>
      <c r="AS71" s="39">
        <f t="shared" ca="1" si="233"/>
        <v>4</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3</v>
      </c>
      <c r="AS72" s="39">
        <f t="shared" ca="1" si="233"/>
        <v>5</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e" cm="1" vm="35">
        <f t="array" aca="1" ref="AB73" ca="1">Ver_flag_local</f>
        <v>#VALUE!</v>
      </c>
      <c r="AC73" s="53">
        <v>1</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7</v>
      </c>
      <c r="AT73" s="48">
        <f t="shared" ca="1" si="233"/>
        <v>-6</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9"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9"/>
      <c r="X77" s="24">
        <f ca="1">Horarios!C77</f>
        <v>46190.25</v>
      </c>
      <c r="Y77" s="25">
        <f ca="1">Horarios!C77</f>
        <v>46190.25</v>
      </c>
      <c r="Z77" s="26" t="str">
        <f>$Z$4</f>
        <v>J1</v>
      </c>
      <c r="AA77" s="27" t="str">
        <f ca="1">A79</f>
        <v>Austria</v>
      </c>
      <c r="AB77" s="49" t="e" cm="1" vm="40">
        <f t="array" aca="1" ref="AB77" ca="1">Ver_flag_local</f>
        <v>#VALUE!</v>
      </c>
      <c r="AC77" s="50">
        <v>3</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9"/>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7</v>
      </c>
      <c r="AS79" s="39">
        <f t="shared" ca="1" si="251"/>
        <v>3</v>
      </c>
      <c r="AT79" s="43">
        <f t="shared" ca="1" si="251"/>
        <v>4</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9"/>
      <c r="X80" s="24">
        <f ca="1">Horarios!C80</f>
        <v>46201.166666666664</v>
      </c>
      <c r="Y80" s="25">
        <f ca="1">Horarios!C80</f>
        <v>46201.166666666664</v>
      </c>
      <c r="Z80" s="26" t="str">
        <f>$Z$8</f>
        <v>J3</v>
      </c>
      <c r="AA80" s="27" t="str">
        <f ca="1">A78</f>
        <v>Argelia</v>
      </c>
      <c r="AB80" s="49" t="e" cm="1" vm="39">
        <f t="array" aca="1" ref="AB80" ca="1">Ver_flag_local</f>
        <v>#VALUE!</v>
      </c>
      <c r="AC80" s="50">
        <v>1</v>
      </c>
      <c r="AD80" s="51">
        <v>3</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3</v>
      </c>
      <c r="AS80" s="39">
        <f t="shared" ca="1" si="251"/>
        <v>6</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46201.166666666664</v>
      </c>
      <c r="Y81" s="29">
        <f ca="1">Horarios!C81</f>
        <v>46201.166666666664</v>
      </c>
      <c r="Z81" s="30" t="str">
        <f>$Z$8</f>
        <v>J3</v>
      </c>
      <c r="AA81" s="31" t="str">
        <f ca="1">A80</f>
        <v>Jordania</v>
      </c>
      <c r="AB81" s="52" t="e" cm="1" vm="41">
        <f t="array" aca="1" ref="AB81" ca="1">Ver_flag_local</f>
        <v>#VALUE!</v>
      </c>
      <c r="AC81" s="53">
        <v>0</v>
      </c>
      <c r="AD81" s="54">
        <v>4</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9</v>
      </c>
      <c r="AT81" s="48">
        <f t="shared" ca="1" si="251"/>
        <v>-8</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65"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6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65"/>
      <c r="X86" s="24">
        <f ca="1">Horarios!C86</f>
        <v>46196.791666666664</v>
      </c>
      <c r="Y86" s="25">
        <f ca="1">Horarios!C86</f>
        <v>46196.791666666664</v>
      </c>
      <c r="Z86" s="26" t="str">
        <f>$Z$6</f>
        <v>J2</v>
      </c>
      <c r="AA86" s="27" t="str">
        <f ca="1">A85</f>
        <v>Portugal</v>
      </c>
      <c r="AB86" s="49" t="e" cm="1" vm="42">
        <f t="array" aca="1" ref="AB86" ca="1">Ver_flag_local</f>
        <v>#VALUE!</v>
      </c>
      <c r="AC86" s="50">
        <v>4</v>
      </c>
      <c r="AD86" s="51">
        <v>1</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9</v>
      </c>
      <c r="AS86" s="36">
        <f t="shared" ca="1" si="269"/>
        <v>3</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65"/>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6</v>
      </c>
      <c r="AS87" s="39">
        <f t="shared" ca="1" si="269"/>
        <v>2</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65"/>
      <c r="X88" s="24">
        <f ca="1">Horarios!C88</f>
        <v>46201.0625</v>
      </c>
      <c r="Y88" s="25">
        <f ca="1">Horarios!C88</f>
        <v>46201.0625</v>
      </c>
      <c r="Z88" s="26" t="str">
        <f>$Z$8</f>
        <v>J3</v>
      </c>
      <c r="AA88" s="27" t="str">
        <f ca="1">A88</f>
        <v>Colombia</v>
      </c>
      <c r="AB88" s="49" t="e" cm="1" vm="45">
        <f t="array" aca="1" ref="AB88" ca="1">Ver_flag_local</f>
        <v>#VALUE!</v>
      </c>
      <c r="AC88" s="50">
        <v>2</v>
      </c>
      <c r="AD88" s="51">
        <v>2</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1</v>
      </c>
      <c r="AN88" s="39">
        <f t="shared" ca="1" si="269"/>
        <v>3</v>
      </c>
      <c r="AO88" s="39">
        <f t="shared" ca="1" si="269"/>
        <v>0</v>
      </c>
      <c r="AP88" s="39">
        <f t="shared" ca="1" si="269"/>
        <v>1</v>
      </c>
      <c r="AQ88" s="39">
        <f t="shared" ca="1" si="269"/>
        <v>2</v>
      </c>
      <c r="AR88" s="39">
        <f t="shared" ca="1" si="269"/>
        <v>1</v>
      </c>
      <c r="AS88" s="39">
        <f t="shared" ca="1" si="269"/>
        <v>6</v>
      </c>
      <c r="AT88" s="43">
        <f t="shared" ca="1" si="269"/>
        <v>-5</v>
      </c>
      <c r="AU88" s="330">
        <f ca="1">INDEX($DL$6:$DL$53,MATCH(AI88,$DP$6:$DP$53,0))</f>
        <v>1</v>
      </c>
      <c r="AV88" s="182" t="str">
        <f ca="1">INDEX($BD$6:$BD$53,MATCH(AI88,$BM$6:$BM$53,0))</f>
        <v>Uzbekistán</v>
      </c>
      <c r="AW88" s="210"/>
      <c r="AX88" s="171"/>
      <c r="AY88" s="201" t="str">
        <f ca="1">+A87</f>
        <v>Uzbekistán</v>
      </c>
      <c r="AZ88" s="202"/>
      <c r="BA88" s="176"/>
    </row>
    <row r="89" spans="1:118" ht="16.0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66"/>
      <c r="X89" s="28">
        <f ca="1">Horarios!C89</f>
        <v>46201.0625</v>
      </c>
      <c r="Y89" s="29">
        <f ca="1">Horarios!C89</f>
        <v>46201.0625</v>
      </c>
      <c r="Z89" s="30" t="str">
        <f>$Z$8</f>
        <v>J3</v>
      </c>
      <c r="AA89" s="31" t="str">
        <f ca="1">A86</f>
        <v>RD Congo</v>
      </c>
      <c r="AB89" s="52" t="e" cm="1" vm="43">
        <f t="array" aca="1" ref="AB89" ca="1">Ver_flag_local</f>
        <v>#VALUE!</v>
      </c>
      <c r="AC89" s="53">
        <v>0</v>
      </c>
      <c r="AD89" s="54">
        <v>0</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1</v>
      </c>
      <c r="AN89" s="47">
        <f t="shared" ca="1" si="269"/>
        <v>3</v>
      </c>
      <c r="AO89" s="47">
        <f t="shared" ca="1" si="269"/>
        <v>0</v>
      </c>
      <c r="AP89" s="47">
        <f t="shared" ca="1" si="269"/>
        <v>1</v>
      </c>
      <c r="AQ89" s="47">
        <f t="shared" ca="1" si="269"/>
        <v>2</v>
      </c>
      <c r="AR89" s="47">
        <f t="shared" ca="1" si="269"/>
        <v>0</v>
      </c>
      <c r="AS89" s="47">
        <f t="shared" ca="1" si="269"/>
        <v>5</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46196.916666666664</v>
      </c>
      <c r="Y94" s="25">
        <f ca="1">Horarios!C94</f>
        <v>46196.916666666664</v>
      </c>
      <c r="Z94" s="26" t="str">
        <f>$Z$6</f>
        <v>J2</v>
      </c>
      <c r="AA94" s="27" t="str">
        <f ca="1">A93</f>
        <v>Inglaterra</v>
      </c>
      <c r="AB94" s="49" t="e" cm="1" vm="46">
        <f t="array" aca="1" ref="AB94" ca="1">Ver_flag_local</f>
        <v>#VALUE!</v>
      </c>
      <c r="AC94" s="50">
        <v>1</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Empate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46197.041666666664</v>
      </c>
      <c r="Y95" s="25">
        <f ca="1">Horarios!C95</f>
        <v>46197.041666666664</v>
      </c>
      <c r="Z95" s="26" t="str">
        <f>$Z$6</f>
        <v>J2</v>
      </c>
      <c r="AA95" s="27" t="str">
        <f ca="1">A96</f>
        <v>Panamá</v>
      </c>
      <c r="AB95" s="49" t="e" cm="1" vm="49">
        <f t="array" aca="1" ref="AB95" ca="1">Ver_flag_local</f>
        <v>#VALUE!</v>
      </c>
      <c r="AC95" s="50">
        <v>1</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5</v>
      </c>
      <c r="AS95" s="39">
        <f t="shared" ca="1" si="287"/>
        <v>4</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e" cm="1" vm="49">
        <f t="array" aca="1" ref="AB96" ca="1">Ver_flag_local</f>
        <v>#VALUE!</v>
      </c>
      <c r="AC96" s="50">
        <v>1</v>
      </c>
      <c r="AD96" s="51">
        <v>3</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3</v>
      </c>
      <c r="AS96" s="39">
        <f t="shared" ca="1" si="287"/>
        <v>5</v>
      </c>
      <c r="AT96" s="43">
        <f t="shared" ca="1" si="287"/>
        <v>-2</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46200.958333333336</v>
      </c>
      <c r="Y97" s="29">
        <f ca="1">Horarios!C97</f>
        <v>46200.958333333336</v>
      </c>
      <c r="Z97" s="30" t="str">
        <f>$Z$8</f>
        <v>J3</v>
      </c>
      <c r="AA97" s="31" t="str">
        <f ca="1">A94</f>
        <v>Croacia</v>
      </c>
      <c r="AB97" s="52" t="e" cm="1" vm="47">
        <f t="array" aca="1" ref="AB97" ca="1">Ver_flag_local</f>
        <v>#VALUE!</v>
      </c>
      <c r="AC97" s="53">
        <v>3</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3</v>
      </c>
      <c r="AS97" s="47">
        <f t="shared" ca="1" si="287"/>
        <v>6</v>
      </c>
      <c r="AT97" s="48">
        <f t="shared" ca="1" si="287"/>
        <v>-3</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493</v>
      </c>
      <c r="X101" s="24">
        <f ca="1">Horarios!C101</f>
        <v>46201.875</v>
      </c>
      <c r="Y101" s="25">
        <f ca="1">Horarios!C101</f>
        <v>46201.875</v>
      </c>
      <c r="Z101" s="280">
        <f>AH101</f>
        <v>73</v>
      </c>
      <c r="AA101" s="88" t="str">
        <f t="shared" ref="AA101:AA116" ca="1" si="292">+INDEX($M$101:$M$147,MATCH(AH101,$J$101:$J$147,0))</f>
        <v>Corea del Sur</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ABCEFGIL</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5" t="e" cm="1" vm="20">
        <f t="array" aca="1" ref="AK102" ca="1">Ver_flag_visit</f>
        <v>#VALUE!</v>
      </c>
      <c r="AL102" s="81" t="str">
        <f t="shared" ref="AL102:AL113" ca="1" si="297">+IF($H$113&gt;=48,INDEX($BD$58:$BD$69,MATCH(AI102,$BN$58:$BN$69,0)),BB58)</f>
        <v>Ecuador</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6</v>
      </c>
      <c r="AS102" s="83">
        <f t="shared" ca="1" si="298"/>
        <v>4</v>
      </c>
      <c r="AT102" s="84">
        <f t="shared" ca="1" si="298"/>
        <v>2</v>
      </c>
      <c r="AU102" s="330">
        <f t="shared" ref="AU102:AU113" ca="1" si="299">IF($H$113=144,INDEX($DL$58:$DL$69,MATCH(AI102,$DP$58:$DP$69,0)),"")</f>
        <v>1</v>
      </c>
      <c r="AV102" s="182" t="str">
        <f t="shared" ref="AV102:AV113" ca="1" si="300">INDEX($BD$58:$BD$69,MATCH(AI102,$BM$58:$BM$69,0))</f>
        <v>Ecuador</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67"/>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Escocia</v>
      </c>
      <c r="AG103" s="327">
        <f t="shared" ca="1" si="294"/>
        <v>1</v>
      </c>
      <c r="AH103" s="195">
        <v>74</v>
      </c>
      <c r="AI103" s="182">
        <v>2</v>
      </c>
      <c r="AJ103" s="42">
        <v>2</v>
      </c>
      <c r="AK103" s="602" t="e" cm="1" vm="6">
        <f t="array" aca="1" ref="AK103" ca="1">Ver_flag_visit</f>
        <v>#VALUE!</v>
      </c>
      <c r="AL103" s="85" t="str">
        <f t="shared" ca="1" si="297"/>
        <v>Bosnia y Herzegovina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5</v>
      </c>
      <c r="AS103" s="86">
        <f t="shared" ca="1" si="302"/>
        <v>3</v>
      </c>
      <c r="AT103" s="87">
        <f t="shared" ca="1" si="302"/>
        <v>2</v>
      </c>
      <c r="AU103" s="330">
        <f t="shared" ca="1" si="299"/>
        <v>1</v>
      </c>
      <c r="AV103" s="182" t="str">
        <f t="shared" ca="1" si="300"/>
        <v>Bosnia y Herzegovina</v>
      </c>
      <c r="AW103" s="215"/>
      <c r="AX103" s="170"/>
      <c r="AY103" s="276"/>
      <c r="AZ103" s="279" t="str">
        <f t="shared" ref="AZ103:AZ110" ca="1" si="303">+IF(OR($H$113&gt;=48,$AJ$99=144),BF117&amp;" - "&amp;BG117,"")</f>
        <v>1A - 3E</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6.0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c r="AC104" s="92">
        <v>1</v>
      </c>
      <c r="AD104" s="92">
        <v>2</v>
      </c>
      <c r="AE104" s="89"/>
      <c r="AF104" s="91" t="str">
        <f t="shared" ca="1" si="293"/>
        <v>Marruecos</v>
      </c>
      <c r="AG104" s="327">
        <f t="shared" ca="1" si="294"/>
        <v>1</v>
      </c>
      <c r="AH104" s="195">
        <v>75</v>
      </c>
      <c r="AI104" s="182">
        <v>3</v>
      </c>
      <c r="AJ104" s="42">
        <v>3</v>
      </c>
      <c r="AK104" s="602" t="e" cm="1" vm="26">
        <f t="array" aca="1" ref="AK104" ca="1">Ver_flag_visit</f>
        <v>#VALUE!</v>
      </c>
      <c r="AL104" s="85" t="str">
        <f t="shared" ca="1" si="297"/>
        <v>Egipto</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5</v>
      </c>
      <c r="AT104" s="87">
        <f t="shared" ca="1" si="307"/>
        <v>-1</v>
      </c>
      <c r="AU104" s="330">
        <f t="shared" ca="1" si="299"/>
        <v>2</v>
      </c>
      <c r="AV104" s="182" t="str">
        <f t="shared" ca="1" si="300"/>
        <v>Egipto</v>
      </c>
      <c r="AW104" s="215"/>
      <c r="AX104" s="170"/>
      <c r="AY104" s="276"/>
      <c r="AZ104" s="279" t="str">
        <f t="shared" ca="1" si="303"/>
        <v>1B - 3G</v>
      </c>
      <c r="BA104" s="176"/>
      <c r="BF104" t="str">
        <f t="shared" ca="1" si="304"/>
        <v>B</v>
      </c>
      <c r="BG104">
        <f t="shared" ca="1" si="305"/>
        <v>2</v>
      </c>
      <c r="BI104">
        <v>2</v>
      </c>
      <c r="BJ104" t="str">
        <f t="shared" ca="1" si="306"/>
        <v>B</v>
      </c>
    </row>
    <row r="105" spans="1:62" ht="16.0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Costa de Marfil</v>
      </c>
      <c r="AB105" s="89">
        <v>3</v>
      </c>
      <c r="AC105" s="92">
        <v>1</v>
      </c>
      <c r="AD105" s="92">
        <v>1</v>
      </c>
      <c r="AE105" s="89">
        <v>5</v>
      </c>
      <c r="AF105" s="91" t="str">
        <f t="shared" ca="1" si="293"/>
        <v>Noruega</v>
      </c>
      <c r="AG105" s="327">
        <f t="shared" ca="1" si="294"/>
        <v>1</v>
      </c>
      <c r="AH105" s="195">
        <v>78</v>
      </c>
      <c r="AI105" s="182">
        <v>4</v>
      </c>
      <c r="AJ105" s="42">
        <v>4</v>
      </c>
      <c r="AK105" s="602" t="e" cm="1" vm="23">
        <f t="array" aca="1" ref="AK105" ca="1">Ver_flag_visit</f>
        <v>#VALUE!</v>
      </c>
      <c r="AL105" s="85" t="str">
        <f t="shared" ca="1" si="297"/>
        <v>Suecia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4</v>
      </c>
      <c r="AS105" s="86">
        <f t="shared" ca="1" si="308"/>
        <v>5</v>
      </c>
      <c r="AT105" s="87">
        <f t="shared" ca="1" si="308"/>
        <v>-1</v>
      </c>
      <c r="AU105" s="330">
        <f t="shared" ca="1" si="299"/>
        <v>2</v>
      </c>
      <c r="AV105" s="182" t="str">
        <f t="shared" ca="1" si="300"/>
        <v>Suecia</v>
      </c>
      <c r="AW105" s="215"/>
      <c r="AX105" s="170"/>
      <c r="AY105" s="276"/>
      <c r="AZ105" s="279" t="str">
        <f t="shared" ca="1" si="303"/>
        <v>1D - 3B</v>
      </c>
      <c r="BA105" s="176"/>
      <c r="BF105" t="str">
        <f t="shared" ca="1" si="304"/>
        <v>G</v>
      </c>
      <c r="BG105">
        <f t="shared" ca="1" si="305"/>
        <v>6</v>
      </c>
      <c r="BI105">
        <v>3</v>
      </c>
      <c r="BJ105" t="str">
        <f t="shared" ca="1" si="306"/>
        <v>C</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e" cm="1" vm="12">
        <f t="array" aca="1" ref="AK106" ca="1">Ver_flag_visit</f>
        <v>#VALUE!</v>
      </c>
      <c r="AL106" s="85" t="str">
        <f t="shared" ca="1" si="297"/>
        <v>Escocia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4</v>
      </c>
      <c r="AS106" s="86">
        <f t="shared" ca="1" si="309"/>
        <v>5</v>
      </c>
      <c r="AT106" s="87">
        <f t="shared" ca="1" si="309"/>
        <v>-1</v>
      </c>
      <c r="AU106" s="330">
        <f t="shared" ca="1" si="299"/>
        <v>1</v>
      </c>
      <c r="AV106" s="182" t="str">
        <f t="shared" ca="1" si="300"/>
        <v>Escocia</v>
      </c>
      <c r="AW106" s="215"/>
      <c r="AX106" s="170"/>
      <c r="AY106" s="276"/>
      <c r="AZ106" s="279" t="str">
        <f t="shared" ca="1" si="303"/>
        <v>1E - 3C</v>
      </c>
      <c r="BA106" s="176"/>
      <c r="BF106" t="str">
        <f t="shared" ca="1" si="304"/>
        <v>F</v>
      </c>
      <c r="BG106">
        <f t="shared" ca="1" si="305"/>
        <v>5</v>
      </c>
      <c r="BI106">
        <v>4</v>
      </c>
      <c r="BJ106" t="str">
        <f t="shared" ca="1" si="306"/>
        <v>E</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67"/>
      <c r="X107" s="24">
        <f ca="1">Horarios!C107</f>
        <v>46204.125</v>
      </c>
      <c r="Y107" s="25">
        <f ca="1">Horarios!C107</f>
        <v>46204.125</v>
      </c>
      <c r="Z107" s="280">
        <f t="shared" si="296"/>
        <v>79</v>
      </c>
      <c r="AA107" s="88" t="str">
        <f t="shared" ca="1" si="292"/>
        <v>México</v>
      </c>
      <c r="AB107" s="89">
        <v>5</v>
      </c>
      <c r="AC107" s="92">
        <v>1</v>
      </c>
      <c r="AD107" s="92">
        <v>1</v>
      </c>
      <c r="AE107" s="89">
        <v>4</v>
      </c>
      <c r="AF107" s="91" t="str">
        <f t="shared" ca="1" si="293"/>
        <v>Ecuador</v>
      </c>
      <c r="AG107" s="327">
        <f t="shared" ca="1" si="294"/>
        <v>1</v>
      </c>
      <c r="AH107" s="195">
        <v>79</v>
      </c>
      <c r="AI107" s="182">
        <v>6</v>
      </c>
      <c r="AJ107" s="42">
        <v>6</v>
      </c>
      <c r="AK107" s="602" t="e" cm="1" vm="4">
        <f t="array" aca="1" ref="AK107" ca="1">Ver_flag_visit</f>
        <v>#VALUE!</v>
      </c>
      <c r="AL107" s="85" t="str">
        <f t="shared" ca="1" si="297"/>
        <v>República Checa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4</v>
      </c>
      <c r="AT107" s="87">
        <f t="shared" ca="1" si="310"/>
        <v>-1</v>
      </c>
      <c r="AU107" s="330">
        <f t="shared" ca="1" si="299"/>
        <v>1</v>
      </c>
      <c r="AV107" s="182" t="str">
        <f ca="1">INDEX($BD$58:$BD$69,MATCH(AI107,$BM$58:$BM$69,0))</f>
        <v>República Checa</v>
      </c>
      <c r="AW107" s="215"/>
      <c r="AX107" s="170"/>
      <c r="AY107" s="276"/>
      <c r="AZ107" s="279" t="str">
        <f t="shared" ca="1" si="303"/>
        <v>1G - 3A</v>
      </c>
      <c r="BA107" s="176"/>
      <c r="BF107" t="str">
        <f t="shared" ca="1" si="304"/>
        <v>C</v>
      </c>
      <c r="BG107">
        <f t="shared" ca="1" si="305"/>
        <v>3</v>
      </c>
      <c r="BI107">
        <v>5</v>
      </c>
      <c r="BJ107" t="str">
        <f t="shared" ca="1" si="306"/>
        <v>F</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v>5</v>
      </c>
      <c r="AC108" s="92">
        <v>2</v>
      </c>
      <c r="AD108" s="92">
        <v>2</v>
      </c>
      <c r="AE108" s="89">
        <v>4</v>
      </c>
      <c r="AF108" s="91" t="str">
        <f t="shared" ca="1" si="293"/>
        <v>Senegal</v>
      </c>
      <c r="AG108" s="327">
        <f t="shared" ca="1" si="294"/>
        <v>1</v>
      </c>
      <c r="AH108" s="195">
        <v>80</v>
      </c>
      <c r="AI108" s="182">
        <v>7</v>
      </c>
      <c r="AJ108" s="42">
        <v>7</v>
      </c>
      <c r="AK108" s="602" t="e" cm="1" vm="48">
        <f t="array" aca="1" ref="AK108" ca="1">Ver_flag_visit</f>
        <v>#VALUE!</v>
      </c>
      <c r="AL108" s="85" t="str">
        <f t="shared" ca="1" si="297"/>
        <v>Ghana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5</v>
      </c>
      <c r="AT108" s="87">
        <f t="shared" ca="1" si="311"/>
        <v>-2</v>
      </c>
      <c r="AU108" s="330">
        <f t="shared" ca="1" si="299"/>
        <v>2</v>
      </c>
      <c r="AV108" s="182" t="str">
        <f t="shared" ca="1" si="300"/>
        <v>Ghana</v>
      </c>
      <c r="AW108" s="215"/>
      <c r="AX108" s="170"/>
      <c r="AY108" s="276"/>
      <c r="AZ108" s="279" t="str">
        <f t="shared" ca="1" si="303"/>
        <v>1I - 3F</v>
      </c>
      <c r="BA108" s="176"/>
      <c r="BF108" t="str">
        <f t="shared" ca="1" si="304"/>
        <v>A</v>
      </c>
      <c r="BG108">
        <f t="shared" ca="1" si="305"/>
        <v>1</v>
      </c>
      <c r="BI108">
        <v>6</v>
      </c>
      <c r="BJ108" t="str">
        <f t="shared" ca="1" si="306"/>
        <v>G</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e" cm="1" vm="35">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3</v>
      </c>
      <c r="AS109" s="86">
        <f t="shared" ca="1" si="312"/>
        <v>5</v>
      </c>
      <c r="AT109" s="87">
        <f t="shared" ca="1" si="312"/>
        <v>-2</v>
      </c>
      <c r="AU109" s="330">
        <f t="shared" ca="1" si="299"/>
        <v>2</v>
      </c>
      <c r="AV109" s="182" t="str">
        <f t="shared" ca="1" si="300"/>
        <v>Senegal</v>
      </c>
      <c r="AW109" s="215"/>
      <c r="AX109" s="170"/>
      <c r="AY109" s="276"/>
      <c r="AZ109" s="279" t="str">
        <f t="shared" ca="1" si="303"/>
        <v>1K - 3L</v>
      </c>
      <c r="BA109" s="176"/>
      <c r="BF109" t="str">
        <f t="shared" ca="1" si="304"/>
        <v>L</v>
      </c>
      <c r="BG109">
        <f t="shared" ca="1" si="305"/>
        <v>8</v>
      </c>
      <c r="BI109">
        <v>7</v>
      </c>
      <c r="BJ109" t="str">
        <f t="shared" ca="1" si="306"/>
        <v>I</v>
      </c>
    </row>
    <row r="110" spans="1:62" ht="16.05"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Turquía</v>
      </c>
      <c r="AB110" s="89"/>
      <c r="AC110" s="92">
        <v>3</v>
      </c>
      <c r="AD110" s="92">
        <v>0</v>
      </c>
      <c r="AE110" s="89"/>
      <c r="AF110" s="91" t="str">
        <f t="shared" ca="1" si="293"/>
        <v>Bosnia y Herzegovina</v>
      </c>
      <c r="AG110" s="327">
        <f t="shared" ca="1" si="294"/>
        <v>1</v>
      </c>
      <c r="AH110" s="195">
        <v>81</v>
      </c>
      <c r="AI110" s="182">
        <v>9</v>
      </c>
      <c r="AJ110" s="42">
        <v>9</v>
      </c>
      <c r="AK110" s="602" t="e" cm="1" vm="39">
        <f t="array" aca="1" ref="AK110" ca="1">Ver_flag_visit</f>
        <v>#VALUE!</v>
      </c>
      <c r="AL110" s="85" t="str">
        <f t="shared" ca="1" si="297"/>
        <v>Argelia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6</v>
      </c>
      <c r="AT110" s="87">
        <f t="shared" ca="1" si="313"/>
        <v>-3</v>
      </c>
      <c r="AU110" s="330">
        <f t="shared" ca="1" si="299"/>
        <v>1</v>
      </c>
      <c r="AV110" s="182" t="str">
        <f t="shared" ca="1" si="300"/>
        <v>Argelia</v>
      </c>
      <c r="AW110" s="215"/>
      <c r="AX110" s="170"/>
      <c r="AY110" s="276"/>
      <c r="AZ110" s="279" t="str">
        <f t="shared" ca="1" si="303"/>
        <v>1L - 3I</v>
      </c>
      <c r="BA110" s="176"/>
      <c r="BF110" t="str">
        <f t="shared" ca="1" si="304"/>
        <v>I</v>
      </c>
      <c r="BG110">
        <f t="shared" ca="1" si="305"/>
        <v>7</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4</v>
      </c>
      <c r="AD111" s="92">
        <v>1</v>
      </c>
      <c r="AE111" s="89"/>
      <c r="AF111" s="91" t="str">
        <f t="shared" ca="1" si="293"/>
        <v>Austria</v>
      </c>
      <c r="AG111" s="327">
        <f t="shared" ca="1" si="294"/>
        <v>1</v>
      </c>
      <c r="AH111" s="195">
        <v>84</v>
      </c>
      <c r="AI111" s="182">
        <v>10</v>
      </c>
      <c r="AJ111" s="42">
        <v>10</v>
      </c>
      <c r="AK111" s="602" t="e" cm="1" vm="13">
        <f t="array" aca="1" ref="AK111" ca="1">Ver_flag_visit</f>
        <v>#VALUE!</v>
      </c>
      <c r="AL111" s="85" t="str">
        <f t="shared" ca="1" si="297"/>
        <v>Estados Unidos</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4</v>
      </c>
      <c r="AS111" s="86">
        <f t="shared" ca="1" si="314"/>
        <v>6</v>
      </c>
      <c r="AT111" s="87">
        <f t="shared" ca="1" si="314"/>
        <v>-2</v>
      </c>
      <c r="AU111" s="330">
        <f t="shared" ca="1" si="299"/>
        <v>1</v>
      </c>
      <c r="AV111" s="182" t="str">
        <f t="shared" ca="1" si="300"/>
        <v>Estados Unidos</v>
      </c>
      <c r="AW111" s="215"/>
      <c r="AX111" s="170"/>
      <c r="AY111" s="275"/>
      <c r="AZ111" s="275"/>
      <c r="BA111" s="176"/>
      <c r="BI111" t="s">
        <v>87</v>
      </c>
    </row>
    <row r="112" spans="1:62" ht="16.0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Colombia</v>
      </c>
      <c r="AB112" s="89">
        <v>5</v>
      </c>
      <c r="AC112" s="92">
        <v>2</v>
      </c>
      <c r="AD112" s="92">
        <v>2</v>
      </c>
      <c r="AE112" s="89">
        <v>3</v>
      </c>
      <c r="AF112" s="91" t="str">
        <f t="shared" ca="1" si="293"/>
        <v>Croacia</v>
      </c>
      <c r="AG112" s="327">
        <f t="shared" ca="1" si="294"/>
        <v>1</v>
      </c>
      <c r="AH112" s="195">
        <v>83</v>
      </c>
      <c r="AI112" s="182">
        <v>11</v>
      </c>
      <c r="AJ112" s="42">
        <v>11</v>
      </c>
      <c r="AK112" s="602" t="e" cm="1" vm="32">
        <f t="array" aca="1" ref="AK112" ca="1">Ver_flag_visit</f>
        <v>#VALUE!</v>
      </c>
      <c r="AL112" s="85" t="str">
        <f t="shared" ca="1" si="297"/>
        <v>Arabia Saudita</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1</v>
      </c>
      <c r="AV112" s="182" t="str">
        <f t="shared" ca="1" si="300"/>
        <v>Arabia Saudita</v>
      </c>
      <c r="AW112" s="215"/>
      <c r="AX112" s="170"/>
      <c r="AY112" s="275"/>
      <c r="AZ112" s="275"/>
      <c r="BA112" s="176"/>
      <c r="BI112" t="str">
        <f ca="1">IFERROR(CONCATENATE(BJ103,BJ104,BJ105,BJ106,BJ107,BJ108,BJ109,BJ110),"¿A/B/C/D/E/F/G/H/I/J/K/L?")</f>
        <v>ABCEFGIL</v>
      </c>
    </row>
    <row r="113" spans="1:59" ht="16.0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Egipto</v>
      </c>
      <c r="AG113" s="327">
        <f t="shared" ca="1" si="294"/>
        <v>1</v>
      </c>
      <c r="AH113" s="195">
        <v>85</v>
      </c>
      <c r="AI113" s="182">
        <v>12</v>
      </c>
      <c r="AJ113" s="44">
        <v>12</v>
      </c>
      <c r="AK113" s="604" t="e" cm="1" vm="44">
        <f t="array" aca="1" ref="AK113" ca="1">Ver_flag_visit</f>
        <v>#VALUE!</v>
      </c>
      <c r="AL113" s="45" t="str">
        <f t="shared" ca="1" si="297"/>
        <v>Uzbekistán</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6</v>
      </c>
      <c r="AT113" s="48">
        <f t="shared" ca="1" si="316"/>
        <v>-5</v>
      </c>
      <c r="AU113" s="330">
        <f t="shared" ca="1" si="299"/>
        <v>1</v>
      </c>
      <c r="AV113" s="182" t="str">
        <f t="shared" ca="1" si="300"/>
        <v>Uzbekistán</v>
      </c>
      <c r="AW113" s="215"/>
      <c r="AX113" s="170"/>
      <c r="AY113" s="154"/>
      <c r="AZ113" s="155"/>
      <c r="BA113" s="176"/>
    </row>
    <row r="114" spans="1:59" ht="16.05" customHeight="1">
      <c r="A114" s="16" t="s">
        <v>687</v>
      </c>
      <c r="B114" s="16" t="s">
        <v>682</v>
      </c>
      <c r="C114" s="16"/>
      <c r="D114" s="16" t="str">
        <f ca="1">IF(AND(OR(AC114="",AD114="")),"W"&amp;AH114,IF(AC114&gt;AD114,AA114,IF(AC114&lt;AD114,AF114,IF(AND(AC114=AD114,AB114=AE114),"W"&amp;AH114,IF(AND(AC114=AD114,OR(AB114="",AE114="")),"W"&amp;AH114,IF(AND(AC114=AD114,AB114&gt;AE114),AA114,AF114))))))</f>
        <v>Paraguay</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Paraguay</v>
      </c>
      <c r="AB114" s="89"/>
      <c r="AC114" s="92">
        <v>3</v>
      </c>
      <c r="AD114" s="92">
        <v>0</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ca="1">IF(AND(OR(AC115="",AD115="")),"W"&amp;AH115,IF(AC115&gt;AD115,AA115,IF(AC115&lt;AD115,AF115,IF(AND(AC115=AD115,AB115=AE115),"W"&amp;AH115,IF(AND(AC115=AD115,OR(AB115="",AE115="")),"W"&amp;AH115,IF(AND(AC115=AD115,AB115&gt;AE115),AA115,AF115))))))</f>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v>5</v>
      </c>
      <c r="AC115" s="92">
        <v>1</v>
      </c>
      <c r="AD115" s="92">
        <v>1</v>
      </c>
      <c r="AE115" s="89">
        <v>3</v>
      </c>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Portugal</v>
      </c>
      <c r="AB116" s="94"/>
      <c r="AC116" s="277">
        <v>2</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9"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Alemania</v>
      </c>
      <c r="AB121" s="89"/>
      <c r="AC121" s="97">
        <v>0</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Noruega</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Brasil</v>
      </c>
      <c r="AB122" s="89">
        <v>4</v>
      </c>
      <c r="AC122" s="97">
        <v>2</v>
      </c>
      <c r="AD122" s="97">
        <v>2</v>
      </c>
      <c r="AE122" s="89">
        <v>5</v>
      </c>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05" customHeight="1">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México</v>
      </c>
      <c r="AB123" s="89"/>
      <c r="AC123" s="97">
        <v>2</v>
      </c>
      <c r="AD123" s="97">
        <v>0</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Colombia</v>
      </c>
      <c r="AB124" s="98"/>
      <c r="AC124" s="97">
        <v>2</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6.0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Turquía</v>
      </c>
      <c r="N125" s="16" t="str">
        <f t="shared" ca="1" si="318"/>
        <v>Bélgica</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Turquía</v>
      </c>
      <c r="AB125" s="89"/>
      <c r="AC125" s="99">
        <v>1</v>
      </c>
      <c r="AD125" s="99">
        <v>3</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Paraguay</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2</v>
      </c>
      <c r="AD126" s="99">
        <v>1</v>
      </c>
      <c r="AE126" s="89"/>
      <c r="AF126" s="91" t="str">
        <f t="shared" ca="1" si="321"/>
        <v>Paraguay</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Suiza</v>
      </c>
      <c r="AB127" s="94">
        <v>3</v>
      </c>
      <c r="AC127" s="100">
        <v>2</v>
      </c>
      <c r="AD127" s="100">
        <v>2</v>
      </c>
      <c r="AE127" s="94">
        <v>5</v>
      </c>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71"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México</v>
      </c>
      <c r="E133" s="16">
        <v>91</v>
      </c>
      <c r="F133" s="16">
        <v>92</v>
      </c>
      <c r="G133" s="16"/>
      <c r="H133" s="16"/>
      <c r="I133" s="16"/>
      <c r="J133" s="16">
        <v>99</v>
      </c>
      <c r="K133" s="16">
        <v>46214.75</v>
      </c>
      <c r="L133" s="16" t="s">
        <v>722</v>
      </c>
      <c r="M133" s="16" t="str">
        <f t="shared" ca="1" si="323"/>
        <v>Noruega</v>
      </c>
      <c r="N133" s="16" t="str">
        <f t="shared" ca="1" si="323"/>
        <v>México</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Noruega</v>
      </c>
      <c r="AB133" s="89"/>
      <c r="AC133" s="99">
        <v>1</v>
      </c>
      <c r="AD133" s="99">
        <v>3</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2</v>
      </c>
      <c r="AD134" s="100">
        <v>3</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73"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México</v>
      </c>
      <c r="I139" s="16"/>
      <c r="J139" s="16">
        <v>102</v>
      </c>
      <c r="K139" s="16">
        <v>46218.875</v>
      </c>
      <c r="L139" s="16" t="s">
        <v>725</v>
      </c>
      <c r="M139" s="16" t="str">
        <f ca="1">+INDEX($D$101:$D$147,MATCH(E139,$AH$101:$AH$147,0))</f>
        <v>México</v>
      </c>
      <c r="N139" s="16" t="str">
        <f ca="1">+INDEX($D$101:$D$147,MATCH(F139,$AH$101:$AH$147,0))</f>
        <v>Portugal</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México</v>
      </c>
      <c r="AB139" s="140"/>
      <c r="AC139" s="100">
        <v>1</v>
      </c>
      <c r="AD139" s="100">
        <v>2</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México</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v>4</v>
      </c>
      <c r="AC143" s="105">
        <v>1</v>
      </c>
      <c r="AD143" s="105">
        <v>1</v>
      </c>
      <c r="AE143" s="216">
        <v>5</v>
      </c>
      <c r="AF143" s="106" t="str">
        <f ca="1">IF(AND(OR(AC139="",AD139="")),"L102",IF(AC139&gt;AD139,AF139,IF(AC139&lt;AD139,AA139,IF(AND(AC139=AD139,AB139=AE139),"L102",IF(AND(AC139=AD139,OR(AB139="",AE139="")),"L102",IF(AND(AC139=AD139,AB139&gt;AE139),AF139,AA139))))))</f>
        <v>México</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v>3</v>
      </c>
      <c r="AC147" s="105">
        <v>3</v>
      </c>
      <c r="AD147" s="105">
        <v>3</v>
      </c>
      <c r="AE147" s="216">
        <v>5</v>
      </c>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Portugal</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España</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México</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1520</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1521</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1517</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19.95" customHeight="1" thickBot="1">
      <c r="A2" s="290"/>
      <c r="B2" s="291"/>
      <c r="C2" s="291"/>
      <c r="D2" s="368"/>
      <c r="E2" s="698"/>
      <c r="F2" s="698"/>
      <c r="G2" s="698"/>
      <c r="H2" s="698"/>
      <c r="I2" s="698"/>
      <c r="J2" s="698"/>
      <c r="K2" s="698"/>
      <c r="L2" s="698"/>
      <c r="M2" s="698"/>
      <c r="N2" s="698"/>
    </row>
    <row r="3" spans="1:14" ht="34.950000000000003"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05" customHeight="1">
      <c r="A5" s="353"/>
      <c r="B5" s="354" t="str">
        <f>Idiomas!D125</f>
        <v>FASE DE GRUPOS</v>
      </c>
      <c r="C5" s="346" t="str">
        <f>Home!C10</f>
        <v>Memo Cervantes</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1|3-1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2|0-3</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X|2-2</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2|0-3</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1|5-0</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X|2-2</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1|1-0</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1|3-1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1|2-0</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2|1-3</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1|3-0</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1|2-1</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1|2-0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1|2-1</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X|1-1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1|3-1</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2|1-3</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1|5-0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X|1-1</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X|2-2</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1|3-1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1|2-1</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2|1-2</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1|3-0</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1|2-1</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1|4-1</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1|1-0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X|1-1</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2|0-2</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2|0-2</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1|3-0</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1|4-0</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1|3-1</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2|0-4</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X|2-2</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2|2-4</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2|1-3</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X|2-2</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1|1-0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2|1-3</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X|2-2</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X|0-0</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2|1-3</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1|3-1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0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Corea del Sur</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República Checa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Turquía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Paraguay</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Estados Unidos</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Australia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Irán</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Egipto</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Uzbekistán</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RD Congo</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0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Corea del Sur</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Turquía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Paraguay</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Escocia</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Senegal</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República Checa</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Egipto</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Irán</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19.95"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2.9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Sur-Canadá·2|1-2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706"/>
      <c r="E165" s="692"/>
      <c r="F165" s="692"/>
      <c r="G165" s="692"/>
      <c r="H165" s="692"/>
      <c r="I165" s="352"/>
      <c r="J165" s="370"/>
      <c r="K165" s="370"/>
      <c r="L165" s="370"/>
      <c r="M165" s="386"/>
      <c r="N165" s="377"/>
    </row>
    <row r="166" spans="1:14" ht="15" customHeight="1">
      <c r="A166" s="703"/>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Alemania-Escocia·1|2-0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Bajos-Marruecos·2|1-2</v>
      </c>
      <c r="D167" s="706"/>
      <c r="E167" s="692"/>
      <c r="F167" s="692"/>
      <c r="G167" s="692"/>
      <c r="H167" s="692"/>
      <c r="I167" s="352"/>
      <c r="J167" s="370"/>
      <c r="K167" s="370"/>
      <c r="L167" s="370"/>
      <c r="M167" s="386"/>
      <c r="N167" s="377"/>
    </row>
    <row r="168" spans="1:14" ht="15" customHeight="1">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Marfil-Noruega·X|1-1</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706"/>
      <c r="E169" s="370"/>
      <c r="F169" s="370"/>
      <c r="G169" s="370"/>
      <c r="H169" s="370"/>
      <c r="I169" s="352"/>
      <c r="J169" s="370"/>
      <c r="K169" s="370"/>
      <c r="L169" s="370"/>
      <c r="M169" s="386"/>
      <c r="N169" s="377"/>
    </row>
    <row r="170" spans="1:14" ht="15" customHeight="1">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México-Ecuador·X|1-1</v>
      </c>
      <c r="D170" s="706"/>
      <c r="E170" s="370"/>
      <c r="F170" s="370"/>
      <c r="G170" s="370"/>
      <c r="H170" s="370"/>
      <c r="I170" s="352"/>
      <c r="J170" s="370"/>
      <c r="K170" s="370"/>
      <c r="L170" s="370"/>
      <c r="M170" s="386"/>
      <c r="N170" s="377"/>
    </row>
    <row r="171" spans="1:14" ht="15" customHeight="1">
      <c r="A171" s="703"/>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Inglaterra-Senegal·X|2-2</v>
      </c>
      <c r="D171" s="706"/>
      <c r="E171" s="370"/>
      <c r="F171" s="370"/>
      <c r="G171" s="370"/>
      <c r="H171" s="370"/>
      <c r="I171" s="352"/>
      <c r="J171" s="370"/>
      <c r="K171" s="370"/>
      <c r="L171" s="370"/>
      <c r="M171" s="386"/>
      <c r="N171" s="377"/>
    </row>
    <row r="172" spans="1:14" ht="15" customHeight="1">
      <c r="A172" s="703"/>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706"/>
      <c r="E172" s="370"/>
      <c r="F172" s="370"/>
      <c r="G172" s="370"/>
      <c r="H172" s="370"/>
      <c r="I172" s="352"/>
      <c r="J172" s="370"/>
      <c r="K172" s="370"/>
      <c r="L172" s="370"/>
      <c r="M172" s="386"/>
      <c r="N172" s="377"/>
    </row>
    <row r="173" spans="1:14" ht="15" customHeight="1">
      <c r="A173" s="703"/>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Herzegovina·1|3-0</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España-Austria·1|4-1</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Colombia-Croacia·X|2-2</v>
      </c>
      <c r="D175" s="706"/>
      <c r="E175" s="370"/>
      <c r="F175" s="370"/>
      <c r="G175" s="370"/>
      <c r="H175" s="370"/>
      <c r="I175" s="352"/>
      <c r="J175" s="370"/>
      <c r="K175" s="370"/>
      <c r="L175" s="370"/>
      <c r="M175" s="386"/>
      <c r="N175" s="377"/>
    </row>
    <row r="176" spans="1:14" ht="15" customHeight="1">
      <c r="A176" s="703"/>
      <c r="B176" s="360" t="str">
        <f ca="1">CONCATENATE(WORLDCUP!AA113,"-",WORLDCUP!AF113)</f>
        <v>Suiza-Egipto</v>
      </c>
      <c r="C176" s="349" t="str">
        <f ca="1">CONCATENATE(WORLDCUP!AA113,"-",WORLDCUP!AF113,"·",IF(WORLDCUP!AC113&gt;WORLDCUP!AD113,1,IF(WORLDCUP!AC113&lt;WORLDCUP!AD113,2,IF(AND(WORLDCUP!AC113=WORLDCUP!AD113,WORLDCUP!AC113&lt;&gt;"",WORLDCUP!AD113&lt;&gt;""),"X",0))),"|",WORLDCUP!AC113,"-",WORLDCUP!AD113)</f>
        <v>Suiza-Egipto·1|2-0</v>
      </c>
      <c r="D176" s="706"/>
      <c r="E176" s="370"/>
      <c r="F176" s="370"/>
      <c r="G176" s="370"/>
      <c r="H176" s="370"/>
      <c r="I176" s="352"/>
      <c r="J176" s="370"/>
      <c r="K176" s="370"/>
      <c r="L176" s="370"/>
      <c r="M176" s="386"/>
      <c r="N176" s="377"/>
    </row>
    <row r="177" spans="1:14" ht="15" customHeight="1">
      <c r="A177" s="703"/>
      <c r="B177" s="360" t="str">
        <f ca="1">CONCATENATE(WORLDCUP!AA114,"-",WORLDCUP!AF114)</f>
        <v>Paraguay-Irán</v>
      </c>
      <c r="C177" s="349" t="str">
        <f ca="1">CONCATENATE(WORLDCUP!AA114,"-",WORLDCUP!AF114,"·",IF(WORLDCUP!AC114&gt;WORLDCUP!AD114,1,IF(WORLDCUP!AC114&lt;WORLDCUP!AD114,2,IF(AND(WORLDCUP!AC114=WORLDCUP!AD114,WORLDCUP!AC114&lt;&gt;"",WORLDCUP!AD114&lt;&gt;""),"X",0))),"|",WORLDCUP!AC114,"-",WORLDCUP!AD114)</f>
        <v>Paraguay-Irán·1|3-0</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Argentina-Uruguay·X|1-1</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Portugal-Ghana·1|2-1</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0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Turquía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Paraguay</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Canadá-Marruecos·2|0-2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Alemania-Francia·2|0-3</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Brasil-Noruega·X|2-2</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México-Inglaterra·1|2-0</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Colombia-España·2|2-3</v>
      </c>
      <c r="D204" s="686"/>
      <c r="E204" s="352"/>
      <c r="F204" s="352"/>
      <c r="G204" s="352"/>
      <c r="H204" s="352"/>
      <c r="I204" s="352"/>
      <c r="J204" s="370"/>
      <c r="K204" s="370"/>
      <c r="L204" s="370"/>
      <c r="M204" s="386"/>
      <c r="N204" s="377"/>
    </row>
    <row r="205" spans="1:14" ht="15" customHeight="1">
      <c r="A205" s="703"/>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Turquía-Bélgica·2|1-3</v>
      </c>
      <c r="D205" s="686"/>
      <c r="E205" s="352"/>
      <c r="F205" s="352"/>
      <c r="G205" s="352"/>
      <c r="H205" s="352"/>
      <c r="I205" s="352"/>
      <c r="J205" s="370"/>
      <c r="K205" s="370"/>
      <c r="L205" s="370"/>
      <c r="M205" s="386"/>
      <c r="N205" s="377"/>
    </row>
    <row r="206" spans="1:14" ht="15" customHeight="1">
      <c r="A206" s="703"/>
      <c r="B206" s="361" t="str">
        <f ca="1">CONCATENATE(WORLDCUP!AA126,"-",WORLDCUP!AF126)</f>
        <v>Argentina-Paraguay</v>
      </c>
      <c r="C206" s="351" t="str">
        <f ca="1">CONCATENATE(WORLDCUP!AA126,"-",WORLDCUP!AF126,"·",IF(WORLDCUP!AC126&gt;WORLDCUP!AD126,1,IF(WORLDCUP!AC126&lt;WORLDCUP!AD126,2,IF(AND(WORLDCUP!AC126=WORLDCUP!AD126,WORLDCUP!AC126&lt;&gt;"",WORLDCUP!AD126&lt;&gt;""),"X",0))),"|",WORLDCUP!AC126,"-",WORLDCUP!AD126)</f>
        <v>Argentina-Paraguay·1|2-1</v>
      </c>
      <c r="D206" s="686"/>
      <c r="E206" s="352"/>
      <c r="F206" s="352"/>
      <c r="G206" s="352"/>
      <c r="H206" s="352"/>
      <c r="I206" s="352"/>
      <c r="J206" s="370"/>
      <c r="K206" s="370"/>
      <c r="L206" s="370"/>
      <c r="M206" s="386"/>
      <c r="N206" s="377"/>
    </row>
    <row r="207" spans="1:14" ht="15" customHeight="1">
      <c r="A207" s="703"/>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Suiza-Portugal·X|2-2</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0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Noruega</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México</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España-Bélgica·1|2-0</v>
      </c>
      <c r="D221" s="706"/>
      <c r="E221" s="685"/>
      <c r="F221" s="685"/>
      <c r="G221" s="685"/>
      <c r="H221" s="685"/>
      <c r="I221" s="352"/>
      <c r="J221" s="370"/>
      <c r="K221" s="370"/>
      <c r="L221" s="370"/>
      <c r="M221" s="386"/>
      <c r="N221" s="377"/>
    </row>
    <row r="222" spans="1:14" ht="15" customHeight="1">
      <c r="A222" s="703"/>
      <c r="B222" s="360" t="str">
        <f ca="1">CONCATENATE(WORLDCUP!AA133,"-",WORLDCUP!AF133)</f>
        <v>Noruega-México</v>
      </c>
      <c r="C222" s="349" t="str">
        <f ca="1">CONCATENATE(WORLDCUP!AA133,"-",WORLDCUP!AF133,"·",IF(WORLDCUP!AC133&gt;WORLDCUP!AD133,1,IF(WORLDCUP!AC133&lt;WORLDCUP!AD133,2,IF(AND(WORLDCUP!AC133=WORLDCUP!AD133,WORLDCUP!AC133&lt;&gt;"",WORLDCUP!AD133&lt;&gt;""),"X",0))),"|",WORLDCUP!AC133,"-",WORLDCUP!AD133)</f>
        <v>Noruega-México·2|1-3</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Argentina-Portugal·2|2-3</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México</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México-Portugal</v>
      </c>
      <c r="C233" s="351" t="str">
        <f ca="1">CONCATENATE(WORLDCUP!AA139,"-",WORLDCUP!AF139,"·",IF(WORLDCUP!AC139&gt;WORLDCUP!AD139,1,IF(WORLDCUP!AC139&lt;WORLDCUP!AD139,2,IF(AND(WORLDCUP!AC139=WORLDCUP!AD139,WORLDCUP!AC139&lt;&gt;"",WORLDCUP!AD139&lt;&gt;""),"X",0))),"|",WORLDCUP!AC139,"-",WORLDCUP!AD139)</f>
        <v>México-Portugal·2|1-2</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México</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0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Portugal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Francia-México</v>
      </c>
      <c r="C244" s="349" t="str">
        <f ca="1">CONCATENATE(WORLDCUP!AA143,"-",WORLDCUP!AF143,"·",IF(WORLDCUP!AC143&gt;WORLDCUP!AD143,1,IF(WORLDCUP!AC143&lt;WORLDCUP!AD143,2,IF(AND(WORLDCUP!AC143=WORLDCUP!AD143,WORLDCUP!AC143&lt;&gt;"",WORLDCUP!AD143&lt;&gt;""),"X",0))),"|",WORLDCUP!AC143,"-",WORLDCUP!AD143)</f>
        <v>Francia-México·X|1-1</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España-Portugal·X|3-3</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0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Portugal</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España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México</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 Mbappe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H. Kane</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Raul Gimenez</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Bruno Fernandez</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Raul Gimenez</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3</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4</v>
      </c>
      <c r="K4" s="451" t="str">
        <f ca="1">+INDEX(WORLDCUP!$AR$6:$AR$97,MATCH(L4,WORLDCUP!$AI$6:$AI$97,0))&amp;"-"&amp;INDEX(WORLDCUP!$AS$6:$AS$97,MATCH(L4,WORLDCUP!$AI$6:$AI$97,0))</f>
        <v>6-2</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5</v>
      </c>
      <c r="W4" s="451" t="str">
        <f ca="1">+INDEX(WORLDCUP!$AR$6:$AR$97,MATCH(X4,WORLDCUP!$AI$6:$AI$97,0))&amp;"-"&amp;INDEX(WORLDCUP!$AS$6:$AS$97,MATCH(X4,WORLDCUP!$AI$6:$AI$97,0))</f>
        <v>8-3</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6</v>
      </c>
      <c r="J5" s="39">
        <f ca="1">+INDEX(WORLDCUP!$AT$6:$AT$97,MATCH(L5,WORLDCUP!$AI$6:$AI$97,0))</f>
        <v>2</v>
      </c>
      <c r="K5" s="43" t="str">
        <f ca="1">+INDEX(WORLDCUP!$AR$6:$AR$97,MATCH(L5,WORLDCUP!$AI$6:$AI$97,0))&amp;"-"&amp;INDEX(WORLDCUP!$AS$6:$AS$97,MATCH(L5,WORLDCUP!$AI$6:$AI$97,0))</f>
        <v>5-3</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Irá</v>
      </c>
      <c r="U5" s="38">
        <f ca="1">+INDEX(WORLDCUP!$AM$6:$AM$97,MATCH(X5,WORLDCUP!$AI$6:$AI$97,0))</f>
        <v>4</v>
      </c>
      <c r="V5" s="39">
        <f ca="1">+INDEX(WORLDCUP!$AT$6:$AT$97,MATCH(X5,WORLDCUP!$AI$6:$AI$97,0))</f>
        <v>1</v>
      </c>
      <c r="W5" s="43" t="str">
        <f ca="1">+INDEX(WORLDCUP!$AR$6:$AR$97,MATCH(X5,WORLDCUP!$AI$6:$AI$97,0))&amp;"-"&amp;INDEX(WORLDCUP!$AS$6:$AS$97,MATCH(X5,WORLDCUP!$AI$6:$AI$97,0))</f>
        <v>4-3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3</v>
      </c>
      <c r="J6" s="39">
        <f ca="1">+INDEX(WORLDCUP!$AT$6:$AT$97,MATCH(L6,WORLDCUP!$AI$6:$AI$97,0))</f>
        <v>-1</v>
      </c>
      <c r="K6" s="43" t="str">
        <f ca="1">+INDEX(WORLDCUP!$AR$6:$AR$97,MATCH(L6,WORLDCUP!$AI$6:$AI$97,0))&amp;"-"&amp;INDEX(WORLDCUP!$AS$6:$AS$97,MATCH(L6,WORLDCUP!$AI$6:$AI$97,0))</f>
        <v>3-4</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Egi</v>
      </c>
      <c r="U6" s="38">
        <f ca="1">+INDEX(WORLDCUP!$AM$6:$AM$97,MATCH(X6,WORLDCUP!$AI$6:$AI$97,0))</f>
        <v>4</v>
      </c>
      <c r="V6" s="39">
        <f ca="1">+INDEX(WORLDCUP!$AT$6:$AT$97,MATCH(X6,WORLDCUP!$AI$6:$AI$97,0))</f>
        <v>-1</v>
      </c>
      <c r="W6" s="43" t="str">
        <f ca="1">+INDEX(WORLDCUP!$AR$6:$AR$97,MATCH(X6,WORLDCUP!$AI$6:$AI$97,0))&amp;"-"&amp;INDEX(WORLDCUP!$AS$6:$AS$97,MATCH(X6,WORLDCUP!$AI$6:$AI$97,0))</f>
        <v>4-5</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1-6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-5</v>
      </c>
      <c r="W7" s="479" t="str">
        <f ca="1">+INDEX(WORLDCUP!$AR$6:$AR$97,MATCH(X7,WORLDCUP!$AI$6:$AI$97,0))&amp;"-"&amp;INDEX(WORLDCUP!$AS$6:$AS$97,MATCH(X7,WORLDCUP!$AI$6:$AI$97,0))</f>
        <v>2-7</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6</v>
      </c>
      <c r="W12" s="451" t="str">
        <f ca="1">+INDEX(WORLDCUP!$AR$6:$AR$97,MATCH(X12,WORLDCUP!$AI$6:$AI$97,0))&amp;"-"&amp;INDEX(WORLDCUP!$AS$6:$AS$97,MATCH(X12,WORLDCUP!$AI$6:$AI$97,0))</f>
        <v>8-2</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1</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2</v>
      </c>
      <c r="K13" s="43" t="str">
        <f ca="1">+INDEX(WORLDCUP!$AR$6:$AR$97,MATCH(L13,WORLDCUP!$AI$6:$AI$97,0))&amp;"-"&amp;INDEX(WORLDCUP!$AS$6:$AS$97,MATCH(L13,WORLDCUP!$AI$6:$AI$97,0))</f>
        <v>6-4</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4</v>
      </c>
      <c r="W13" s="43" t="str">
        <f ca="1">+INDEX(WORLDCUP!$AR$6:$AR$97,MATCH(X13,WORLDCUP!$AI$6:$AI$97,0))&amp;"-"&amp;INDEX(WORLDCUP!$AS$6:$AS$97,MATCH(X13,WORLDCUP!$AI$6:$AI$97,0))</f>
        <v>7-3</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2</v>
      </c>
      <c r="K14" s="43" t="str">
        <f ca="1">+INDEX(WORLDCUP!$AR$6:$AR$97,MATCH(L14,WORLDCUP!$AI$6:$AI$97,0))&amp;"-"&amp;INDEX(WORLDCUP!$AS$6:$AS$97,MATCH(L14,WORLDCUP!$AI$6:$AI$97,0))</f>
        <v>5-3</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2-5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-8</v>
      </c>
      <c r="K15" s="479" t="str">
        <f ca="1">+INDEX(WORLDCUP!$AR$6:$AR$97,MATCH(L15,WORLDCUP!$AI$6:$AI$97,0))&amp;"-"&amp;INDEX(WORLDCUP!$AS$6:$AS$97,MATCH(L15,WORLDCUP!$AI$6:$AI$97,0))</f>
        <v>1-9</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-7</v>
      </c>
      <c r="W15" s="479" t="str">
        <f ca="1">+INDEX(WORLDCUP!$AR$6:$AR$97,MATCH(X15,WORLDCUP!$AI$6:$AI$97,0))&amp;"-"&amp;INDEX(WORLDCUP!$AS$6:$AS$97,MATCH(X15,WORLDCUP!$AI$6:$AI$97,0))</f>
        <v>1-8</v>
      </c>
      <c r="X15" s="181" t="s">
        <v>683</v>
      </c>
      <c r="Y15" s="181">
        <v>83</v>
      </c>
      <c r="Z15" s="425" t="s">
        <v>691</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( 5 )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2</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( 3 )</v>
      </c>
      <c r="AD16" s="455">
        <v>93</v>
      </c>
      <c r="AE16" s="456" t="str">
        <f ca="1">+MID(INDEX(WORLDCUP!$AA$101:$AA$147,MATCH(AD16,WORLDCUP!$Z$101:$Z$147,0)),1,3)</f>
        <v>Col</v>
      </c>
      <c r="AF16" s="457">
        <f>+IF(ISBLANK(INDEX(WORLDCUP!$AC$101:$AC$147,MATCH(AD16,WORLDCUP!$Z$101:$Z$147,0))),"",INDEX(WORLDCUP!$AC$101:$AC$147,MATCH(AD16,WORLDCUP!$Z$101:$Z$147,0)))</f>
        <v>2</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4</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9</v>
      </c>
      <c r="K20" s="451" t="str">
        <f ca="1">+INDEX(WORLDCUP!$AR$6:$AR$97,MATCH(L20,WORLDCUP!$AI$6:$AI$97,0))&amp;"-"&amp;INDEX(WORLDCUP!$AS$6:$AS$97,MATCH(L20,WORLDCUP!$AI$6:$AI$97,0))</f>
        <v>10-1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8-2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4</v>
      </c>
      <c r="K21" s="43" t="str">
        <f ca="1">+INDEX(WORLDCUP!$AR$6:$AR$97,MATCH(L21,WORLDCUP!$AI$6:$AI$97,0))&amp;"-"&amp;INDEX(WORLDCUP!$AS$6:$AS$97,MATCH(L21,WORLDCUP!$AI$6:$AI$97,0))</f>
        <v>8-4</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6-4</v>
      </c>
      <c r="X21" s="181" t="s">
        <v>685</v>
      </c>
      <c r="Y21" s="181">
        <v>81</v>
      </c>
      <c r="Z21" s="425" t="s">
        <v>669</v>
      </c>
      <c r="AA21" s="426" t="str">
        <f ca="1">+MID(INDEX(WORLDCUP!$AA$101:$AA$147,MATCH(Y21,WORLDCUP!$Z$101:$Z$147,0)),1,3)</f>
        <v>Tur</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Portugal</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4-5</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3-5</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-12</v>
      </c>
      <c r="K23" s="479" t="str">
        <f ca="1">+INDEX(WORLDCUP!$AR$6:$AR$97,MATCH(L23,WORLDCUP!$AI$6:$AI$97,0))&amp;"-"&amp;INDEX(WORLDCUP!$AS$6:$AS$97,MATCH(L23,WORLDCUP!$AI$6:$AI$97,0))</f>
        <v>0-12</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-6</v>
      </c>
      <c r="W23" s="479" t="str">
        <f ca="1">+INDEX(WORLDCUP!$AR$6:$AR$97,MATCH(X23,WORLDCUP!$AI$6:$AI$97,0))&amp;"-"&amp;INDEX(WORLDCUP!$AS$6:$AS$97,MATCH(X23,WORLDCUP!$AI$6:$AI$97,0))</f>
        <v>1-7</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3</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España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1</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3</v>
      </c>
      <c r="AW25" s="539" t="str">
        <f>+IF(ISBLANK(INDEX(WORLDCUP!$AB$101:$AB$147,MATCH(AT25,WORLDCUP!$Z$101:$Z$147,0))),"","( "&amp;INDEX(WORLDCUP!$AB$101:$AB$147,MATCH(AT25,WORLDCUP!$Z$101:$Z$147,0))&amp;" )")</f>
        <v>( 3 )</v>
      </c>
      <c r="AX25" s="540"/>
      <c r="AY25" s="527"/>
      <c r="AZ25" s="528" t="str">
        <f ca="1">+WORLDCUP!AA152</f>
        <v>México</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3</v>
      </c>
      <c r="AW26" s="433" t="str">
        <f>+IF(ISBLANK(INDEX(WORLDCUP!$AE$101:$AE$147,MATCH(AT26,WORLDCUP!$Z$101:$Z$147,0))),"","( "&amp;INDEX(WORLDCUP!$AE$101:$AE$147,MATCH(AT26,WORLDCUP!$Z$101:$Z$147,0))&amp;" )")</f>
        <v>( 5 )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1</v>
      </c>
      <c r="BM26" s="463">
        <f ca="1">COUNTIF(Pool!$C$252,Fixture!BG26)</f>
        <v>0</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2</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7</v>
      </c>
      <c r="J28" s="450">
        <f ca="1">+INDEX(WORLDCUP!$AT$6:$AT$97,MATCH(L28,WORLDCUP!$AI$6:$AI$97,0))</f>
        <v>5</v>
      </c>
      <c r="K28" s="451" t="str">
        <f ca="1">+INDEX(WORLDCUP!$AR$6:$AR$97,MATCH(L28,WORLDCUP!$AI$6:$AI$97,0))&amp;"-"&amp;INDEX(WORLDCUP!$AS$6:$AS$97,MATCH(L28,WORLDCUP!$AI$6:$AI$97,0))</f>
        <v>8-3</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( 4 )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Par</v>
      </c>
      <c r="I29" s="38">
        <f ca="1">+INDEX(WORLDCUP!$AM$6:$AM$97,MATCH(L29,WORLDCUP!$AI$6:$AI$97,0))</f>
        <v>5</v>
      </c>
      <c r="J29" s="39">
        <f ca="1">+INDEX(WORLDCUP!$AT$6:$AT$97,MATCH(L29,WORLDCUP!$AI$6:$AI$97,0))</f>
        <v>2</v>
      </c>
      <c r="K29" s="43" t="str">
        <f ca="1">+INDEX(WORLDCUP!$AR$6:$AR$97,MATCH(L29,WORLDCUP!$AI$6:$AI$97,0))&amp;"-"&amp;INDEX(WORLDCUP!$AS$6:$AS$97,MATCH(L29,WORLDCUP!$AI$6:$AI$97,0))</f>
        <v>6-4</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4</v>
      </c>
      <c r="W29" s="43" t="str">
        <f ca="1">+INDEX(WORLDCUP!$AR$6:$AR$97,MATCH(X29,WORLDCUP!$AI$6:$AI$97,0))&amp;"-"&amp;INDEX(WORLDCUP!$AS$6:$AS$97,MATCH(X29,WORLDCUP!$AI$6:$AI$97,0))</f>
        <v>7-3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2</v>
      </c>
      <c r="AG29" s="515" t="str">
        <f>+IF(ISBLANK(INDEX(WORLDCUP!$AE$101:$AE$147,MATCH(AD29,WORLDCUP!$Z$101:$Z$147,0))),"","( "&amp;INDEX(WORLDCUP!$AE$101:$AE$147,MATCH(AD29,WORLDCUP!$Z$101:$Z$147,0))&amp;" )")</f>
        <v>( 5 )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2</v>
      </c>
      <c r="F30" s="446" t="str">
        <f ca="1">+MID(INDEX(WORLDCUP!$AF$4:$AF$147,MATCH(A30,WORLDCUP!$AH$4:$AH$147,0)),1,3)</f>
        <v>Par</v>
      </c>
      <c r="G30" s="467">
        <v>3</v>
      </c>
      <c r="H30" s="468" t="str">
        <f ca="1">+MID(INDEX(WORLDCUP!$AL$6:$AL$97,MATCH(L30,WORLDCUP!$AI$6:$AI$97,0)),1,3)</f>
        <v>Est</v>
      </c>
      <c r="I30" s="38">
        <f ca="1">+INDEX(WORLDCUP!$AM$6:$AM$97,MATCH(L30,WORLDCUP!$AI$6:$AI$97,0))</f>
        <v>2</v>
      </c>
      <c r="J30" s="39">
        <f ca="1">+INDEX(WORLDCUP!$AT$6:$AT$97,MATCH(L30,WORLDCUP!$AI$6:$AI$97,0))</f>
        <v>-2</v>
      </c>
      <c r="K30" s="43" t="str">
        <f ca="1">+INDEX(WORLDCUP!$AR$6:$AR$97,MATCH(L30,WORLDCUP!$AI$6:$AI$97,0))&amp;"-"&amp;INDEX(WORLDCUP!$AS$6:$AS$97,MATCH(L30,WORLDCUP!$AI$6:$AI$97,0))</f>
        <v>4-6</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3</v>
      </c>
      <c r="V30" s="39">
        <f ca="1">+INDEX(WORLDCUP!$AT$6:$AT$97,MATCH(X30,WORLDCUP!$AI$6:$AI$97,0))</f>
        <v>-3</v>
      </c>
      <c r="W30" s="43" t="str">
        <f ca="1">+INDEX(WORLDCUP!$AR$6:$AR$97,MATCH(X30,WORLDCUP!$AI$6:$AI$97,0))&amp;"-"&amp;INDEX(WORLDCUP!$AS$6:$AS$97,MATCH(X30,WORLDCUP!$AI$6:$AI$97,0))</f>
        <v>3-6</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( 3 )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-5</v>
      </c>
      <c r="K31" s="479" t="str">
        <f ca="1">+INDEX(WORLDCUP!$AR$6:$AR$97,MATCH(L31,WORLDCUP!$AI$6:$AI$97,0))&amp;"-"&amp;INDEX(WORLDCUP!$AS$6:$AS$97,MATCH(L31,WORLDCUP!$AI$6:$AI$97,0))</f>
        <v>1-6</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-8</v>
      </c>
      <c r="W31" s="479" t="str">
        <f ca="1">+INDEX(WORLDCUP!$AR$6:$AR$97,MATCH(X31,WORLDCUP!$AI$6:$AI$97,0))&amp;"-"&amp;INDEX(WORLDCUP!$AS$6:$AS$97,MATCH(X31,WORLDCUP!$AI$6:$AI$97,0))</f>
        <v>1-9</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( 5 )</v>
      </c>
      <c r="AD31" s="181"/>
      <c r="AE31" s="474"/>
      <c r="AF31" s="474"/>
      <c r="AG31" s="475"/>
      <c r="AH31" s="500">
        <v>99</v>
      </c>
      <c r="AI31" s="483" t="str">
        <f ca="1">+MID(INDEX(WORLDCUP!$AA$101:$AA$147,MATCH(AH31,WORLDCUP!$Z$101:$Z$147,0)),1,3)</f>
        <v>Nor</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( 4 )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3</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Méxi</v>
      </c>
      <c r="AR32" s="548">
        <f>+IF(ISBLANK(INDEX(WORLDCUP!$AD$101:$AD$147,MATCH(AP32,WORLDCUP!$Z$101:$Z$147,0))),"",INDEX(WORLDCUP!$AD$101:$AD$147,MATCH(AP32,WORLDCUP!$Z$101:$Z$147,0)))</f>
        <v>1</v>
      </c>
      <c r="AS32" s="460" t="str">
        <f>+IF(ISBLANK(INDEX(WORLDCUP!$AE$101:$AE$147,MATCH(AP32,WORLDCUP!$Z$101:$Z$147,0))),"","( "&amp;INDEX(WORLDCUP!$AE$101:$AE$147,MATCH(AP32,WORLDCUP!$Z$101:$Z$147,0))&amp;" )")</f>
        <v>( 5 )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( 5 )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( 4 )</v>
      </c>
      <c r="AD34" s="455">
        <v>92</v>
      </c>
      <c r="AE34" s="456" t="str">
        <f ca="1">+MID(INDEX(WORLDCUP!$AA$101:$AA$147,MATCH(AD34,WORLDCUP!$Z$101:$Z$147,0)),1,3)</f>
        <v>Méx</v>
      </c>
      <c r="AF34" s="457">
        <f>+IF(ISBLANK(INDEX(WORLDCUP!$AC$101:$AC$147,MATCH(AD34,WORLDCUP!$Z$101:$Z$147,0))),"",INDEX(WORLDCUP!$AC$101:$AC$147,MATCH(AD34,WORLDCUP!$Z$101:$Z$147,0)))</f>
        <v>2</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5</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1</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7</v>
      </c>
      <c r="K36" s="451" t="str">
        <f ca="1">+INDEX(WORLDCUP!$AR$6:$AR$97,MATCH(L36,WORLDCUP!$AI$6:$AI$97,0))&amp;"-"&amp;INDEX(WORLDCUP!$AS$6:$AS$97,MATCH(L36,WORLDCUP!$AI$6:$AI$97,0))</f>
        <v>9-2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6</v>
      </c>
      <c r="W36" s="451" t="str">
        <f ca="1">+INDEX(WORLDCUP!$AR$6:$AR$97,MATCH(X36,WORLDCUP!$AI$6:$AI$97,0))&amp;"-"&amp;INDEX(WORLDCUP!$AS$6:$AS$97,MATCH(X36,WORLDCUP!$AI$6:$AI$97,0))</f>
        <v>9-3</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( 5 )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0</v>
      </c>
      <c r="BK36" s="465">
        <f ca="1">COUNTIF(Pool!$C$210:$C$217,Fixture!BG36)-BL36-BM36-BN36-BO36</f>
        <v>1</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4</v>
      </c>
      <c r="J37" s="39">
        <f ca="1">+INDEX(WORLDCUP!$AT$6:$AT$97,MATCH(L37,WORLDCUP!$AI$6:$AI$97,0))</f>
        <v>3</v>
      </c>
      <c r="K37" s="43" t="str">
        <f ca="1">+INDEX(WORLDCUP!$AR$6:$AR$97,MATCH(L37,WORLDCUP!$AI$6:$AI$97,0))&amp;"-"&amp;INDEX(WORLDCUP!$AS$6:$AS$97,MATCH(L37,WORLDCUP!$AI$6:$AI$97,0))</f>
        <v>7-4</v>
      </c>
      <c r="L37" s="181" t="s">
        <v>673</v>
      </c>
      <c r="M37" s="181">
        <v>47</v>
      </c>
      <c r="N37" s="561"/>
      <c r="O37" s="444" t="str">
        <f ca="1">+MID(INDEX(WORLDCUP!$AA$4:$AA$147,MATCH(M37,WORLDCUP!$AH$4:$AH$147,0)),1,3)</f>
        <v>Por</v>
      </c>
      <c r="P37" s="445">
        <f>IF(ISBLANK(INDEX(WORLDCUP!$AC$4:$AC$147,MATCH(M37,WORLDCUP!$AH$4:$AH$147,0))),"",INDEX(WORLDCUP!$AC$4:$AC$147,MATCH(M37,WORLDCUP!$AH$4:$AH$147,0)))</f>
        <v>4</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4</v>
      </c>
      <c r="W37" s="43" t="str">
        <f ca="1">+INDEX(WORLDCUP!$AR$6:$AR$97,MATCH(X37,WORLDCUP!$AI$6:$AI$97,0))&amp;"-"&amp;INDEX(WORLDCUP!$AS$6:$AS$97,MATCH(X37,WORLDCUP!$AI$6:$AI$97,0))</f>
        <v>6-2</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2</v>
      </c>
      <c r="AC37" s="507" t="str">
        <f>+IF(ISBLANK(INDEX(WORLDCUP!$AE$101:$AE$147,MATCH(Y37,WORLDCUP!$Z$101:$Z$147,0))),"","( "&amp;INDEX(WORLDCUP!$AE$101:$AE$147,MATCH(Y37,WORLDCUP!$Z$101:$Z$147,0))&amp;" )")</f>
        <v>( 4 )</v>
      </c>
      <c r="AD37" s="181"/>
      <c r="AE37" s="429"/>
      <c r="AF37" s="429"/>
      <c r="AG37" s="429"/>
      <c r="AH37" s="181"/>
      <c r="AI37" s="459"/>
      <c r="AJ37" s="459"/>
      <c r="AK37" s="499"/>
      <c r="AL37" s="500">
        <v>102</v>
      </c>
      <c r="AM37" s="508" t="str">
        <f ca="1">+MID(INDEX(WORLDCUP!$AA$101:$AA$147,MATCH(AL37,WORLDCUP!$Z$101:$Z$147,0)),1,3)</f>
        <v>Méx</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2</v>
      </c>
      <c r="K38" s="43" t="str">
        <f ca="1">+INDEX(WORLDCUP!$AR$6:$AR$97,MATCH(L38,WORLDCUP!$AI$6:$AI$97,0))&amp;"-"&amp;INDEX(WORLDCUP!$AS$6:$AS$97,MATCH(L38,WORLDCUP!$AI$6:$AI$97,0))</f>
        <v>6-4</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1</v>
      </c>
      <c r="V38" s="39">
        <f ca="1">+INDEX(WORLDCUP!$AT$6:$AT$97,MATCH(X38,WORLDCUP!$AI$6:$AI$97,0))</f>
        <v>-5</v>
      </c>
      <c r="W38" s="43" t="str">
        <f ca="1">+INDEX(WORLDCUP!$AR$6:$AR$97,MATCH(X38,WORLDCUP!$AI$6:$AI$97,0))&amp;"-"&amp;INDEX(WORLDCUP!$AS$6:$AS$97,MATCH(X38,WORLDCUP!$AI$6:$AI$97,0))</f>
        <v>1-6</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4</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-12</v>
      </c>
      <c r="K39" s="479" t="str">
        <f ca="1">+INDEX(WORLDCUP!$AR$6:$AR$97,MATCH(L39,WORLDCUP!$AI$6:$AI$97,0))&amp;"-"&amp;INDEX(WORLDCUP!$AS$6:$AS$97,MATCH(L39,WORLDCUP!$AI$6:$AI$97,0))</f>
        <v>0-12</v>
      </c>
      <c r="L39" s="181" t="s">
        <v>674</v>
      </c>
      <c r="M39" s="181">
        <v>71</v>
      </c>
      <c r="N39" s="561"/>
      <c r="O39" s="444" t="str">
        <f ca="1">+MID(INDEX(WORLDCUP!$AA$4:$AA$147,MATCH(M39,WORLDCUP!$AH$4:$AH$147,0)),1,3)</f>
        <v>Col</v>
      </c>
      <c r="P39" s="445">
        <f>IF(ISBLANK(INDEX(WORLDCUP!$AC$4:$AC$147,MATCH(M39,WORLDCUP!$AH$4:$AH$147,0))),"",INDEX(WORLDCUP!$AC$4:$AC$147,MATCH(M39,WORLDCUP!$AH$4:$AH$147,0)))</f>
        <v>2</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 xml:space="preserve">RD </v>
      </c>
      <c r="U39" s="477">
        <f ca="1">+INDEX(WORLDCUP!$AM$6:$AM$97,MATCH(X39,WORLDCUP!$AI$6:$AI$97,0))</f>
        <v>1</v>
      </c>
      <c r="V39" s="478">
        <f ca="1">+INDEX(WORLDCUP!$AT$6:$AT$97,MATCH(X39,WORLDCUP!$AI$6:$AI$97,0))</f>
        <v>-5</v>
      </c>
      <c r="W39" s="479" t="str">
        <f ca="1">+INDEX(WORLDCUP!$AR$6:$AR$97,MATCH(X39,WORLDCUP!$AI$6:$AI$97,0))&amp;"-"&amp;INDEX(WORLDCUP!$AS$6:$AS$97,MATCH(X39,WORLDCUP!$AI$6:$AI$97,0))</f>
        <v>0-5</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( 5 )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( 3 )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0</v>
      </c>
      <c r="BJ40" s="464">
        <f ca="1">COUNTIF(Pool!$C$182:$C$197,Fixture!BG40)-BK40-BL40-BM40-BN40-BO40</f>
        <v>1</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Par</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1</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Par</v>
      </c>
      <c r="AB42" s="472">
        <f>+IF(ISBLANK(INDEX(WORLDCUP!$AC$101:$AC$147,MATCH(Y42,WORLDCUP!$Z$101:$Z$147,0))),"",INDEX(WORLDCUP!$AC$101:$AC$147,MATCH(Y42,WORLDCUP!$Z$101:$Z$147,0)))</f>
        <v>3</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Irá</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9-5</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3</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3</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1</v>
      </c>
      <c r="K45" s="43" t="str">
        <f ca="1">+INDEX(WORLDCUP!$AR$6:$AR$97,MATCH(L45,WORLDCUP!$AI$6:$AI$97,0))&amp;"-"&amp;INDEX(WORLDCUP!$AS$6:$AS$97,MATCH(L45,WORLDCUP!$AI$6:$AI$97,0))</f>
        <v>6-5</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4</v>
      </c>
      <c r="V45" s="39">
        <f ca="1">+INDEX(WORLDCUP!$AT$6:$AT$97,MATCH(X45,WORLDCUP!$AI$6:$AI$97,0))</f>
        <v>1</v>
      </c>
      <c r="W45" s="43" t="str">
        <f ca="1">+INDEX(WORLDCUP!$AR$6:$AR$97,MATCH(X45,WORLDCUP!$AI$6:$AI$97,0))&amp;"-"&amp;INDEX(WORLDCUP!$AS$6:$AS$97,MATCH(X45,WORLDCUP!$AI$6:$AI$97,0))</f>
        <v>5-4</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-1</v>
      </c>
      <c r="K46" s="43" t="str">
        <f ca="1">+INDEX(WORLDCUP!$AR$6:$AR$97,MATCH(L46,WORLDCUP!$AI$6:$AI$97,0))&amp;"-"&amp;INDEX(WORLDCUP!$AS$6:$AS$97,MATCH(L46,WORLDCUP!$AI$6:$AI$97,0))</f>
        <v>4-5</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-2</v>
      </c>
      <c r="W46" s="43" t="str">
        <f ca="1">+INDEX(WORLDCUP!$AR$6:$AR$97,MATCH(X46,WORLDCUP!$AI$6:$AI$97,0))&amp;"-"&amp;INDEX(WORLDCUP!$AS$6:$AS$97,MATCH(X46,WORLDCUP!$AI$6:$AI$97,0))</f>
        <v>3-5</v>
      </c>
      <c r="X46" s="181" t="s">
        <v>453</v>
      </c>
      <c r="Y46" s="181">
        <v>85</v>
      </c>
      <c r="Z46" s="425" t="s">
        <v>739</v>
      </c>
      <c r="AA46" s="426" t="str">
        <f ca="1">+MID(INDEX(WORLDCUP!$AF$101:$AF$147,MATCH(Y46,WORLDCUP!$Z$101:$Z$147,0)),1,IF(WORLDCUP!$H$113&lt;144,6,3))</f>
        <v>Egi</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2</v>
      </c>
      <c r="AG46" s="501" t="str">
        <f>+IF(ISBLANK(INDEX(WORLDCUP!$AB$101:$AB$147,MATCH(AD46,WORLDCUP!$Z$101:$Z$147,0))),"","( "&amp;INDEX(WORLDCUP!$AB$101:$AB$147,MATCH(AD46,WORLDCUP!$Z$101:$Z$147,0))&amp;" )")</f>
        <v>( 3 )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-4</v>
      </c>
      <c r="K47" s="479" t="str">
        <f ca="1">+INDEX(WORLDCUP!$AR$6:$AR$97,MATCH(L47,WORLDCUP!$AI$6:$AI$97,0))&amp;"-"&amp;INDEX(WORLDCUP!$AS$6:$AS$97,MATCH(L47,WORLDCUP!$AI$6:$AI$97,0))</f>
        <v>3-7</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-3</v>
      </c>
      <c r="W47" s="479" t="str">
        <f ca="1">+INDEX(WORLDCUP!$AR$6:$AR$97,MATCH(X47,WORLDCUP!$AI$6:$AI$97,0))&amp;"-"&amp;INDEX(WORLDCUP!$AS$6:$AS$97,MATCH(X47,WORLDCUP!$AI$6:$AI$97,0))</f>
        <v>3-6</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( 5 )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2</v>
      </c>
      <c r="E48" s="488">
        <f>IF(ISBLANK(INDEX(WORLDCUP!$AD$4:$AD$147,MATCH(A48,WORLDCUP!$AH$4:$AH$147,0))),"",INDEX(WORLDCUP!$AD$4:$AD$147,MATCH(A48,WORLDCUP!$AH$4:$AH$147,0)))</f>
        <v>4</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3</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Arabia Saudita</v>
      </c>
      <c r="H2" s="9" t="str">
        <f ca="1">+WORLDCUP!BD64</f>
        <v>Egipto</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Egipto</v>
      </c>
      <c r="E3" s="9" t="str">
        <f ca="1">+WORLDCUP!BD66</f>
        <v>Senegal</v>
      </c>
      <c r="F3" s="9" t="str">
        <f ca="1">+WORLDCUP!BD61</f>
        <v>Estados Unidos</v>
      </c>
      <c r="G3" s="9" t="str">
        <f ca="1">+WORLDCUP!BD67</f>
        <v>Argelia</v>
      </c>
      <c r="H3" s="9" t="str">
        <f ca="1">+WORLDCUP!BD63</f>
        <v>Suecia</v>
      </c>
      <c r="I3" s="9" t="str">
        <f ca="1">+WORLDCUP!BD69</f>
        <v>Ghana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Estados Unidos</v>
      </c>
      <c r="G4" s="9" t="str">
        <f ca="1">+WORLDCUP!BD65</f>
        <v>Arabia Saudita</v>
      </c>
      <c r="H4" s="9" t="str">
        <f ca="1">+WORLDCUP!BD64</f>
        <v>Egipto</v>
      </c>
      <c r="I4" s="9" t="str">
        <f ca="1">+WORLDCUP!BD69</f>
        <v>Ghana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Estados Unidos</v>
      </c>
      <c r="G5" s="9" t="str">
        <f ca="1">+WORLDCUP!BD65</f>
        <v>Arabia Saudita</v>
      </c>
      <c r="H5" s="9" t="str">
        <f ca="1">+WORLDCUP!BD63</f>
        <v>Suecia</v>
      </c>
      <c r="I5" s="9" t="str">
        <f ca="1">+WORLDCUP!BD69</f>
        <v>Ghana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Egipto</v>
      </c>
      <c r="E6" s="9" t="str">
        <f ca="1">+WORLDCUP!BD66</f>
        <v>Senegal</v>
      </c>
      <c r="F6" s="9" t="str">
        <f ca="1">+WORLDCUP!BD61</f>
        <v>Estados Unidos</v>
      </c>
      <c r="G6" s="9" t="str">
        <f ca="1">+WORLDCUP!BD67</f>
        <v>Argelia</v>
      </c>
      <c r="H6" s="9" t="str">
        <f ca="1">+WORLDCUP!BD63</f>
        <v>Suecia</v>
      </c>
      <c r="I6" s="9" t="str">
        <f ca="1">+WORLDCUP!BD69</f>
        <v>Ghana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Egipto</v>
      </c>
      <c r="E7" s="9" t="str">
        <f ca="1">+WORLDCUP!BD67</f>
        <v>Argelia</v>
      </c>
      <c r="F7" s="9" t="str">
        <f ca="1">+WORLDCUP!BD61</f>
        <v>Estados Unidos</v>
      </c>
      <c r="G7" s="9" t="str">
        <f ca="1">+WORLDCUP!BD65</f>
        <v>Arabia Saudita</v>
      </c>
      <c r="H7" s="9" t="str">
        <f ca="1">+WORLDCUP!BD63</f>
        <v>Suecia</v>
      </c>
      <c r="I7" s="9" t="str">
        <f ca="1">+WORLDCUP!BD69</f>
        <v>Ghana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Egipto</v>
      </c>
      <c r="E8" s="9" t="str">
        <f ca="1">+WORLDCUP!BD66</f>
        <v>Senegal</v>
      </c>
      <c r="F8" s="9" t="str">
        <f ca="1">+WORLDCUP!BD61</f>
        <v>Estados Unidos</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Egipto</v>
      </c>
      <c r="E9" s="9" t="str">
        <f ca="1">+WORLDCUP!BD67</f>
        <v>Argelia</v>
      </c>
      <c r="F9" s="9" t="str">
        <f ca="1">+WORLDCUP!BD61</f>
        <v>Estados Unidos</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Egipto</v>
      </c>
      <c r="E10" s="9" t="str">
        <f ca="1">+WORLDCUP!BD67</f>
        <v>Argelia</v>
      </c>
      <c r="F10" s="9" t="str">
        <f ca="1">+WORLDCUP!BD61</f>
        <v>Estados Unidos</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Egipto</v>
      </c>
      <c r="E11" s="9" t="str">
        <f ca="1">+WORLDCUP!BD66</f>
        <v>Senegal</v>
      </c>
      <c r="F11" s="9" t="str">
        <f ca="1">+WORLDCUP!BD60</f>
        <v>Escocia</v>
      </c>
      <c r="G11" s="9" t="str">
        <f ca="1">+WORLDCUP!BD67</f>
        <v>Argelia</v>
      </c>
      <c r="H11" s="9" t="str">
        <f ca="1">+WORLDCUP!BD63</f>
        <v>Suecia</v>
      </c>
      <c r="I11" s="9" t="str">
        <f ca="1">+WORLDCUP!BD69</f>
        <v>Ghana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Arabia Saudita</v>
      </c>
      <c r="H12" s="9" t="str">
        <f ca="1">+WORLDCUP!BD64</f>
        <v>Egipto</v>
      </c>
      <c r="I12" s="9" t="str">
        <f ca="1">+WORLDCUP!BD69</f>
        <v>Ghana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Egipto</v>
      </c>
      <c r="E14" s="9" t="str">
        <f ca="1">+WORLDCUP!BD66</f>
        <v>Senegal</v>
      </c>
      <c r="F14" s="9" t="str">
        <f ca="1">+WORLDCUP!BD60</f>
        <v>Escocia</v>
      </c>
      <c r="G14" s="9" t="str">
        <f ca="1">+WORLDCUP!BD67</f>
        <v>Argelia</v>
      </c>
      <c r="H14" s="9" t="str">
        <f ca="1">+WORLDCUP!BD63</f>
        <v>Suecia</v>
      </c>
      <c r="I14" s="9" t="str">
        <f ca="1">+WORLDCUP!BD69</f>
        <v>Ghana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Egipto</v>
      </c>
      <c r="E15" s="9" t="str">
        <f ca="1">+WORLDCUP!BD67</f>
        <v>Argelia</v>
      </c>
      <c r="F15" s="9" t="str">
        <f ca="1">+WORLDCUP!BD60</f>
        <v>Escocia</v>
      </c>
      <c r="G15" s="9" t="str">
        <f ca="1">+WORLDCUP!BD65</f>
        <v>Arabia Saudita</v>
      </c>
      <c r="H15" s="9" t="str">
        <f ca="1">+WORLDCUP!BD63</f>
        <v>Suecia</v>
      </c>
      <c r="I15" s="9" t="str">
        <f ca="1">+WORLDCUP!BD69</f>
        <v>Ghana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Egipto</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Egipto</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Egipto</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Egipto</v>
      </c>
      <c r="E19" s="9" t="str">
        <f ca="1">+WORLDCUP!BD66</f>
        <v>Senegal</v>
      </c>
      <c r="F19" s="9" t="str">
        <f ca="1">+WORLDCUP!BD60</f>
        <v>Escocia</v>
      </c>
      <c r="G19" s="9" t="str">
        <f ca="1">+WORLDCUP!BD67</f>
        <v>Argelia</v>
      </c>
      <c r="H19" s="9" t="str">
        <f ca="1">+WORLDCUP!BD61</f>
        <v>Estados Unidos</v>
      </c>
      <c r="I19" s="9" t="str">
        <f ca="1">+WORLDCUP!BD69</f>
        <v>Ghana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Estados Unidos</v>
      </c>
      <c r="G20" s="9" t="str">
        <f ca="1">+WORLDCUP!BD65</f>
        <v>Arabia Saudita</v>
      </c>
      <c r="H20" s="9" t="str">
        <f ca="1">+WORLDCUP!BD63</f>
        <v>Suecia</v>
      </c>
      <c r="I20" s="9" t="str">
        <f ca="1">+WORLDCUP!BD69</f>
        <v>Ghana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Egipto</v>
      </c>
      <c r="E21" s="9" t="str">
        <f ca="1">+WORLDCUP!BD66</f>
        <v>Senegal</v>
      </c>
      <c r="F21" s="9" t="str">
        <f ca="1">+WORLDCUP!BD61</f>
        <v>Estados Unidos</v>
      </c>
      <c r="G21" s="9" t="str">
        <f ca="1">+WORLDCUP!BD67</f>
        <v>Argelia</v>
      </c>
      <c r="H21" s="9" t="str">
        <f ca="1">+WORLDCUP!BD63</f>
        <v>Suecia</v>
      </c>
      <c r="I21" s="9" t="str">
        <f ca="1">+WORLDCUP!BD69</f>
        <v>Ghana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Egipto</v>
      </c>
      <c r="E22" s="9" t="str">
        <f ca="1">+WORLDCUP!BD67</f>
        <v>Argelia</v>
      </c>
      <c r="F22" s="9" t="str">
        <f ca="1">+WORLDCUP!BD61</f>
        <v>Estados Unidos</v>
      </c>
      <c r="G22" s="9" t="str">
        <f ca="1">+WORLDCUP!BD65</f>
        <v>Arabia Saudita</v>
      </c>
      <c r="H22" s="9" t="str">
        <f ca="1">+WORLDCUP!BD63</f>
        <v>Suecia</v>
      </c>
      <c r="I22" s="9" t="str">
        <f ca="1">+WORLDCUP!BD69</f>
        <v>Ghana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Egipto</v>
      </c>
      <c r="E23" s="9" t="str">
        <f ca="1">+WORLDCUP!BD66</f>
        <v>Senegal</v>
      </c>
      <c r="F23" s="9" t="str">
        <f ca="1">+WORLDCUP!BD61</f>
        <v>Estados Unidos</v>
      </c>
      <c r="G23" s="9" t="str">
        <f ca="1">+WORLDCUP!BD65</f>
        <v>Arabia Saudita</v>
      </c>
      <c r="H23" s="9" t="str">
        <f ca="1">+WORLDCUP!BD63</f>
        <v>Suecia</v>
      </c>
      <c r="I23" s="9" t="str">
        <f ca="1">+WORLDCUP!BD69</f>
        <v>Ghana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Egipto</v>
      </c>
      <c r="E24" s="9" t="str">
        <f ca="1">+WORLDCUP!BD67</f>
        <v>Argelia</v>
      </c>
      <c r="F24" s="9" t="str">
        <f ca="1">+WORLDCUP!BD61</f>
        <v>Estados Unidos</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Egipto</v>
      </c>
      <c r="E25" s="9" t="str">
        <f ca="1">+WORLDCUP!BD67</f>
        <v>Argelia</v>
      </c>
      <c r="F25" s="9" t="str">
        <f ca="1">+WORLDCUP!BD61</f>
        <v>Estados Unidos</v>
      </c>
      <c r="G25" s="9" t="str">
        <f ca="1">+WORLDCUP!BD65</f>
        <v>Arabia Saudita</v>
      </c>
      <c r="H25" s="9" t="str">
        <f ca="1">+WORLDCUP!BD63</f>
        <v>Suecia</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Arabia Saudita</v>
      </c>
      <c r="H26" s="9" t="str">
        <f ca="1">+WORLDCUP!BD61</f>
        <v>Estados Unidos</v>
      </c>
      <c r="I26" s="9" t="str">
        <f ca="1">+WORLDCUP!BD69</f>
        <v>Ghana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Egipto</v>
      </c>
      <c r="E27" s="9" t="str">
        <f ca="1">+WORLDCUP!BD66</f>
        <v>Senegal</v>
      </c>
      <c r="F27" s="9" t="str">
        <f ca="1">+WORLDCUP!BD60</f>
        <v>Escocia</v>
      </c>
      <c r="G27" s="9" t="str">
        <f ca="1">+WORLDCUP!BD67</f>
        <v>Argelia</v>
      </c>
      <c r="H27" s="9" t="str">
        <f ca="1">+WORLDCUP!BD61</f>
        <v>Estados Unidos</v>
      </c>
      <c r="I27" s="9" t="str">
        <f ca="1">+WORLDCUP!BD69</f>
        <v>Ghana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Egipto</v>
      </c>
      <c r="E28" s="9" t="str">
        <f ca="1">+WORLDCUP!BD67</f>
        <v>Argelia</v>
      </c>
      <c r="F28" s="9" t="str">
        <f ca="1">+WORLDCUP!BD60</f>
        <v>Escocia</v>
      </c>
      <c r="G28" s="9" t="str">
        <f ca="1">+WORLDCUP!BD65</f>
        <v>Arabia Saudita</v>
      </c>
      <c r="H28" s="9" t="str">
        <f ca="1">+WORLDCUP!BD61</f>
        <v>Estados Unidos</v>
      </c>
      <c r="I28" s="9" t="str">
        <f ca="1">+WORLDCUP!BD69</f>
        <v>Ghana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Egipto</v>
      </c>
      <c r="E29" s="9" t="str">
        <f ca="1">+WORLDCUP!BD66</f>
        <v>Senegal</v>
      </c>
      <c r="F29" s="9" t="str">
        <f ca="1">+WORLDCUP!BD60</f>
        <v>Escocia</v>
      </c>
      <c r="G29" s="9" t="str">
        <f ca="1">+WORLDCUP!BD65</f>
        <v>Arabia Saudita</v>
      </c>
      <c r="H29" s="9" t="str">
        <f ca="1">+WORLDCUP!BD61</f>
        <v>Estados Unidos</v>
      </c>
      <c r="I29" s="9" t="str">
        <f ca="1">+WORLDCUP!BD69</f>
        <v>Ghana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Egipto</v>
      </c>
      <c r="E30" s="9" t="str">
        <f ca="1">+WORLDCUP!BD67</f>
        <v>Argelia</v>
      </c>
      <c r="F30" s="9" t="str">
        <f ca="1">+WORLDCUP!BD60</f>
        <v>Escocia</v>
      </c>
      <c r="G30" s="9" t="str">
        <f ca="1">+WORLDCUP!BD65</f>
        <v>Arabia Saudita</v>
      </c>
      <c r="H30" s="9" t="str">
        <f ca="1">+WORLDCUP!BD61</f>
        <v>Estados Unidos</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Egipto</v>
      </c>
      <c r="E31" s="9" t="str">
        <f ca="1">+WORLDCUP!BD67</f>
        <v>Argelia</v>
      </c>
      <c r="F31" s="9" t="str">
        <f ca="1">+WORLDCUP!BD60</f>
        <v>Escocia</v>
      </c>
      <c r="G31" s="9" t="str">
        <f ca="1">+WORLDCUP!BD65</f>
        <v>Arabia Saudita</v>
      </c>
      <c r="H31" s="9" t="str">
        <f ca="1">+WORLDCUP!BD61</f>
        <v>Estados Unidos</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Estados Unidos</v>
      </c>
      <c r="G32" s="9" t="str">
        <f ca="1">+WORLDCUP!BD66</f>
        <v>Senegal</v>
      </c>
      <c r="H32" s="9" t="str">
        <f ca="1">+WORLDCUP!BD63</f>
        <v>Suecia</v>
      </c>
      <c r="I32" s="9" t="str">
        <f ca="1">+WORLDCUP!BD69</f>
        <v>Ghana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Estados Unidos</v>
      </c>
      <c r="G33" s="9" t="str">
        <f ca="1">+WORLDCUP!BD65</f>
        <v>Arabia Saudita</v>
      </c>
      <c r="H33" s="9" t="str">
        <f ca="1">+WORLDCUP!BD63</f>
        <v>Suecia</v>
      </c>
      <c r="I33" s="9" t="str">
        <f ca="1">+WORLDCUP!BD69</f>
        <v>Ghana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Estados Unidos</v>
      </c>
      <c r="G34" s="9" t="str">
        <f ca="1">+WORLDCUP!BD65</f>
        <v>Arabia Saudita</v>
      </c>
      <c r="H34" s="9" t="str">
        <f ca="1">+WORLDCUP!BD63</f>
        <v>Suecia</v>
      </c>
      <c r="I34" s="9" t="str">
        <f ca="1">+WORLDCUP!BD69</f>
        <v>Ghana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Estados Unidos</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Estados Unidos</v>
      </c>
      <c r="G36" s="9" t="str">
        <f ca="1">+WORLDCUP!BD65</f>
        <v>Arabia Saudita</v>
      </c>
      <c r="H36" s="9" t="str">
        <f ca="1">+WORLDCUP!BD63</f>
        <v>Suecia</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Egipto</v>
      </c>
      <c r="E37" s="9" t="str">
        <f ca="1">+WORLDCUP!BD62</f>
        <v>Ecuador</v>
      </c>
      <c r="F37" s="9" t="str">
        <f ca="1">+WORLDCUP!BD61</f>
        <v>Estados Unidos</v>
      </c>
      <c r="G37" s="9" t="str">
        <f ca="1">+WORLDCUP!BD67</f>
        <v>Argelia</v>
      </c>
      <c r="H37" s="9" t="str">
        <f ca="1">+WORLDCUP!BD63</f>
        <v>Suecia</v>
      </c>
      <c r="I37" s="9" t="str">
        <f ca="1">+WORLDCUP!BD69</f>
        <v>Ghana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Egipto</v>
      </c>
      <c r="E38" s="9" t="str">
        <f ca="1">+WORLDCUP!BD62</f>
        <v>Ecuador</v>
      </c>
      <c r="F38" s="9" t="str">
        <f ca="1">+WORLDCUP!BD61</f>
        <v>Estados Unidos</v>
      </c>
      <c r="G38" s="9" t="str">
        <f ca="1">+WORLDCUP!BD66</f>
        <v>Senegal</v>
      </c>
      <c r="H38" s="9" t="str">
        <f ca="1">+WORLDCUP!BD63</f>
        <v>Suecia</v>
      </c>
      <c r="I38" s="9" t="str">
        <f ca="1">+WORLDCUP!BD69</f>
        <v>Ghana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Egipto</v>
      </c>
      <c r="E39" s="9" t="str">
        <f ca="1">+WORLDCUP!BD62</f>
        <v>Ecuador</v>
      </c>
      <c r="F39" s="9" t="str">
        <f ca="1">+WORLDCUP!BD61</f>
        <v>Estados Unidos</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Egipto</v>
      </c>
      <c r="E40" s="9" t="str">
        <f ca="1">+WORLDCUP!BD62</f>
        <v>Ecuador</v>
      </c>
      <c r="F40" s="9" t="str">
        <f ca="1">+WORLDCUP!BD61</f>
        <v>Estados Unidos</v>
      </c>
      <c r="G40" s="9" t="str">
        <f ca="1">+WORLDCUP!BD67</f>
        <v>Argelia</v>
      </c>
      <c r="H40" s="9" t="str">
        <f ca="1">+WORLDCUP!BD63</f>
        <v>Suecia</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Ecuador</v>
      </c>
      <c r="F41" s="9" t="str">
        <f ca="1">+WORLDCUP!BD61</f>
        <v>Estados Unidos</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Argelia</v>
      </c>
      <c r="F42" s="9" t="str">
        <f ca="1">+WORLDCUP!BD61</f>
        <v>Estados Unidos</v>
      </c>
      <c r="G42" s="9" t="str">
        <f ca="1">+WORLDCUP!BD65</f>
        <v>Arabia Saudita</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Argelia</v>
      </c>
      <c r="F43" s="9" t="str">
        <f ca="1">+WORLDCUP!BD61</f>
        <v>Estados Unidos</v>
      </c>
      <c r="G43" s="9" t="str">
        <f ca="1">+WORLDCUP!BD65</f>
        <v>Arabia Saudita</v>
      </c>
      <c r="H43" s="9" t="str">
        <f ca="1">+WORLDCUP!BD63</f>
        <v>Suecia</v>
      </c>
      <c r="I43" s="9" t="str">
        <f ca="1">+WORLDCUP!BD62</f>
        <v>Ecuador</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Ecuador</v>
      </c>
      <c r="F44" s="9" t="str">
        <f ca="1">+WORLDCUP!BD61</f>
        <v>Estados Unidos</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Ecuador</v>
      </c>
      <c r="F45" s="9" t="str">
        <f ca="1">+WORLDCUP!BD61</f>
        <v>Estados Unidos</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Argelia</v>
      </c>
      <c r="F46" s="9" t="str">
        <f ca="1">+WORLDCUP!BD61</f>
        <v>Estados Unidos</v>
      </c>
      <c r="G46" s="9" t="str">
        <f ca="1">+WORLDCUP!BD65</f>
        <v>Arabia Saudita</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Egipto</v>
      </c>
      <c r="I47" s="9" t="str">
        <f ca="1">+WORLDCUP!BD69</f>
        <v>Ghana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Arabia Saudita</v>
      </c>
      <c r="H48" s="9" t="str">
        <f ca="1">+WORLDCUP!BD64</f>
        <v>Egipto</v>
      </c>
      <c r="I48" s="9" t="str">
        <f ca="1">+WORLDCUP!BD69</f>
        <v>Ghana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Egipto</v>
      </c>
      <c r="I50" s="9" t="str">
        <f ca="1">+WORLDCUP!BD69</f>
        <v>Ghana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Arabia Saudita</v>
      </c>
      <c r="H51" s="9" t="str">
        <f ca="1">+WORLDCUP!BD64</f>
        <v>Egipto</v>
      </c>
      <c r="I51" s="9" t="str">
        <f ca="1">+WORLDCUP!BD69</f>
        <v>Ghana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Egipto</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Arabia Saudita</v>
      </c>
      <c r="H53" s="9" t="str">
        <f ca="1">+WORLDCUP!BD64</f>
        <v>Egipto</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Arabia Saudita</v>
      </c>
      <c r="H54" s="9" t="str">
        <f ca="1">+WORLDCUP!BD64</f>
        <v>Egipto</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Estados Unidos</v>
      </c>
      <c r="G55" s="9" t="str">
        <f ca="1">+WORLDCUP!BD66</f>
        <v>Senegal</v>
      </c>
      <c r="H55" s="9" t="str">
        <f ca="1">+WORLDCUP!BD64</f>
        <v>Egipto</v>
      </c>
      <c r="I55" s="9" t="str">
        <f ca="1">+WORLDCUP!BD69</f>
        <v>Ghana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Estados Unidos</v>
      </c>
      <c r="G56" s="9" t="str">
        <f ca="1">+WORLDCUP!BD66</f>
        <v>Senegal</v>
      </c>
      <c r="H56" s="9" t="str">
        <f ca="1">+WORLDCUP!BD63</f>
        <v>Suecia</v>
      </c>
      <c r="I56" s="9" t="str">
        <f ca="1">+WORLDCUP!BD69</f>
        <v>Ghana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Egipto</v>
      </c>
      <c r="E57" s="9" t="str">
        <f ca="1">+WORLDCUP!BD59</f>
        <v>Bosnia y Herzegovina</v>
      </c>
      <c r="F57" s="9" t="str">
        <f ca="1">+WORLDCUP!BD61</f>
        <v>Estados Unidos</v>
      </c>
      <c r="G57" s="9" t="str">
        <f ca="1">+WORLDCUP!BD67</f>
        <v>Argelia</v>
      </c>
      <c r="H57" s="9" t="str">
        <f ca="1">+WORLDCUP!BD63</f>
        <v>Suecia</v>
      </c>
      <c r="I57" s="9" t="str">
        <f ca="1">+WORLDCUP!BD69</f>
        <v>Ghana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Egipto</v>
      </c>
      <c r="E58" s="9" t="str">
        <f ca="1">+WORLDCUP!BD59</f>
        <v>Bosnia y Herzegovina</v>
      </c>
      <c r="F58" s="9" t="str">
        <f ca="1">+WORLDCUP!BD61</f>
        <v>Estados Unidos</v>
      </c>
      <c r="G58" s="9" t="str">
        <f ca="1">+WORLDCUP!BD67</f>
        <v>Argelia</v>
      </c>
      <c r="H58" s="9" t="str">
        <f ca="1">+WORLDCUP!BD63</f>
        <v>Suecia</v>
      </c>
      <c r="I58" s="9" t="str">
        <f ca="1">+WORLDCUP!BD69</f>
        <v>Ghana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Egipto</v>
      </c>
      <c r="E59" s="9" t="str">
        <f ca="1">+WORLDCUP!BD59</f>
        <v>Bosnia y Herzegovina</v>
      </c>
      <c r="F59" s="9" t="str">
        <f ca="1">+WORLDCUP!BD61</f>
        <v>Estados Unidos</v>
      </c>
      <c r="G59" s="9" t="str">
        <f ca="1">+WORLDCUP!BD66</f>
        <v>Senegal</v>
      </c>
      <c r="H59" s="9" t="str">
        <f ca="1">+WORLDCUP!BD63</f>
        <v>Suecia</v>
      </c>
      <c r="I59" s="9" t="str">
        <f ca="1">+WORLDCUP!BD69</f>
        <v>Ghana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Egipto</v>
      </c>
      <c r="E60" s="9" t="str">
        <f ca="1">+WORLDCUP!BD59</f>
        <v>Bosnia y Herzegovina</v>
      </c>
      <c r="F60" s="9" t="str">
        <f ca="1">+WORLDCUP!BD61</f>
        <v>Estados Unidos</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Egipto</v>
      </c>
      <c r="E61" s="9" t="str">
        <f ca="1">+WORLDCUP!BD59</f>
        <v>Bosnia y Herzegovina</v>
      </c>
      <c r="F61" s="9" t="str">
        <f ca="1">+WORLDCUP!BD61</f>
        <v>Estados Unidos</v>
      </c>
      <c r="G61" s="9" t="str">
        <f ca="1">+WORLDCUP!BD67</f>
        <v>Argelia</v>
      </c>
      <c r="H61" s="9" t="str">
        <f ca="1">+WORLDCUP!BD63</f>
        <v>Suecia</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Estados Unidos</v>
      </c>
      <c r="G62" s="9" t="str">
        <f ca="1">+WORLDCUP!BD66</f>
        <v>Senegal</v>
      </c>
      <c r="H62" s="9" t="str">
        <f ca="1">+WORLDCUP!BD65</f>
        <v>Arabia Saudita</v>
      </c>
      <c r="I62" s="9" t="str">
        <f ca="1">+WORLDCUP!BD69</f>
        <v>Ghana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Estados Unidos</v>
      </c>
      <c r="G63" s="9" t="str">
        <f ca="1">+WORLDCUP!BD66</f>
        <v>Senegal</v>
      </c>
      <c r="H63" s="9" t="str">
        <f ca="1">+WORLDCUP!BD64</f>
        <v>Egipto</v>
      </c>
      <c r="I63" s="9" t="str">
        <f ca="1">+WORLDCUP!BD69</f>
        <v>Ghana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Estados Unidos</v>
      </c>
      <c r="G64" s="9" t="str">
        <f ca="1">+WORLDCUP!BD65</f>
        <v>Arabia Saudita</v>
      </c>
      <c r="H64" s="9" t="str">
        <f ca="1">+WORLDCUP!BD64</f>
        <v>Egipto</v>
      </c>
      <c r="I64" s="9" t="str">
        <f ca="1">+WORLDCUP!BD69</f>
        <v>Ghana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Egipto</v>
      </c>
      <c r="E65" s="9" t="str">
        <f ca="1">+WORLDCUP!BD59</f>
        <v>Bosnia y Herzegovina</v>
      </c>
      <c r="F65" s="9" t="str">
        <f ca="1">+WORLDCUP!BD61</f>
        <v>Estados Unidos</v>
      </c>
      <c r="G65" s="9" t="str">
        <f ca="1">+WORLDCUP!BD66</f>
        <v>Senegal</v>
      </c>
      <c r="H65" s="9" t="str">
        <f ca="1">+WORLDCUP!BD65</f>
        <v>Arabia Saudita</v>
      </c>
      <c r="I65" s="9" t="str">
        <f ca="1">+WORLDCUP!BD69</f>
        <v>Ghana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Estados Unidos</v>
      </c>
      <c r="G66" s="9" t="str">
        <f ca="1">+WORLDCUP!BD65</f>
        <v>Arabia Saudita</v>
      </c>
      <c r="H66" s="9" t="str">
        <f ca="1">+WORLDCUP!BD64</f>
        <v>Egipto</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Estados Unidos</v>
      </c>
      <c r="G67" s="9" t="str">
        <f ca="1">+WORLDCUP!BD65</f>
        <v>Arabia Saudita</v>
      </c>
      <c r="H67" s="9" t="str">
        <f ca="1">+WORLDCUP!BD64</f>
        <v>Egipto</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Bosnia y Herzegovina</v>
      </c>
      <c r="F68" s="9" t="str">
        <f ca="1">+WORLDCUP!BD61</f>
        <v>Estados Unidos</v>
      </c>
      <c r="G68" s="9" t="str">
        <f ca="1">+WORLDCUP!BD66</f>
        <v>Senegal</v>
      </c>
      <c r="H68" s="9" t="str">
        <f ca="1">+WORLDCUP!BD63</f>
        <v>Suecia</v>
      </c>
      <c r="I68" s="9" t="str">
        <f ca="1">+WORLDCUP!BD69</f>
        <v>Ghana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Estados Unidos</v>
      </c>
      <c r="G69" s="9" t="str">
        <f ca="1">+WORLDCUP!BD65</f>
        <v>Arabia Saudita</v>
      </c>
      <c r="H69" s="9" t="str">
        <f ca="1">+WORLDCUP!BD63</f>
        <v>Suecia</v>
      </c>
      <c r="I69" s="9" t="str">
        <f ca="1">+WORLDCUP!BD69</f>
        <v>Ghana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Estados Unidos</v>
      </c>
      <c r="G70" s="9" t="str">
        <f ca="1">+WORLDCUP!BD65</f>
        <v>Arabia Saudita</v>
      </c>
      <c r="H70" s="9" t="str">
        <f ca="1">+WORLDCUP!BD63</f>
        <v>Suecia</v>
      </c>
      <c r="I70" s="9" t="str">
        <f ca="1">+WORLDCUP!BD69</f>
        <v>Ghana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Estados Unidos</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Estados Unidos</v>
      </c>
      <c r="G72" s="9" t="str">
        <f ca="1">+WORLDCUP!BD65</f>
        <v>Arabia Saudita</v>
      </c>
      <c r="H72" s="9" t="str">
        <f ca="1">+WORLDCUP!BD63</f>
        <v>Suecia</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Egipto</v>
      </c>
      <c r="E73" s="9" t="str">
        <f ca="1">+WORLDCUP!BD59</f>
        <v>Bosnia y Herzegovina</v>
      </c>
      <c r="F73" s="9" t="str">
        <f ca="1">+WORLDCUP!BD61</f>
        <v>Estados Unidos</v>
      </c>
      <c r="G73" s="9" t="str">
        <f ca="1">+WORLDCUP!BD67</f>
        <v>Argelia</v>
      </c>
      <c r="H73" s="9" t="str">
        <f ca="1">+WORLDCUP!BD63</f>
        <v>Suecia</v>
      </c>
      <c r="I73" s="9" t="str">
        <f ca="1">+WORLDCUP!BD69</f>
        <v>Ghana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Egipto</v>
      </c>
      <c r="E74" s="9" t="str">
        <f ca="1">+WORLDCUP!BD59</f>
        <v>Bosnia y Herzegovina</v>
      </c>
      <c r="F74" s="9" t="str">
        <f ca="1">+WORLDCUP!BD61</f>
        <v>Estados Unidos</v>
      </c>
      <c r="G74" s="9" t="str">
        <f ca="1">+WORLDCUP!BD66</f>
        <v>Senegal</v>
      </c>
      <c r="H74" s="9" t="str">
        <f ca="1">+WORLDCUP!BD63</f>
        <v>Suecia</v>
      </c>
      <c r="I74" s="9" t="str">
        <f ca="1">+WORLDCUP!BD69</f>
        <v>Ghana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Egipto</v>
      </c>
      <c r="E75" s="9" t="str">
        <f ca="1">+WORLDCUP!BD59</f>
        <v>Bosnia y Herzegovina</v>
      </c>
      <c r="F75" s="9" t="str">
        <f ca="1">+WORLDCUP!BD61</f>
        <v>Estados Unidos</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Egipto</v>
      </c>
      <c r="E76" s="9" t="str">
        <f ca="1">+WORLDCUP!BD59</f>
        <v>Bosnia y Herzegovina</v>
      </c>
      <c r="F76" s="9" t="str">
        <f ca="1">+WORLDCUP!BD61</f>
        <v>Estados Unidos</v>
      </c>
      <c r="G76" s="9" t="str">
        <f ca="1">+WORLDCUP!BD67</f>
        <v>Argelia</v>
      </c>
      <c r="H76" s="9" t="str">
        <f ca="1">+WORLDCUP!BD63</f>
        <v>Suecia</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Egipto</v>
      </c>
      <c r="E77" s="9" t="str">
        <f ca="1">+WORLDCUP!BD59</f>
        <v>Bosnia y Herzegovina</v>
      </c>
      <c r="F77" s="9" t="str">
        <f ca="1">+WORLDCUP!BD61</f>
        <v>Estados Unidos</v>
      </c>
      <c r="G77" s="9" t="str">
        <f ca="1">+WORLDCUP!BD65</f>
        <v>Arabia Saudita</v>
      </c>
      <c r="H77" s="9" t="str">
        <f ca="1">+WORLDCUP!BD63</f>
        <v>Suecia</v>
      </c>
      <c r="I77" s="9" t="str">
        <f ca="1">+WORLDCUP!BD69</f>
        <v>Ghana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Egipto</v>
      </c>
      <c r="E78" s="9" t="str">
        <f ca="1">+WORLDCUP!BD59</f>
        <v>Bosnia y Herzegovina</v>
      </c>
      <c r="F78" s="9" t="str">
        <f ca="1">+WORLDCUP!BD61</f>
        <v>Estados Unidos</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Egipto</v>
      </c>
      <c r="E79" s="9" t="str">
        <f ca="1">+WORLDCUP!BD59</f>
        <v>Bosnia y Herzegovina</v>
      </c>
      <c r="F79" s="9" t="str">
        <f ca="1">+WORLDCUP!BD61</f>
        <v>Estados Unidos</v>
      </c>
      <c r="G79" s="9" t="str">
        <f ca="1">+WORLDCUP!BD67</f>
        <v>Argelia</v>
      </c>
      <c r="H79" s="9" t="str">
        <f ca="1">+WORLDCUP!BD63</f>
        <v>Suecia</v>
      </c>
      <c r="I79" s="9" t="str">
        <f ca="1">+WORLDCUP!BD62</f>
        <v>Ecuador</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Egipto</v>
      </c>
      <c r="E80" s="9" t="str">
        <f ca="1">+WORLDCUP!BD59</f>
        <v>Bosnia y Herzegovina</v>
      </c>
      <c r="F80" s="9" t="str">
        <f ca="1">+WORLDCUP!BD61</f>
        <v>Estados Unidos</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Egipto</v>
      </c>
      <c r="E81" s="9" t="str">
        <f ca="1">+WORLDCUP!BD59</f>
        <v>Bosnia y Herzegovina</v>
      </c>
      <c r="F81" s="9" t="str">
        <f ca="1">+WORLDCUP!BD61</f>
        <v>Estados Unidos</v>
      </c>
      <c r="G81" s="9" t="str">
        <f ca="1">+WORLDCUP!BD65</f>
        <v>Arabia Saudita</v>
      </c>
      <c r="H81" s="9" t="str">
        <f ca="1">+WORLDCUP!BD63</f>
        <v>Suecia</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Egipto</v>
      </c>
      <c r="E82" s="9" t="str">
        <f ca="1">+WORLDCUP!BD59</f>
        <v>Bosnia y Herzegovina</v>
      </c>
      <c r="F82" s="9" t="str">
        <f ca="1">+WORLDCUP!BD61</f>
        <v>Estados Unidos</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Egipto</v>
      </c>
      <c r="I83" s="9" t="str">
        <f ca="1">+WORLDCUP!BD69</f>
        <v>Ghana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Egipto</v>
      </c>
      <c r="E85" s="9" t="str">
        <f ca="1">+WORLDCUP!BD59</f>
        <v>Bosnia y Herzegovina</v>
      </c>
      <c r="F85" s="9" t="str">
        <f ca="1">+WORLDCUP!BD60</f>
        <v>Escocia</v>
      </c>
      <c r="G85" s="9" t="str">
        <f ca="1">+WORLDCUP!BD67</f>
        <v>Argelia</v>
      </c>
      <c r="H85" s="9" t="str">
        <f ca="1">+WORLDCUP!BD63</f>
        <v>Suecia</v>
      </c>
      <c r="I85" s="9" t="str">
        <f ca="1">+WORLDCUP!BD69</f>
        <v>Ghana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Egipto</v>
      </c>
      <c r="E86" s="9" t="str">
        <f ca="1">+WORLDCUP!BD59</f>
        <v>Bosnia y Herzegovina</v>
      </c>
      <c r="F86" s="9" t="str">
        <f ca="1">+WORLDCUP!BD60</f>
        <v>Escocia</v>
      </c>
      <c r="G86" s="9" t="str">
        <f ca="1">+WORLDCUP!BD67</f>
        <v>Argelia</v>
      </c>
      <c r="H86" s="9" t="str">
        <f ca="1">+WORLDCUP!BD63</f>
        <v>Suecia</v>
      </c>
      <c r="I86" s="9" t="str">
        <f ca="1">+WORLDCUP!BD69</f>
        <v>Ghana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Egipto</v>
      </c>
      <c r="E87" s="9" t="str">
        <f ca="1">+WORLDCUP!BD59</f>
        <v>Bosnia y Herzegovina</v>
      </c>
      <c r="F87" s="9" t="str">
        <f ca="1">+WORLDCUP!BD60</f>
        <v>Escocia</v>
      </c>
      <c r="G87" s="9" t="str">
        <f ca="1">+WORLDCUP!BD66</f>
        <v>Senegal</v>
      </c>
      <c r="H87" s="9" t="str">
        <f ca="1">+WORLDCUP!BD63</f>
        <v>Suecia</v>
      </c>
      <c r="I87" s="9" t="str">
        <f ca="1">+WORLDCUP!BD69</f>
        <v>Ghana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Egipto</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Egipto</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Egipto</v>
      </c>
      <c r="I91" s="9" t="str">
        <f ca="1">+WORLDCUP!BD69</f>
        <v>Ghana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Arabia Saudita</v>
      </c>
      <c r="H92" s="9" t="str">
        <f ca="1">+WORLDCUP!BD64</f>
        <v>Egipto</v>
      </c>
      <c r="I92" s="9" t="str">
        <f ca="1">+WORLDCUP!BD69</f>
        <v>Ghana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Egipto</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Arabia Saudita</v>
      </c>
      <c r="H94" s="9" t="str">
        <f ca="1">+WORLDCUP!BD64</f>
        <v>Egipto</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Arabia Saudita</v>
      </c>
      <c r="H95" s="9" t="str">
        <f ca="1">+WORLDCUP!BD64</f>
        <v>Egipto</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Egipto</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Egipto</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Egipto</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Egipto</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Egipto</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Egipto</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Egipto</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Egipto</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Egipto</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Egipto</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Estados Unidos</v>
      </c>
      <c r="I111" s="9" t="str">
        <f ca="1">+WORLDCUP!BD69</f>
        <v>Ghana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Egipto</v>
      </c>
      <c r="E112" s="9" t="str">
        <f ca="1">+WORLDCUP!BD59</f>
        <v>Bosnia y Herzegovina</v>
      </c>
      <c r="F112" s="9" t="str">
        <f ca="1">+WORLDCUP!BD60</f>
        <v>Escocia</v>
      </c>
      <c r="G112" s="9" t="str">
        <f ca="1">+WORLDCUP!BD67</f>
        <v>Argelia</v>
      </c>
      <c r="H112" s="9" t="str">
        <f ca="1">+WORLDCUP!BD61</f>
        <v>Estados Unidos</v>
      </c>
      <c r="I112" s="9" t="str">
        <f ca="1">+WORLDCUP!BD69</f>
        <v>Ghana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Egipto</v>
      </c>
      <c r="E113" s="9" t="str">
        <f ca="1">+WORLDCUP!BD59</f>
        <v>Bosnia y Herzegovina</v>
      </c>
      <c r="F113" s="9" t="str">
        <f ca="1">+WORLDCUP!BD60</f>
        <v>Escocia</v>
      </c>
      <c r="G113" s="9" t="str">
        <f ca="1">+WORLDCUP!BD67</f>
        <v>Argelia</v>
      </c>
      <c r="H113" s="9" t="str">
        <f ca="1">+WORLDCUP!BD61</f>
        <v>Estados Unidos</v>
      </c>
      <c r="I113" s="9" t="str">
        <f ca="1">+WORLDCUP!BD69</f>
        <v>Ghana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Egipto</v>
      </c>
      <c r="E114" s="9" t="str">
        <f ca="1">+WORLDCUP!BD59</f>
        <v>Bosnia y Herzegovina</v>
      </c>
      <c r="F114" s="9" t="str">
        <f ca="1">+WORLDCUP!BD60</f>
        <v>Escocia</v>
      </c>
      <c r="G114" s="9" t="str">
        <f ca="1">+WORLDCUP!BD66</f>
        <v>Senegal</v>
      </c>
      <c r="H114" s="9" t="str">
        <f ca="1">+WORLDCUP!BD61</f>
        <v>Estados Unidos</v>
      </c>
      <c r="I114" s="9" t="str">
        <f ca="1">+WORLDCUP!BD69</f>
        <v>Ghana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Egipto</v>
      </c>
      <c r="E115" s="9" t="str">
        <f ca="1">+WORLDCUP!BD59</f>
        <v>Bosnia y Herzegovina</v>
      </c>
      <c r="F115" s="9" t="str">
        <f ca="1">+WORLDCUP!BD60</f>
        <v>Escocia</v>
      </c>
      <c r="G115" s="9" t="str">
        <f ca="1">+WORLDCUP!BD67</f>
        <v>Argelia</v>
      </c>
      <c r="H115" s="9" t="str">
        <f ca="1">+WORLDCUP!BD61</f>
        <v>Estados Unidos</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Egipto</v>
      </c>
      <c r="E116" s="9" t="str">
        <f ca="1">+WORLDCUP!BD59</f>
        <v>Bosnia y Herzegovina</v>
      </c>
      <c r="F116" s="9" t="str">
        <f ca="1">+WORLDCUP!BD60</f>
        <v>Escocia</v>
      </c>
      <c r="G116" s="9" t="str">
        <f ca="1">+WORLDCUP!BD67</f>
        <v>Argelia</v>
      </c>
      <c r="H116" s="9" t="str">
        <f ca="1">+WORLDCUP!BD61</f>
        <v>Estados Unidos</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Estados Unidos</v>
      </c>
      <c r="G117" s="9" t="str">
        <f ca="1">+WORLDCUP!BD66</f>
        <v>Senegal</v>
      </c>
      <c r="H117" s="9" t="str">
        <f ca="1">+WORLDCUP!BD63</f>
        <v>Suecia</v>
      </c>
      <c r="I117" s="9" t="str">
        <f ca="1">+WORLDCUP!BD69</f>
        <v>Ghana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Estados Unidos</v>
      </c>
      <c r="G118" s="9" t="str">
        <f ca="1">+WORLDCUP!BD65</f>
        <v>Arabia Saudita</v>
      </c>
      <c r="H118" s="9" t="str">
        <f ca="1">+WORLDCUP!BD63</f>
        <v>Suecia</v>
      </c>
      <c r="I118" s="9" t="str">
        <f ca="1">+WORLDCUP!BD69</f>
        <v>Ghana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Estados Unidos</v>
      </c>
      <c r="G119" s="9" t="str">
        <f ca="1">+WORLDCUP!BD65</f>
        <v>Arabia Saudita</v>
      </c>
      <c r="H119" s="9" t="str">
        <f ca="1">+WORLDCUP!BD63</f>
        <v>Suecia</v>
      </c>
      <c r="I119" s="9" t="str">
        <f ca="1">+WORLDCUP!BD69</f>
        <v>Ghana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Estados Unidos</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Estados Unidos</v>
      </c>
      <c r="G121" s="9" t="str">
        <f ca="1">+WORLDCUP!BD65</f>
        <v>Arabia Saudita</v>
      </c>
      <c r="H121" s="9" t="str">
        <f ca="1">+WORLDCUP!BD63</f>
        <v>Suecia</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Egipto</v>
      </c>
      <c r="E122" s="9" t="str">
        <f ca="1">+WORLDCUP!BD59</f>
        <v>Bosnia y Herzegovina</v>
      </c>
      <c r="F122" s="9" t="str">
        <f ca="1">+WORLDCUP!BD61</f>
        <v>Estados Unidos</v>
      </c>
      <c r="G122" s="9" t="str">
        <f ca="1">+WORLDCUP!BD67</f>
        <v>Argelia</v>
      </c>
      <c r="H122" s="9" t="str">
        <f ca="1">+WORLDCUP!BD63</f>
        <v>Suecia</v>
      </c>
      <c r="I122" s="9" t="str">
        <f ca="1">+WORLDCUP!BD69</f>
        <v>Ghana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Egipto</v>
      </c>
      <c r="E123" s="9" t="str">
        <f ca="1">+WORLDCUP!BD59</f>
        <v>Bosnia y Herzegovina</v>
      </c>
      <c r="F123" s="9" t="str">
        <f ca="1">+WORLDCUP!BD61</f>
        <v>Estados Unidos</v>
      </c>
      <c r="G123" s="9" t="str">
        <f ca="1">+WORLDCUP!BD66</f>
        <v>Senegal</v>
      </c>
      <c r="H123" s="9" t="str">
        <f ca="1">+WORLDCUP!BD63</f>
        <v>Suecia</v>
      </c>
      <c r="I123" s="9" t="str">
        <f ca="1">+WORLDCUP!BD69</f>
        <v>Ghana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Egipto</v>
      </c>
      <c r="E124" s="9" t="str">
        <f ca="1">+WORLDCUP!BD59</f>
        <v>Bosnia y Herzegovina</v>
      </c>
      <c r="F124" s="9" t="str">
        <f ca="1">+WORLDCUP!BD61</f>
        <v>Estados Unidos</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Egipto</v>
      </c>
      <c r="E125" s="9" t="str">
        <f ca="1">+WORLDCUP!BD59</f>
        <v>Bosnia y Herzegovina</v>
      </c>
      <c r="F125" s="9" t="str">
        <f ca="1">+WORLDCUP!BD61</f>
        <v>Estados Unidos</v>
      </c>
      <c r="G125" s="9" t="str">
        <f ca="1">+WORLDCUP!BD67</f>
        <v>Argelia</v>
      </c>
      <c r="H125" s="9" t="str">
        <f ca="1">+WORLDCUP!BD63</f>
        <v>Suecia</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Egipto</v>
      </c>
      <c r="E126" s="9" t="str">
        <f ca="1">+WORLDCUP!BD59</f>
        <v>Bosnia y Herzegovina</v>
      </c>
      <c r="F126" s="9" t="str">
        <f ca="1">+WORLDCUP!BD61</f>
        <v>Estados Unidos</v>
      </c>
      <c r="G126" s="9" t="str">
        <f ca="1">+WORLDCUP!BD65</f>
        <v>Arabia Saudita</v>
      </c>
      <c r="H126" s="9" t="str">
        <f ca="1">+WORLDCUP!BD63</f>
        <v>Suecia</v>
      </c>
      <c r="I126" s="9" t="str">
        <f ca="1">+WORLDCUP!BD69</f>
        <v>Ghana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Egipto</v>
      </c>
      <c r="E127" s="9" t="str">
        <f ca="1">+WORLDCUP!BD59</f>
        <v>Bosnia y Herzegovina</v>
      </c>
      <c r="F127" s="9" t="str">
        <f ca="1">+WORLDCUP!BD61</f>
        <v>Estados Unidos</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Egipto</v>
      </c>
      <c r="E128" s="9" t="str">
        <f ca="1">+WORLDCUP!BD59</f>
        <v>Bosnia y Herzegovina</v>
      </c>
      <c r="F128" s="9" t="str">
        <f ca="1">+WORLDCUP!BD60</f>
        <v>Escocia</v>
      </c>
      <c r="G128" s="9" t="str">
        <f ca="1">+WORLDCUP!BD67</f>
        <v>Argelia</v>
      </c>
      <c r="H128" s="9" t="str">
        <f ca="1">+WORLDCUP!BD63</f>
        <v>Suecia</v>
      </c>
      <c r="I128" s="9" t="str">
        <f ca="1">+WORLDCUP!BD61</f>
        <v>Estados Unidos</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Egipto</v>
      </c>
      <c r="E129" s="9" t="str">
        <f ca="1">+WORLDCUP!BD59</f>
        <v>Bosnia y Herzegovina</v>
      </c>
      <c r="F129" s="9" t="str">
        <f ca="1">+WORLDCUP!BD61</f>
        <v>Estados Unidos</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Egipto</v>
      </c>
      <c r="E130" s="9" t="str">
        <f ca="1">+WORLDCUP!BD59</f>
        <v>Bosnia y Herzegovina</v>
      </c>
      <c r="F130" s="9" t="str">
        <f ca="1">+WORLDCUP!BD61</f>
        <v>Estados Unidos</v>
      </c>
      <c r="G130" s="9" t="str">
        <f ca="1">+WORLDCUP!BD65</f>
        <v>Arabia Saudita</v>
      </c>
      <c r="H130" s="9" t="str">
        <f ca="1">+WORLDCUP!BD63</f>
        <v>Suecia</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Egipto</v>
      </c>
      <c r="E131" s="9" t="str">
        <f ca="1">+WORLDCUP!BD59</f>
        <v>Bosnia y Herzegovina</v>
      </c>
      <c r="F131" s="9" t="str">
        <f ca="1">+WORLDCUP!BD60</f>
        <v>Escocia</v>
      </c>
      <c r="G131" s="9" t="str">
        <f ca="1">+WORLDCUP!BD67</f>
        <v>Argelia</v>
      </c>
      <c r="H131" s="9" t="str">
        <f ca="1">+WORLDCUP!BD63</f>
        <v>Suecia</v>
      </c>
      <c r="I131" s="9" t="str">
        <f ca="1">+WORLDCUP!BD61</f>
        <v>Estados Unidos</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Estados Unidos</v>
      </c>
      <c r="I132" s="9" t="str">
        <f ca="1">+WORLDCUP!BD69</f>
        <v>Ghana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Arabia Saudita</v>
      </c>
      <c r="H133" s="9" t="str">
        <f ca="1">+WORLDCUP!BD61</f>
        <v>Estados Unidos</v>
      </c>
      <c r="I133" s="9" t="str">
        <f ca="1">+WORLDCUP!BD69</f>
        <v>Ghana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Estados Unidos</v>
      </c>
      <c r="I134" s="9" t="str">
        <f ca="1">+WORLDCUP!BD69</f>
        <v>Ghana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Arabia Saudita</v>
      </c>
      <c r="H135" s="9" t="str">
        <f ca="1">+WORLDCUP!BD61</f>
        <v>Estados Unidos</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Arabia Saudita</v>
      </c>
      <c r="H136" s="9" t="str">
        <f ca="1">+WORLDCUP!BD61</f>
        <v>Estados Unidos</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Egipto</v>
      </c>
      <c r="E137" s="9" t="str">
        <f ca="1">+WORLDCUP!BD59</f>
        <v>Bosnia y Herzegovina</v>
      </c>
      <c r="F137" s="9" t="str">
        <f ca="1">+WORLDCUP!BD60</f>
        <v>Escocia</v>
      </c>
      <c r="G137" s="9" t="str">
        <f ca="1">+WORLDCUP!BD67</f>
        <v>Argelia</v>
      </c>
      <c r="H137" s="9" t="str">
        <f ca="1">+WORLDCUP!BD61</f>
        <v>Estados Unidos</v>
      </c>
      <c r="I137" s="9" t="str">
        <f ca="1">+WORLDCUP!BD69</f>
        <v>Ghana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Egipto</v>
      </c>
      <c r="E138" s="9" t="str">
        <f ca="1">+WORLDCUP!BD59</f>
        <v>Bosnia y Herzegovina</v>
      </c>
      <c r="F138" s="9" t="str">
        <f ca="1">+WORLDCUP!BD60</f>
        <v>Escocia</v>
      </c>
      <c r="G138" s="9" t="str">
        <f ca="1">+WORLDCUP!BD66</f>
        <v>Senegal</v>
      </c>
      <c r="H138" s="9" t="str">
        <f ca="1">+WORLDCUP!BD61</f>
        <v>Estados Unidos</v>
      </c>
      <c r="I138" s="9" t="str">
        <f ca="1">+WORLDCUP!BD69</f>
        <v>Ghana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Egipto</v>
      </c>
      <c r="E139" s="9" t="str">
        <f ca="1">+WORLDCUP!BD59</f>
        <v>Bosnia y Herzegovina</v>
      </c>
      <c r="F139" s="9" t="str">
        <f ca="1">+WORLDCUP!BD60</f>
        <v>Escocia</v>
      </c>
      <c r="G139" s="9" t="str">
        <f ca="1">+WORLDCUP!BD67</f>
        <v>Argelia</v>
      </c>
      <c r="H139" s="9" t="str">
        <f ca="1">+WORLDCUP!BD61</f>
        <v>Estados Unidos</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Egipto</v>
      </c>
      <c r="E140" s="9" t="str">
        <f ca="1">+WORLDCUP!BD59</f>
        <v>Bosnia y Herzegovina</v>
      </c>
      <c r="F140" s="9" t="str">
        <f ca="1">+WORLDCUP!BD60</f>
        <v>Escocia</v>
      </c>
      <c r="G140" s="9" t="str">
        <f ca="1">+WORLDCUP!BD67</f>
        <v>Argelia</v>
      </c>
      <c r="H140" s="9" t="str">
        <f ca="1">+WORLDCUP!BD61</f>
        <v>Estados Unidos</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Egipto</v>
      </c>
      <c r="E141" s="9" t="str">
        <f ca="1">+WORLDCUP!BD59</f>
        <v>Bosnia y Herzegovina</v>
      </c>
      <c r="F141" s="9" t="str">
        <f ca="1">+WORLDCUP!BD60</f>
        <v>Escocia</v>
      </c>
      <c r="G141" s="9" t="str">
        <f ca="1">+WORLDCUP!BD65</f>
        <v>Arabia Saudita</v>
      </c>
      <c r="H141" s="9" t="str">
        <f ca="1">+WORLDCUP!BD61</f>
        <v>Estados Unidos</v>
      </c>
      <c r="I141" s="9" t="str">
        <f ca="1">+WORLDCUP!BD69</f>
        <v>Ghana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Egipto</v>
      </c>
      <c r="E142" s="9" t="str">
        <f ca="1">+WORLDCUP!BD59</f>
        <v>Bosnia y Herzegovina</v>
      </c>
      <c r="F142" s="9" t="str">
        <f ca="1">+WORLDCUP!BD60</f>
        <v>Escocia</v>
      </c>
      <c r="G142" s="9" t="str">
        <f ca="1">+WORLDCUP!BD67</f>
        <v>Argelia</v>
      </c>
      <c r="H142" s="9" t="str">
        <f ca="1">+WORLDCUP!BD61</f>
        <v>Estados Unidos</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Egipto</v>
      </c>
      <c r="E143" s="9" t="str">
        <f ca="1">+WORLDCUP!BD59</f>
        <v>Bosnia y Herzegovina</v>
      </c>
      <c r="F143" s="9" t="str">
        <f ca="1">+WORLDCUP!BD60</f>
        <v>Escocia</v>
      </c>
      <c r="G143" s="9" t="str">
        <f ca="1">+WORLDCUP!BD67</f>
        <v>Argelia</v>
      </c>
      <c r="H143" s="9" t="str">
        <f ca="1">+WORLDCUP!BD61</f>
        <v>Estados Unidos</v>
      </c>
      <c r="I143" s="9" t="str">
        <f ca="1">+WORLDCUP!BD62</f>
        <v>Ecuador</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Egipto</v>
      </c>
      <c r="E144" s="9" t="str">
        <f ca="1">+WORLDCUP!BD59</f>
        <v>Bosnia y Herzegovina</v>
      </c>
      <c r="F144" s="9" t="str">
        <f ca="1">+WORLDCUP!BD60</f>
        <v>Escocia</v>
      </c>
      <c r="G144" s="9" t="str">
        <f ca="1">+WORLDCUP!BD65</f>
        <v>Arabia Saudita</v>
      </c>
      <c r="H144" s="9" t="str">
        <f ca="1">+WORLDCUP!BD61</f>
        <v>Estados Unidos</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Egipto</v>
      </c>
      <c r="E145" s="9" t="str">
        <f ca="1">+WORLDCUP!BD59</f>
        <v>Bosnia y Herzegovina</v>
      </c>
      <c r="F145" s="9" t="str">
        <f ca="1">+WORLDCUP!BD60</f>
        <v>Escocia</v>
      </c>
      <c r="G145" s="9" t="str">
        <f ca="1">+WORLDCUP!BD65</f>
        <v>Arabia Saudita</v>
      </c>
      <c r="H145" s="9" t="str">
        <f ca="1">+WORLDCUP!BD61</f>
        <v>Estados Unidos</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Egipto</v>
      </c>
      <c r="E146" s="9" t="str">
        <f ca="1">+WORLDCUP!BD59</f>
        <v>Bosnia y Herzegovina</v>
      </c>
      <c r="F146" s="9" t="str">
        <f ca="1">+WORLDCUP!BD60</f>
        <v>Escocia</v>
      </c>
      <c r="G146" s="9" t="str">
        <f ca="1">+WORLDCUP!BD67</f>
        <v>Argelia</v>
      </c>
      <c r="H146" s="9" t="str">
        <f ca="1">+WORLDCUP!BD61</f>
        <v>Estados Unidos</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Estados Unidos</v>
      </c>
      <c r="G147" s="9" t="str">
        <f ca="1">+WORLDCUP!BD62</f>
        <v>Ecuador</v>
      </c>
      <c r="H147" s="9" t="str">
        <f ca="1">+WORLDCUP!BD63</f>
        <v>Suecia</v>
      </c>
      <c r="I147" s="9" t="str">
        <f ca="1">+WORLDCUP!BD69</f>
        <v>Ghana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Estados Unidos</v>
      </c>
      <c r="G148" s="9" t="str">
        <f ca="1">+WORLDCUP!BD66</f>
        <v>Senegal</v>
      </c>
      <c r="H148" s="9" t="str">
        <f ca="1">+WORLDCUP!BD63</f>
        <v>Suecia</v>
      </c>
      <c r="I148" s="9" t="str">
        <f ca="1">+WORLDCUP!BD69</f>
        <v>Ghana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Estados Unidos</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Estados Unidos</v>
      </c>
      <c r="G150" s="9" t="str">
        <f ca="1">+WORLDCUP!BD62</f>
        <v>Ecuador</v>
      </c>
      <c r="H150" s="9" t="str">
        <f ca="1">+WORLDCUP!BD63</f>
        <v>Suecia</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Estados Unidos</v>
      </c>
      <c r="G151" s="9" t="str">
        <f ca="1">+WORLDCUP!BD65</f>
        <v>Arabia Saudita</v>
      </c>
      <c r="H151" s="9" t="str">
        <f ca="1">+WORLDCUP!BD63</f>
        <v>Suecia</v>
      </c>
      <c r="I151" s="9" t="str">
        <f ca="1">+WORLDCUP!BD69</f>
        <v>Ghana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Estados Unidos</v>
      </c>
      <c r="G152" s="9" t="str">
        <f ca="1">+WORLDCUP!BD65</f>
        <v>Arabia Saudita</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Estados Unidos</v>
      </c>
      <c r="G153" s="9" t="str">
        <f ca="1">+WORLDCUP!BD65</f>
        <v>Arabia Saudita</v>
      </c>
      <c r="H153" s="9" t="str">
        <f ca="1">+WORLDCUP!BD63</f>
        <v>Suecia</v>
      </c>
      <c r="I153" s="9" t="str">
        <f ca="1">+WORLDCUP!BD62</f>
        <v>Ecuador</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Estados Unidos</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Estados Unidos</v>
      </c>
      <c r="G155" s="9" t="str">
        <f ca="1">+WORLDCUP!BD65</f>
        <v>Arabia Saudita</v>
      </c>
      <c r="H155" s="9" t="str">
        <f ca="1">+WORLDCUP!BD63</f>
        <v>Suecia</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Estados Unidos</v>
      </c>
      <c r="G156" s="9" t="str">
        <f ca="1">+WORLDCUP!BD65</f>
        <v>Arabia Saudita</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Bosnia y Herzegovina</v>
      </c>
      <c r="F157" s="9" t="str">
        <f ca="1">+WORLDCUP!BD61</f>
        <v>Estados Unidos</v>
      </c>
      <c r="G157" s="9" t="str">
        <f ca="1">+WORLDCUP!BD62</f>
        <v>Ecuador</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Bosnia y Herzegovina</v>
      </c>
      <c r="F158" s="9" t="str">
        <f ca="1">+WORLDCUP!BD61</f>
        <v>Estados Unidos</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Bosnia y Herzegovina</v>
      </c>
      <c r="F159" s="9" t="str">
        <f ca="1">+WORLDCUP!BD61</f>
        <v>Estados Unidos</v>
      </c>
      <c r="G159" s="9" t="str">
        <f ca="1">+WORLDCUP!BD67</f>
        <v>Argelia</v>
      </c>
      <c r="H159" s="9" t="str">
        <f ca="1">+WORLDCUP!BD63</f>
        <v>Suecia</v>
      </c>
      <c r="I159" s="9" t="str">
        <f ca="1">+WORLDCUP!BD62</f>
        <v>Ecuador</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Bosnia y Herzegovina</v>
      </c>
      <c r="F160" s="9" t="str">
        <f ca="1">+WORLDCUP!BD61</f>
        <v>Estados Unidos</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Bosnia y Herzegovina</v>
      </c>
      <c r="F161" s="9" t="str">
        <f ca="1">+WORLDCUP!BD61</f>
        <v>Estados Unidos</v>
      </c>
      <c r="G161" s="9" t="str">
        <f ca="1">+WORLDCUP!BD62</f>
        <v>Ecuador</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Bosnia y Herzegovina</v>
      </c>
      <c r="F162" s="9" t="str">
        <f ca="1">+WORLDCUP!BD61</f>
        <v>Estados Unidos</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Bosnia y Herzegovina</v>
      </c>
      <c r="F163" s="9" t="str">
        <f ca="1">+WORLDCUP!BD61</f>
        <v>Estados Unidos</v>
      </c>
      <c r="G163" s="9" t="str">
        <f ca="1">+WORLDCUP!BD65</f>
        <v>Arabia Saudita</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Bosnia y Herzegovina</v>
      </c>
      <c r="F164" s="9" t="str">
        <f ca="1">+WORLDCUP!BD61</f>
        <v>Estados Unidos</v>
      </c>
      <c r="G164" s="9" t="str">
        <f ca="1">+WORLDCUP!BD65</f>
        <v>Arabia Saudita</v>
      </c>
      <c r="H164" s="9" t="str">
        <f ca="1">+WORLDCUP!BD63</f>
        <v>Suecia</v>
      </c>
      <c r="I164" s="9" t="str">
        <f ca="1">+WORLDCUP!BD62</f>
        <v>Ecuador</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Bosnia y Herzegovina</v>
      </c>
      <c r="F165" s="9" t="str">
        <f ca="1">+WORLDCUP!BD60</f>
        <v>Escocia</v>
      </c>
      <c r="G165" s="9" t="str">
        <f ca="1">+WORLDCUP!BD67</f>
        <v>Argelia</v>
      </c>
      <c r="H165" s="9" t="str">
        <f ca="1">+WORLDCUP!BD63</f>
        <v>Suecia</v>
      </c>
      <c r="I165" s="9" t="str">
        <f ca="1">+WORLDCUP!BD61</f>
        <v>Estados Unidos</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Bosnia y Herzegovina</v>
      </c>
      <c r="F166" s="9" t="str">
        <f ca="1">+WORLDCUP!BD61</f>
        <v>Estados Unidos</v>
      </c>
      <c r="G166" s="9" t="str">
        <f ca="1">+WORLDCUP!BD65</f>
        <v>Arabia Saudita</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Egipto</v>
      </c>
      <c r="I167" s="9" t="str">
        <f ca="1">+WORLDCUP!BD69</f>
        <v>Ghana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República Checa</v>
      </c>
      <c r="G168" s="9" t="str">
        <f ca="1">+WORLDCUP!BD65</f>
        <v>Arabia Saudita</v>
      </c>
      <c r="H168" s="9" t="str">
        <f ca="1">+WORLDCUP!BD64</f>
        <v>Egipto</v>
      </c>
      <c r="I168" s="9" t="str">
        <f ca="1">+WORLDCUP!BD69</f>
        <v>Ghana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República Checa</v>
      </c>
      <c r="H170" s="9" t="str">
        <f ca="1">+WORLDCUP!BD64</f>
        <v>Egipto</v>
      </c>
      <c r="I170" s="9" t="str">
        <f ca="1">+WORLDCUP!BD69</f>
        <v>Ghana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Egipto</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Egipto</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Egipto</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Egipto</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Estados Unidos</v>
      </c>
      <c r="G175" s="9" t="str">
        <f ca="1">+WORLDCUP!BD58</f>
        <v>República Checa</v>
      </c>
      <c r="H175" s="9" t="str">
        <f ca="1">+WORLDCUP!BD64</f>
        <v>Egipto</v>
      </c>
      <c r="I175" s="9" t="str">
        <f ca="1">+WORLDCUP!BD69</f>
        <v>Ghana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Estados Unidos</v>
      </c>
      <c r="G176" s="9" t="str">
        <f ca="1">+WORLDCUP!BD58</f>
        <v>República Checa</v>
      </c>
      <c r="H176" s="9" t="str">
        <f ca="1">+WORLDCUP!BD63</f>
        <v>Suecia</v>
      </c>
      <c r="I176" s="9" t="str">
        <f ca="1">+WORLDCUP!BD69</f>
        <v>Ghana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Egipto</v>
      </c>
      <c r="E177" s="9" t="str">
        <f ca="1">+WORLDCUP!BD67</f>
        <v>Argelia</v>
      </c>
      <c r="F177" s="9" t="str">
        <f ca="1">+WORLDCUP!BD61</f>
        <v>Estados Unidos</v>
      </c>
      <c r="G177" s="9" t="str">
        <f ca="1">+WORLDCUP!BD58</f>
        <v>República Checa</v>
      </c>
      <c r="H177" s="9" t="str">
        <f ca="1">+WORLDCUP!BD63</f>
        <v>Suecia</v>
      </c>
      <c r="I177" s="9" t="str">
        <f ca="1">+WORLDCUP!BD69</f>
        <v>Ghana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Egipto</v>
      </c>
      <c r="E178" s="9" t="str">
        <f ca="1">+WORLDCUP!BD67</f>
        <v>Argelia</v>
      </c>
      <c r="F178" s="9" t="str">
        <f ca="1">+WORLDCUP!BD61</f>
        <v>Estados Unidos</v>
      </c>
      <c r="G178" s="9" t="str">
        <f ca="1">+WORLDCUP!BD58</f>
        <v>República Checa</v>
      </c>
      <c r="H178" s="9" t="str">
        <f ca="1">+WORLDCUP!BD63</f>
        <v>Suecia</v>
      </c>
      <c r="I178" s="9" t="str">
        <f ca="1">+WORLDCUP!BD69</f>
        <v>Ghana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Egipto</v>
      </c>
      <c r="E179" s="9" t="str">
        <f ca="1">+WORLDCUP!BD66</f>
        <v>Senegal</v>
      </c>
      <c r="F179" s="9" t="str">
        <f ca="1">+WORLDCUP!BD61</f>
        <v>Estados Unidos</v>
      </c>
      <c r="G179" s="9" t="str">
        <f ca="1">+WORLDCUP!BD58</f>
        <v>República Checa</v>
      </c>
      <c r="H179" s="9" t="str">
        <f ca="1">+WORLDCUP!BD63</f>
        <v>Suecia</v>
      </c>
      <c r="I179" s="9" t="str">
        <f ca="1">+WORLDCUP!BD69</f>
        <v>Ghana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Egipto</v>
      </c>
      <c r="E180" s="9" t="str">
        <f ca="1">+WORLDCUP!BD67</f>
        <v>Argelia</v>
      </c>
      <c r="F180" s="9" t="str">
        <f ca="1">+WORLDCUP!BD61</f>
        <v>Estados Unidos</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Egipto</v>
      </c>
      <c r="E181" s="9" t="str">
        <f ca="1">+WORLDCUP!BD67</f>
        <v>Argelia</v>
      </c>
      <c r="F181" s="9" t="str">
        <f ca="1">+WORLDCUP!BD61</f>
        <v>Estados Unidos</v>
      </c>
      <c r="G181" s="9" t="str">
        <f ca="1">+WORLDCUP!BD58</f>
        <v>República Checa</v>
      </c>
      <c r="H181" s="9" t="str">
        <f ca="1">+WORLDCUP!BD63</f>
        <v>Suecia</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Estados Unidos</v>
      </c>
      <c r="G182" s="9" t="str">
        <f ca="1">+WORLDCUP!BD58</f>
        <v>República Checa</v>
      </c>
      <c r="H182" s="9" t="str">
        <f ca="1">+WORLDCUP!BD65</f>
        <v>Arabia Saudita</v>
      </c>
      <c r="I182" s="9" t="str">
        <f ca="1">+WORLDCUP!BD69</f>
        <v>Ghana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Estados Unidos</v>
      </c>
      <c r="G183" s="9" t="str">
        <f ca="1">+WORLDCUP!BD58</f>
        <v>República Checa</v>
      </c>
      <c r="H183" s="9" t="str">
        <f ca="1">+WORLDCUP!BD64</f>
        <v>Egipto</v>
      </c>
      <c r="I183" s="9" t="str">
        <f ca="1">+WORLDCUP!BD69</f>
        <v>Ghana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Egipto</v>
      </c>
      <c r="E184" s="9" t="str">
        <f ca="1">+WORLDCUP!BD67</f>
        <v>Argelia</v>
      </c>
      <c r="F184" s="9" t="str">
        <f ca="1">+WORLDCUP!BD61</f>
        <v>Estados Unidos</v>
      </c>
      <c r="G184" s="9" t="str">
        <f ca="1">+WORLDCUP!BD58</f>
        <v>República Checa</v>
      </c>
      <c r="H184" s="9" t="str">
        <f ca="1">+WORLDCUP!BD65</f>
        <v>Arabia Saudita</v>
      </c>
      <c r="I184" s="9" t="str">
        <f ca="1">+WORLDCUP!BD69</f>
        <v>Ghana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Egipto</v>
      </c>
      <c r="E185" s="9" t="str">
        <f ca="1">+WORLDCUP!BD66</f>
        <v>Senegal</v>
      </c>
      <c r="F185" s="9" t="str">
        <f ca="1">+WORLDCUP!BD61</f>
        <v>Estados Unidos</v>
      </c>
      <c r="G185" s="9" t="str">
        <f ca="1">+WORLDCUP!BD58</f>
        <v>República Checa</v>
      </c>
      <c r="H185" s="9" t="str">
        <f ca="1">+WORLDCUP!BD65</f>
        <v>Arabia Saudita</v>
      </c>
      <c r="I185" s="9" t="str">
        <f ca="1">+WORLDCUP!BD69</f>
        <v>Ghana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Egipto</v>
      </c>
      <c r="E186" s="9" t="str">
        <f ca="1">+WORLDCUP!BD67</f>
        <v>Argelia</v>
      </c>
      <c r="F186" s="9" t="str">
        <f ca="1">+WORLDCUP!BD61</f>
        <v>Estados Unidos</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Egipto</v>
      </c>
      <c r="E187" s="9" t="str">
        <f ca="1">+WORLDCUP!BD67</f>
        <v>Argelia</v>
      </c>
      <c r="F187" s="9" t="str">
        <f ca="1">+WORLDCUP!BD61</f>
        <v>Estados Unidos</v>
      </c>
      <c r="G187" s="9" t="str">
        <f ca="1">+WORLDCUP!BD58</f>
        <v>República Checa</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Estados Unidos</v>
      </c>
      <c r="G188" s="9" t="str">
        <f ca="1">+WORLDCUP!BD58</f>
        <v>República Checa</v>
      </c>
      <c r="H188" s="9" t="str">
        <f ca="1">+WORLDCUP!BD63</f>
        <v>Suecia</v>
      </c>
      <c r="I188" s="9" t="str">
        <f ca="1">+WORLDCUP!BD69</f>
        <v>Ghana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Ecuador</v>
      </c>
      <c r="F189" s="9" t="str">
        <f ca="1">+WORLDCUP!BD61</f>
        <v>Estados Unidos</v>
      </c>
      <c r="G189" s="9" t="str">
        <f ca="1">+WORLDCUP!BD58</f>
        <v>República Checa</v>
      </c>
      <c r="H189" s="9" t="str">
        <f ca="1">+WORLDCUP!BD63</f>
        <v>Suecia</v>
      </c>
      <c r="I189" s="9" t="str">
        <f ca="1">+WORLDCUP!BD69</f>
        <v>Ghana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Ecuador</v>
      </c>
      <c r="E190" s="9" t="str">
        <f ca="1">+WORLDCUP!BD66</f>
        <v>Senegal</v>
      </c>
      <c r="F190" s="9" t="str">
        <f ca="1">+WORLDCUP!BD61</f>
        <v>Estados Unidos</v>
      </c>
      <c r="G190" s="9" t="str">
        <f ca="1">+WORLDCUP!BD58</f>
        <v>República Checa</v>
      </c>
      <c r="H190" s="9" t="str">
        <f ca="1">+WORLDCUP!BD63</f>
        <v>Suecia</v>
      </c>
      <c r="I190" s="9" t="str">
        <f ca="1">+WORLDCUP!BD69</f>
        <v>Ghana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Ecuador</v>
      </c>
      <c r="F191" s="9" t="str">
        <f ca="1">+WORLDCUP!BD61</f>
        <v>Estados Unidos</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Ecuador</v>
      </c>
      <c r="F192" s="9" t="str">
        <f ca="1">+WORLDCUP!BD61</f>
        <v>Estados Unidos</v>
      </c>
      <c r="G192" s="9" t="str">
        <f ca="1">+WORLDCUP!BD58</f>
        <v>República Checa</v>
      </c>
      <c r="H192" s="9" t="str">
        <f ca="1">+WORLDCUP!BD63</f>
        <v>Suecia</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Egipto</v>
      </c>
      <c r="E193" s="9" t="str">
        <f ca="1">+WORLDCUP!BD67</f>
        <v>Argelia</v>
      </c>
      <c r="F193" s="9" t="str">
        <f ca="1">+WORLDCUP!BD61</f>
        <v>Estados Unidos</v>
      </c>
      <c r="G193" s="9" t="str">
        <f ca="1">+WORLDCUP!BD58</f>
        <v>República Checa</v>
      </c>
      <c r="H193" s="9" t="str">
        <f ca="1">+WORLDCUP!BD63</f>
        <v>Suecia</v>
      </c>
      <c r="I193" s="9" t="str">
        <f ca="1">+WORLDCUP!BD69</f>
        <v>Ghana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Egipto</v>
      </c>
      <c r="E194" s="9" t="str">
        <f ca="1">+WORLDCUP!BD66</f>
        <v>Senegal</v>
      </c>
      <c r="F194" s="9" t="str">
        <f ca="1">+WORLDCUP!BD61</f>
        <v>Estados Unidos</v>
      </c>
      <c r="G194" s="9" t="str">
        <f ca="1">+WORLDCUP!BD58</f>
        <v>República Checa</v>
      </c>
      <c r="H194" s="9" t="str">
        <f ca="1">+WORLDCUP!BD63</f>
        <v>Suecia</v>
      </c>
      <c r="I194" s="9" t="str">
        <f ca="1">+WORLDCUP!BD69</f>
        <v>Ghana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Egipto</v>
      </c>
      <c r="E195" s="9" t="str">
        <f ca="1">+WORLDCUP!BD67</f>
        <v>Argelia</v>
      </c>
      <c r="F195" s="9" t="str">
        <f ca="1">+WORLDCUP!BD61</f>
        <v>Estados Unidos</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Egipto</v>
      </c>
      <c r="E196" s="9" t="str">
        <f ca="1">+WORLDCUP!BD67</f>
        <v>Argelia</v>
      </c>
      <c r="F196" s="9" t="str">
        <f ca="1">+WORLDCUP!BD61</f>
        <v>Estados Unidos</v>
      </c>
      <c r="G196" s="9" t="str">
        <f ca="1">+WORLDCUP!BD58</f>
        <v>República Checa</v>
      </c>
      <c r="H196" s="9" t="str">
        <f ca="1">+WORLDCUP!BD63</f>
        <v>Suecia</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Egipto</v>
      </c>
      <c r="E197" s="9" t="str">
        <f ca="1">+WORLDCUP!BD62</f>
        <v>Ecuador</v>
      </c>
      <c r="F197" s="9" t="str">
        <f ca="1">+WORLDCUP!BD61</f>
        <v>Estados Unidos</v>
      </c>
      <c r="G197" s="9" t="str">
        <f ca="1">+WORLDCUP!BD58</f>
        <v>República Checa</v>
      </c>
      <c r="H197" s="9" t="str">
        <f ca="1">+WORLDCUP!BD63</f>
        <v>Suecia</v>
      </c>
      <c r="I197" s="9" t="str">
        <f ca="1">+WORLDCUP!BD69</f>
        <v>Ghana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Egipto</v>
      </c>
      <c r="E198" s="9" t="str">
        <f ca="1">+WORLDCUP!BD67</f>
        <v>Argelia</v>
      </c>
      <c r="F198" s="9" t="str">
        <f ca="1">+WORLDCUP!BD61</f>
        <v>Estados Unidos</v>
      </c>
      <c r="G198" s="9" t="str">
        <f ca="1">+WORLDCUP!BD58</f>
        <v>República Checa</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Egipto</v>
      </c>
      <c r="E199" s="9" t="str">
        <f ca="1">+WORLDCUP!BD67</f>
        <v>Argelia</v>
      </c>
      <c r="F199" s="9" t="str">
        <f ca="1">+WORLDCUP!BD61</f>
        <v>Estados Unidos</v>
      </c>
      <c r="G199" s="9" t="str">
        <f ca="1">+WORLDCUP!BD58</f>
        <v>República Checa</v>
      </c>
      <c r="H199" s="9" t="str">
        <f ca="1">+WORLDCUP!BD63</f>
        <v>Suecia</v>
      </c>
      <c r="I199" s="9" t="str">
        <f ca="1">+WORLDCUP!BD62</f>
        <v>Ecuador</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Egipto</v>
      </c>
      <c r="E200" s="9" t="str">
        <f ca="1">+WORLDCUP!BD62</f>
        <v>Ecuador</v>
      </c>
      <c r="F200" s="9" t="str">
        <f ca="1">+WORLDCUP!BD61</f>
        <v>Estados Unidos</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Egipto</v>
      </c>
      <c r="E201" s="9" t="str">
        <f ca="1">+WORLDCUP!BD62</f>
        <v>Ecuador</v>
      </c>
      <c r="F201" s="9" t="str">
        <f ca="1">+WORLDCUP!BD61</f>
        <v>Estados Unidos</v>
      </c>
      <c r="G201" s="9" t="str">
        <f ca="1">+WORLDCUP!BD58</f>
        <v>República Checa</v>
      </c>
      <c r="H201" s="9" t="str">
        <f ca="1">+WORLDCUP!BD63</f>
        <v>Suecia</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Egipto</v>
      </c>
      <c r="E202" s="9" t="str">
        <f ca="1">+WORLDCUP!BD67</f>
        <v>Argelia</v>
      </c>
      <c r="F202" s="9" t="str">
        <f ca="1">+WORLDCUP!BD61</f>
        <v>Estados Unidos</v>
      </c>
      <c r="G202" s="9" t="str">
        <f ca="1">+WORLDCUP!BD58</f>
        <v>República Checa</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Egipto</v>
      </c>
      <c r="I203" s="9" t="str">
        <f ca="1">+WORLDCUP!BD69</f>
        <v>Ghana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Egipto</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Egipto</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Egipto</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Egipto</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Egipto</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República Checa</v>
      </c>
      <c r="H211" s="9" t="str">
        <f ca="1">+WORLDCUP!BD64</f>
        <v>Egipto</v>
      </c>
      <c r="I211" s="9" t="str">
        <f ca="1">+WORLDCUP!BD69</f>
        <v>Ghana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Egipto</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Egipto</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Egipto</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Egipto</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República Checa</v>
      </c>
      <c r="H217" s="9" t="str">
        <f ca="1">+WORLDCUP!BD63</f>
        <v>Suecia</v>
      </c>
      <c r="I217" s="9" t="str">
        <f ca="1">+WORLDCUP!BD69</f>
        <v>Ghana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República Checa</v>
      </c>
      <c r="H220" s="9" t="str">
        <f ca="1">+WORLDCUP!BD63</f>
        <v>Suecia</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Egipto</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Egipto</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Egipto</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Egipto</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Egipto</v>
      </c>
      <c r="E225" s="9" t="str">
        <f ca="1">+WORLDCUP!BD62</f>
        <v>Ecuador</v>
      </c>
      <c r="F225" s="9" t="str">
        <f ca="1">+WORLDCUP!BD60</f>
        <v>Escocia</v>
      </c>
      <c r="G225" s="9" t="str">
        <f ca="1">+WORLDCUP!BD58</f>
        <v>República Checa</v>
      </c>
      <c r="H225" s="9" t="str">
        <f ca="1">+WORLDCUP!BD63</f>
        <v>Suecia</v>
      </c>
      <c r="I225" s="9" t="str">
        <f ca="1">+WORLDCUP!BD69</f>
        <v>Ghana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Egipto</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Egipto</v>
      </c>
      <c r="E227" s="9" t="str">
        <f ca="1">+WORLDCUP!BD67</f>
        <v>Argelia</v>
      </c>
      <c r="F227" s="9" t="str">
        <f ca="1">+WORLDCUP!BD60</f>
        <v>Escocia</v>
      </c>
      <c r="G227" s="9" t="str">
        <f ca="1">+WORLDCUP!BD58</f>
        <v>República Checa</v>
      </c>
      <c r="H227" s="9" t="str">
        <f ca="1">+WORLDCUP!BD63</f>
        <v>Suecia</v>
      </c>
      <c r="I227" s="9" t="str">
        <f ca="1">+WORLDCUP!BD62</f>
        <v>Ecuador</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Egipto</v>
      </c>
      <c r="E228" s="9" t="str">
        <f ca="1">+WORLDCUP!BD62</f>
        <v>Ecuador</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Egipto</v>
      </c>
      <c r="E229" s="9" t="str">
        <f ca="1">+WORLDCUP!BD62</f>
        <v>Ecuador</v>
      </c>
      <c r="F229" s="9" t="str">
        <f ca="1">+WORLDCUP!BD60</f>
        <v>Escocia</v>
      </c>
      <c r="G229" s="9" t="str">
        <f ca="1">+WORLDCUP!BD58</f>
        <v>República Checa</v>
      </c>
      <c r="H229" s="9" t="str">
        <f ca="1">+WORLDCUP!BD63</f>
        <v>Suecia</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Egipto</v>
      </c>
      <c r="E230" s="9" t="str">
        <f ca="1">+WORLDCUP!BD67</f>
        <v>Argelia</v>
      </c>
      <c r="F230" s="9" t="str">
        <f ca="1">+WORLDCUP!BD60</f>
        <v>Escocia</v>
      </c>
      <c r="G230" s="9" t="str">
        <f ca="1">+WORLDCUP!BD58</f>
        <v>República Checa</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Estados Unidos</v>
      </c>
      <c r="I231" s="9" t="str">
        <f ca="1">+WORLDCUP!BD69</f>
        <v>Ghana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Egipto</v>
      </c>
      <c r="E232" s="9" t="str">
        <f ca="1">+WORLDCUP!BD67</f>
        <v>Argelia</v>
      </c>
      <c r="F232" s="9" t="str">
        <f ca="1">+WORLDCUP!BD60</f>
        <v>Escocia</v>
      </c>
      <c r="G232" s="9" t="str">
        <f ca="1">+WORLDCUP!BD58</f>
        <v>República Checa</v>
      </c>
      <c r="H232" s="9" t="str">
        <f ca="1">+WORLDCUP!BD61</f>
        <v>Estados Unidos</v>
      </c>
      <c r="I232" s="9" t="str">
        <f ca="1">+WORLDCUP!BD69</f>
        <v>Ghana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Egipto</v>
      </c>
      <c r="E233" s="9" t="str">
        <f ca="1">+WORLDCUP!BD67</f>
        <v>Argelia</v>
      </c>
      <c r="F233" s="9" t="str">
        <f ca="1">+WORLDCUP!BD60</f>
        <v>Escocia</v>
      </c>
      <c r="G233" s="9" t="str">
        <f ca="1">+WORLDCUP!BD58</f>
        <v>República Checa</v>
      </c>
      <c r="H233" s="9" t="str">
        <f ca="1">+WORLDCUP!BD61</f>
        <v>Estados Unidos</v>
      </c>
      <c r="I233" s="9" t="str">
        <f ca="1">+WORLDCUP!BD69</f>
        <v>Ghana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Egipto</v>
      </c>
      <c r="E234" s="9" t="str">
        <f ca="1">+WORLDCUP!BD66</f>
        <v>Senegal</v>
      </c>
      <c r="F234" s="9" t="str">
        <f ca="1">+WORLDCUP!BD60</f>
        <v>Escocia</v>
      </c>
      <c r="G234" s="9" t="str">
        <f ca="1">+WORLDCUP!BD58</f>
        <v>República Checa</v>
      </c>
      <c r="H234" s="9" t="str">
        <f ca="1">+WORLDCUP!BD61</f>
        <v>Estados Unidos</v>
      </c>
      <c r="I234" s="9" t="str">
        <f ca="1">+WORLDCUP!BD69</f>
        <v>Ghana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Egipto</v>
      </c>
      <c r="E235" s="9" t="str">
        <f ca="1">+WORLDCUP!BD67</f>
        <v>Argelia</v>
      </c>
      <c r="F235" s="9" t="str">
        <f ca="1">+WORLDCUP!BD60</f>
        <v>Escocia</v>
      </c>
      <c r="G235" s="9" t="str">
        <f ca="1">+WORLDCUP!BD58</f>
        <v>República Checa</v>
      </c>
      <c r="H235" s="9" t="str">
        <f ca="1">+WORLDCUP!BD61</f>
        <v>Estados Unidos</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Egipto</v>
      </c>
      <c r="E236" s="9" t="str">
        <f ca="1">+WORLDCUP!BD67</f>
        <v>Argelia</v>
      </c>
      <c r="F236" s="9" t="str">
        <f ca="1">+WORLDCUP!BD60</f>
        <v>Escocia</v>
      </c>
      <c r="G236" s="9" t="str">
        <f ca="1">+WORLDCUP!BD58</f>
        <v>República Checa</v>
      </c>
      <c r="H236" s="9" t="str">
        <f ca="1">+WORLDCUP!BD61</f>
        <v>Estados Unidos</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Estados Unidos</v>
      </c>
      <c r="G237" s="9" t="str">
        <f ca="1">+WORLDCUP!BD58</f>
        <v>República Checa</v>
      </c>
      <c r="H237" s="9" t="str">
        <f ca="1">+WORLDCUP!BD63</f>
        <v>Suecia</v>
      </c>
      <c r="I237" s="9" t="str">
        <f ca="1">+WORLDCUP!BD69</f>
        <v>Ghana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Estados Unidos</v>
      </c>
      <c r="I238" s="9" t="str">
        <f ca="1">+WORLDCUP!BD69</f>
        <v>Ghana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Estados Unidos</v>
      </c>
      <c r="I239" s="9" t="str">
        <f ca="1">+WORLDCUP!BD69</f>
        <v>Ghana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Estados Unidos</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Estados Unidos</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Egipto</v>
      </c>
      <c r="E242" s="9" t="str">
        <f ca="1">+WORLDCUP!BD67</f>
        <v>Argelia</v>
      </c>
      <c r="F242" s="9" t="str">
        <f ca="1">+WORLDCUP!BD61</f>
        <v>Estados Unidos</v>
      </c>
      <c r="G242" s="9" t="str">
        <f ca="1">+WORLDCUP!BD58</f>
        <v>República Checa</v>
      </c>
      <c r="H242" s="9" t="str">
        <f ca="1">+WORLDCUP!BD63</f>
        <v>Suecia</v>
      </c>
      <c r="I242" s="9" t="str">
        <f ca="1">+WORLDCUP!BD69</f>
        <v>Ghana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Egipto</v>
      </c>
      <c r="E243" s="9" t="str">
        <f ca="1">+WORLDCUP!BD66</f>
        <v>Senegal</v>
      </c>
      <c r="F243" s="9" t="str">
        <f ca="1">+WORLDCUP!BD61</f>
        <v>Estados Unidos</v>
      </c>
      <c r="G243" s="9" t="str">
        <f ca="1">+WORLDCUP!BD58</f>
        <v>República Checa</v>
      </c>
      <c r="H243" s="9" t="str">
        <f ca="1">+WORLDCUP!BD63</f>
        <v>Suecia</v>
      </c>
      <c r="I243" s="9" t="str">
        <f ca="1">+WORLDCUP!BD69</f>
        <v>Ghana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Egipto</v>
      </c>
      <c r="E244" s="9" t="str">
        <f ca="1">+WORLDCUP!BD67</f>
        <v>Argelia</v>
      </c>
      <c r="F244" s="9" t="str">
        <f ca="1">+WORLDCUP!BD61</f>
        <v>Estados Unidos</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Egipto</v>
      </c>
      <c r="E245" s="9" t="str">
        <f ca="1">+WORLDCUP!BD67</f>
        <v>Argelia</v>
      </c>
      <c r="F245" s="9" t="str">
        <f ca="1">+WORLDCUP!BD61</f>
        <v>Estados Unidos</v>
      </c>
      <c r="G245" s="9" t="str">
        <f ca="1">+WORLDCUP!BD58</f>
        <v>República Checa</v>
      </c>
      <c r="H245" s="9" t="str">
        <f ca="1">+WORLDCUP!BD63</f>
        <v>Suecia</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Egipto</v>
      </c>
      <c r="E246" s="9" t="str">
        <f ca="1">+WORLDCUP!BD63</f>
        <v>Suecia</v>
      </c>
      <c r="F246" s="9" t="str">
        <f ca="1">+WORLDCUP!BD60</f>
        <v>Escocia</v>
      </c>
      <c r="G246" s="9" t="str">
        <f ca="1">+WORLDCUP!BD58</f>
        <v>República Checa</v>
      </c>
      <c r="H246" s="9" t="str">
        <f ca="1">+WORLDCUP!BD61</f>
        <v>Estados Unidos</v>
      </c>
      <c r="I246" s="9" t="str">
        <f ca="1">+WORLDCUP!BD69</f>
        <v>Ghana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Egipto</v>
      </c>
      <c r="E247" s="9" t="str">
        <f ca="1">+WORLDCUP!BD67</f>
        <v>Argelia</v>
      </c>
      <c r="F247" s="9" t="str">
        <f ca="1">+WORLDCUP!BD61</f>
        <v>Estados Unidos</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Egipto</v>
      </c>
      <c r="E248" s="9" t="str">
        <f ca="1">+WORLDCUP!BD67</f>
        <v>Argelia</v>
      </c>
      <c r="F248" s="9" t="str">
        <f ca="1">+WORLDCUP!BD60</f>
        <v>Escocia</v>
      </c>
      <c r="G248" s="9" t="str">
        <f ca="1">+WORLDCUP!BD58</f>
        <v>República Checa</v>
      </c>
      <c r="H248" s="9" t="str">
        <f ca="1">+WORLDCUP!BD63</f>
        <v>Suecia</v>
      </c>
      <c r="I248" s="9" t="str">
        <f ca="1">+WORLDCUP!BD61</f>
        <v>Estados Unidos</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Egipto</v>
      </c>
      <c r="E249" s="9" t="str">
        <f ca="1">+WORLDCUP!BD63</f>
        <v>Suecia</v>
      </c>
      <c r="F249" s="9" t="str">
        <f ca="1">+WORLDCUP!BD60</f>
        <v>Escocia</v>
      </c>
      <c r="G249" s="9" t="str">
        <f ca="1">+WORLDCUP!BD58</f>
        <v>República Checa</v>
      </c>
      <c r="H249" s="9" t="str">
        <f ca="1">+WORLDCUP!BD61</f>
        <v>Estados Unidos</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Egipto</v>
      </c>
      <c r="E250" s="9" t="str">
        <f ca="1">+WORLDCUP!BD63</f>
        <v>Suecia</v>
      </c>
      <c r="F250" s="9" t="str">
        <f ca="1">+WORLDCUP!BD60</f>
        <v>Escocia</v>
      </c>
      <c r="G250" s="9" t="str">
        <f ca="1">+WORLDCUP!BD58</f>
        <v>República Checa</v>
      </c>
      <c r="H250" s="9" t="str">
        <f ca="1">+WORLDCUP!BD61</f>
        <v>Estados Unidos</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Egipto</v>
      </c>
      <c r="E251" s="9" t="str">
        <f ca="1">+WORLDCUP!BD67</f>
        <v>Argelia</v>
      </c>
      <c r="F251" s="9" t="str">
        <f ca="1">+WORLDCUP!BD60</f>
        <v>Escocia</v>
      </c>
      <c r="G251" s="9" t="str">
        <f ca="1">+WORLDCUP!BD58</f>
        <v>República Checa</v>
      </c>
      <c r="H251" s="9" t="str">
        <f ca="1">+WORLDCUP!BD63</f>
        <v>Suecia</v>
      </c>
      <c r="I251" s="9" t="str">
        <f ca="1">+WORLDCUP!BD61</f>
        <v>Estados Unidos</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República Checa</v>
      </c>
      <c r="H252" s="9" t="str">
        <f ca="1">+WORLDCUP!BD61</f>
        <v>Estados Unidos</v>
      </c>
      <c r="I252" s="9" t="str">
        <f ca="1">+WORLDCUP!BD69</f>
        <v>Ghana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República Checa</v>
      </c>
      <c r="H253" s="9" t="str">
        <f ca="1">+WORLDCUP!BD61</f>
        <v>Estados Unidos</v>
      </c>
      <c r="I253" s="9" t="str">
        <f ca="1">+WORLDCUP!BD69</f>
        <v>Ghana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República Checa</v>
      </c>
      <c r="H254" s="9" t="str">
        <f ca="1">+WORLDCUP!BD61</f>
        <v>Estados Unidos</v>
      </c>
      <c r="I254" s="9" t="str">
        <f ca="1">+WORLDCUP!BD69</f>
        <v>Ghana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República Checa</v>
      </c>
      <c r="H255" s="9" t="str">
        <f ca="1">+WORLDCUP!BD61</f>
        <v>Estados Unidos</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República Checa</v>
      </c>
      <c r="H256" s="9" t="str">
        <f ca="1">+WORLDCUP!BD61</f>
        <v>Estados Unidos</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Egipto</v>
      </c>
      <c r="E257" s="9" t="str">
        <f ca="1">+WORLDCUP!BD67</f>
        <v>Argelia</v>
      </c>
      <c r="F257" s="9" t="str">
        <f ca="1">+WORLDCUP!BD60</f>
        <v>Escocia</v>
      </c>
      <c r="G257" s="9" t="str">
        <f ca="1">+WORLDCUP!BD58</f>
        <v>República Checa</v>
      </c>
      <c r="H257" s="9" t="str">
        <f ca="1">+WORLDCUP!BD61</f>
        <v>Estados Unidos</v>
      </c>
      <c r="I257" s="9" t="str">
        <f ca="1">+WORLDCUP!BD69</f>
        <v>Ghana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Egipto</v>
      </c>
      <c r="E258" s="9" t="str">
        <f ca="1">+WORLDCUP!BD66</f>
        <v>Senegal</v>
      </c>
      <c r="F258" s="9" t="str">
        <f ca="1">+WORLDCUP!BD60</f>
        <v>Escocia</v>
      </c>
      <c r="G258" s="9" t="str">
        <f ca="1">+WORLDCUP!BD58</f>
        <v>República Checa</v>
      </c>
      <c r="H258" s="9" t="str">
        <f ca="1">+WORLDCUP!BD61</f>
        <v>Estados Unidos</v>
      </c>
      <c r="I258" s="9" t="str">
        <f ca="1">+WORLDCUP!BD69</f>
        <v>Ghana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Egipto</v>
      </c>
      <c r="E259" s="9" t="str">
        <f ca="1">+WORLDCUP!BD67</f>
        <v>Argelia</v>
      </c>
      <c r="F259" s="9" t="str">
        <f ca="1">+WORLDCUP!BD60</f>
        <v>Escocia</v>
      </c>
      <c r="G259" s="9" t="str">
        <f ca="1">+WORLDCUP!BD58</f>
        <v>República Checa</v>
      </c>
      <c r="H259" s="9" t="str">
        <f ca="1">+WORLDCUP!BD61</f>
        <v>Estados Unidos</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Egipto</v>
      </c>
      <c r="E260" s="9" t="str">
        <f ca="1">+WORLDCUP!BD67</f>
        <v>Argelia</v>
      </c>
      <c r="F260" s="9" t="str">
        <f ca="1">+WORLDCUP!BD60</f>
        <v>Escocia</v>
      </c>
      <c r="G260" s="9" t="str">
        <f ca="1">+WORLDCUP!BD58</f>
        <v>República Checa</v>
      </c>
      <c r="H260" s="9" t="str">
        <f ca="1">+WORLDCUP!BD61</f>
        <v>Estados Unidos</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Egipto</v>
      </c>
      <c r="E261" s="9" t="str">
        <f ca="1">+WORLDCUP!BD62</f>
        <v>Ecuador</v>
      </c>
      <c r="F261" s="9" t="str">
        <f ca="1">+WORLDCUP!BD60</f>
        <v>Escocia</v>
      </c>
      <c r="G261" s="9" t="str">
        <f ca="1">+WORLDCUP!BD58</f>
        <v>República Checa</v>
      </c>
      <c r="H261" s="9" t="str">
        <f ca="1">+WORLDCUP!BD61</f>
        <v>Estados Unidos</v>
      </c>
      <c r="I261" s="9" t="str">
        <f ca="1">+WORLDCUP!BD69</f>
        <v>Ghana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Egipto</v>
      </c>
      <c r="E262" s="9" t="str">
        <f ca="1">+WORLDCUP!BD67</f>
        <v>Argelia</v>
      </c>
      <c r="F262" s="9" t="str">
        <f ca="1">+WORLDCUP!BD60</f>
        <v>Escocia</v>
      </c>
      <c r="G262" s="9" t="str">
        <f ca="1">+WORLDCUP!BD58</f>
        <v>República Checa</v>
      </c>
      <c r="H262" s="9" t="str">
        <f ca="1">+WORLDCUP!BD61</f>
        <v>Estados Unidos</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Egipto</v>
      </c>
      <c r="E263" s="9" t="str">
        <f ca="1">+WORLDCUP!BD67</f>
        <v>Argelia</v>
      </c>
      <c r="F263" s="9" t="str">
        <f ca="1">+WORLDCUP!BD60</f>
        <v>Escocia</v>
      </c>
      <c r="G263" s="9" t="str">
        <f ca="1">+WORLDCUP!BD58</f>
        <v>República Checa</v>
      </c>
      <c r="H263" s="9" t="str">
        <f ca="1">+WORLDCUP!BD61</f>
        <v>Estados Unidos</v>
      </c>
      <c r="I263" s="9" t="str">
        <f ca="1">+WORLDCUP!BD62</f>
        <v>Ecuador</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Egipto</v>
      </c>
      <c r="E264" s="9" t="str">
        <f ca="1">+WORLDCUP!BD62</f>
        <v>Ecuador</v>
      </c>
      <c r="F264" s="9" t="str">
        <f ca="1">+WORLDCUP!BD60</f>
        <v>Escocia</v>
      </c>
      <c r="G264" s="9" t="str">
        <f ca="1">+WORLDCUP!BD58</f>
        <v>República Checa</v>
      </c>
      <c r="H264" s="9" t="str">
        <f ca="1">+WORLDCUP!BD61</f>
        <v>Estados Unidos</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Egipto</v>
      </c>
      <c r="E265" s="9" t="str">
        <f ca="1">+WORLDCUP!BD62</f>
        <v>Ecuador</v>
      </c>
      <c r="F265" s="9" t="str">
        <f ca="1">+WORLDCUP!BD60</f>
        <v>Escocia</v>
      </c>
      <c r="G265" s="9" t="str">
        <f ca="1">+WORLDCUP!BD58</f>
        <v>República Checa</v>
      </c>
      <c r="H265" s="9" t="str">
        <f ca="1">+WORLDCUP!BD61</f>
        <v>Estados Unidos</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Egipto</v>
      </c>
      <c r="E266" s="9" t="str">
        <f ca="1">+WORLDCUP!BD67</f>
        <v>Argelia</v>
      </c>
      <c r="F266" s="9" t="str">
        <f ca="1">+WORLDCUP!BD60</f>
        <v>Escocia</v>
      </c>
      <c r="G266" s="9" t="str">
        <f ca="1">+WORLDCUP!BD58</f>
        <v>República Checa</v>
      </c>
      <c r="H266" s="9" t="str">
        <f ca="1">+WORLDCUP!BD61</f>
        <v>Estados Unidos</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Estados Unidos</v>
      </c>
      <c r="G267" s="9" t="str">
        <f ca="1">+WORLDCUP!BD58</f>
        <v>República Checa</v>
      </c>
      <c r="H267" s="9" t="str">
        <f ca="1">+WORLDCUP!BD63</f>
        <v>Suecia</v>
      </c>
      <c r="I267" s="9" t="str">
        <f ca="1">+WORLDCUP!BD69</f>
        <v>Ghana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Estados Unidos</v>
      </c>
      <c r="G268" s="9" t="str">
        <f ca="1">+WORLDCUP!BD58</f>
        <v>República Checa</v>
      </c>
      <c r="H268" s="9" t="str">
        <f ca="1">+WORLDCUP!BD63</f>
        <v>Suecia</v>
      </c>
      <c r="I268" s="9" t="str">
        <f ca="1">+WORLDCUP!BD69</f>
        <v>Ghana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Estados Unidos</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Estados Unidos</v>
      </c>
      <c r="G270" s="9" t="str">
        <f ca="1">+WORLDCUP!BD58</f>
        <v>República Checa</v>
      </c>
      <c r="H270" s="9" t="str">
        <f ca="1">+WORLDCUP!BD63</f>
        <v>Suecia</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Ecuador</v>
      </c>
      <c r="E271" s="9" t="str">
        <f ca="1">+WORLDCUP!BD63</f>
        <v>Suecia</v>
      </c>
      <c r="F271" s="9" t="str">
        <f ca="1">+WORLDCUP!BD60</f>
        <v>Escocia</v>
      </c>
      <c r="G271" s="9" t="str">
        <f ca="1">+WORLDCUP!BD58</f>
        <v>República Checa</v>
      </c>
      <c r="H271" s="9" t="str">
        <f ca="1">+WORLDCUP!BD61</f>
        <v>Estados Unidos</v>
      </c>
      <c r="I271" s="9" t="str">
        <f ca="1">+WORLDCUP!BD69</f>
        <v>Ghana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Estados Unidos</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República Checa</v>
      </c>
      <c r="H273" s="9" t="str">
        <f ca="1">+WORLDCUP!BD63</f>
        <v>Suecia</v>
      </c>
      <c r="I273" s="9" t="str">
        <f ca="1">+WORLDCUP!BD61</f>
        <v>Estados Unidos</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Ecuador</v>
      </c>
      <c r="E274" s="9" t="str">
        <f ca="1">+WORLDCUP!BD63</f>
        <v>Suecia</v>
      </c>
      <c r="F274" s="9" t="str">
        <f ca="1">+WORLDCUP!BD60</f>
        <v>Escocia</v>
      </c>
      <c r="G274" s="9" t="str">
        <f ca="1">+WORLDCUP!BD58</f>
        <v>República Checa</v>
      </c>
      <c r="H274" s="9" t="str">
        <f ca="1">+WORLDCUP!BD61</f>
        <v>Estados Unidos</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Ecuador</v>
      </c>
      <c r="E275" s="9" t="str">
        <f ca="1">+WORLDCUP!BD63</f>
        <v>Suecia</v>
      </c>
      <c r="F275" s="9" t="str">
        <f ca="1">+WORLDCUP!BD60</f>
        <v>Escocia</v>
      </c>
      <c r="G275" s="9" t="str">
        <f ca="1">+WORLDCUP!BD58</f>
        <v>República Checa</v>
      </c>
      <c r="H275" s="9" t="str">
        <f ca="1">+WORLDCUP!BD61</f>
        <v>Estados Unidos</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República Checa</v>
      </c>
      <c r="H276" s="9" t="str">
        <f ca="1">+WORLDCUP!BD63</f>
        <v>Suecia</v>
      </c>
      <c r="I276" s="9" t="str">
        <f ca="1">+WORLDCUP!BD61</f>
        <v>Estados Unidos</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Egipto</v>
      </c>
      <c r="E277" s="9" t="str">
        <f ca="1">+WORLDCUP!BD62</f>
        <v>Ecuador</v>
      </c>
      <c r="F277" s="9" t="str">
        <f ca="1">+WORLDCUP!BD61</f>
        <v>Estados Unidos</v>
      </c>
      <c r="G277" s="9" t="str">
        <f ca="1">+WORLDCUP!BD58</f>
        <v>República Checa</v>
      </c>
      <c r="H277" s="9" t="str">
        <f ca="1">+WORLDCUP!BD63</f>
        <v>Suecia</v>
      </c>
      <c r="I277" s="9" t="str">
        <f ca="1">+WORLDCUP!BD69</f>
        <v>Ghana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Egipto</v>
      </c>
      <c r="E278" s="9" t="str">
        <f ca="1">+WORLDCUP!BD67</f>
        <v>Argelia</v>
      </c>
      <c r="F278" s="9" t="str">
        <f ca="1">+WORLDCUP!BD61</f>
        <v>Estados Unidos</v>
      </c>
      <c r="G278" s="9" t="str">
        <f ca="1">+WORLDCUP!BD58</f>
        <v>República Checa</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Egipto</v>
      </c>
      <c r="E279" s="9" t="str">
        <f ca="1">+WORLDCUP!BD67</f>
        <v>Argelia</v>
      </c>
      <c r="F279" s="9" t="str">
        <f ca="1">+WORLDCUP!BD61</f>
        <v>Estados Unidos</v>
      </c>
      <c r="G279" s="9" t="str">
        <f ca="1">+WORLDCUP!BD58</f>
        <v>República Checa</v>
      </c>
      <c r="H279" s="9" t="str">
        <f ca="1">+WORLDCUP!BD63</f>
        <v>Suecia</v>
      </c>
      <c r="I279" s="9" t="str">
        <f ca="1">+WORLDCUP!BD62</f>
        <v>Ecuador</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Egipto</v>
      </c>
      <c r="E280" s="9" t="str">
        <f ca="1">+WORLDCUP!BD62</f>
        <v>Ecuador</v>
      </c>
      <c r="F280" s="9" t="str">
        <f ca="1">+WORLDCUP!BD61</f>
        <v>Estados Unidos</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Egipto</v>
      </c>
      <c r="E281" s="9" t="str">
        <f ca="1">+WORLDCUP!BD62</f>
        <v>Ecuador</v>
      </c>
      <c r="F281" s="9" t="str">
        <f ca="1">+WORLDCUP!BD61</f>
        <v>Estados Unidos</v>
      </c>
      <c r="G281" s="9" t="str">
        <f ca="1">+WORLDCUP!BD58</f>
        <v>República Checa</v>
      </c>
      <c r="H281" s="9" t="str">
        <f ca="1">+WORLDCUP!BD63</f>
        <v>Suecia</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Egipto</v>
      </c>
      <c r="E282" s="9" t="str">
        <f ca="1">+WORLDCUP!BD67</f>
        <v>Argelia</v>
      </c>
      <c r="F282" s="9" t="str">
        <f ca="1">+WORLDCUP!BD61</f>
        <v>Estados Unidos</v>
      </c>
      <c r="G282" s="9" t="str">
        <f ca="1">+WORLDCUP!BD58</f>
        <v>República Checa</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Egipto</v>
      </c>
      <c r="E283" s="9" t="str">
        <f ca="1">+WORLDCUP!BD63</f>
        <v>Suecia</v>
      </c>
      <c r="F283" s="9" t="str">
        <f ca="1">+WORLDCUP!BD60</f>
        <v>Escocia</v>
      </c>
      <c r="G283" s="9" t="str">
        <f ca="1">+WORLDCUP!BD58</f>
        <v>República Checa</v>
      </c>
      <c r="H283" s="9" t="str">
        <f ca="1">+WORLDCUP!BD61</f>
        <v>Estados Unidos</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Egipto</v>
      </c>
      <c r="E284" s="9" t="str">
        <f ca="1">+WORLDCUP!BD62</f>
        <v>Ecuador</v>
      </c>
      <c r="F284" s="9" t="str">
        <f ca="1">+WORLDCUP!BD60</f>
        <v>Escocia</v>
      </c>
      <c r="G284" s="9" t="str">
        <f ca="1">+WORLDCUP!BD58</f>
        <v>República Checa</v>
      </c>
      <c r="H284" s="9" t="str">
        <f ca="1">+WORLDCUP!BD63</f>
        <v>Suecia</v>
      </c>
      <c r="I284" s="9" t="str">
        <f ca="1">+WORLDCUP!BD61</f>
        <v>Estados Unidos</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Egipto</v>
      </c>
      <c r="E285" s="9" t="str">
        <f ca="1">+WORLDCUP!BD67</f>
        <v>Argelia</v>
      </c>
      <c r="F285" s="9" t="str">
        <f ca="1">+WORLDCUP!BD60</f>
        <v>Escocia</v>
      </c>
      <c r="G285" s="9" t="str">
        <f ca="1">+WORLDCUP!BD58</f>
        <v>República Checa</v>
      </c>
      <c r="H285" s="9" t="str">
        <f ca="1">+WORLDCUP!BD63</f>
        <v>Suecia</v>
      </c>
      <c r="I285" s="9" t="str">
        <f ca="1">+WORLDCUP!BD61</f>
        <v>Estados Unidos</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Egipto</v>
      </c>
      <c r="E286" s="9" t="str">
        <f ca="1">+WORLDCUP!BD62</f>
        <v>Ecuador</v>
      </c>
      <c r="F286" s="9" t="str">
        <f ca="1">+WORLDCUP!BD60</f>
        <v>Escocia</v>
      </c>
      <c r="G286" s="9" t="str">
        <f ca="1">+WORLDCUP!BD58</f>
        <v>República Checa</v>
      </c>
      <c r="H286" s="9" t="str">
        <f ca="1">+WORLDCUP!BD63</f>
        <v>Suecia</v>
      </c>
      <c r="I286" s="9" t="str">
        <f ca="1">+WORLDCUP!BD61</f>
        <v>Estados Unidos</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Egipto</v>
      </c>
      <c r="I287" s="9" t="str">
        <f ca="1">+WORLDCUP!BD69</f>
        <v>Ghana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Egipto</v>
      </c>
      <c r="I289" s="9" t="str">
        <f ca="1">+WORLDCUP!BD69</f>
        <v>Ghana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Egipto</v>
      </c>
      <c r="I290" s="9" t="str">
        <f ca="1">+WORLDCUP!BD69</f>
        <v>Ghana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Egipto</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Egipto</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Egipto</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Senegal</v>
      </c>
      <c r="H295" s="9" t="str">
        <f ca="1">+WORLDCUP!BD64</f>
        <v>Egipto</v>
      </c>
      <c r="I295" s="9" t="str">
        <f ca="1">+WORLDCUP!BD69</f>
        <v>Ghana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Arabia Saudita</v>
      </c>
      <c r="H296" s="9" t="str">
        <f ca="1">+WORLDCUP!BD64</f>
        <v>Egipto</v>
      </c>
      <c r="I296" s="9" t="str">
        <f ca="1">+WORLDCUP!BD69</f>
        <v>Ghana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Egipto</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Arabia Saudita</v>
      </c>
      <c r="H298" s="9" t="str">
        <f ca="1">+WORLDCUP!BD64</f>
        <v>Egipto</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Arabia Saudita</v>
      </c>
      <c r="H299" s="9" t="str">
        <f ca="1">+WORLDCUP!BD64</f>
        <v>Egipto</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República Checa</v>
      </c>
      <c r="H305" s="9" t="str">
        <f ca="1">+WORLDCUP!BD64</f>
        <v>Egipto</v>
      </c>
      <c r="I305" s="9" t="str">
        <f ca="1">+WORLDCUP!BD69</f>
        <v>Ghana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Egipto</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República Checa</v>
      </c>
      <c r="H307" s="9" t="str">
        <f ca="1">+WORLDCUP!BD64</f>
        <v>Egipto</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República Checa</v>
      </c>
      <c r="H308" s="9" t="str">
        <f ca="1">+WORLDCUP!BD64</f>
        <v>Egipto</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Egipto</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Egipto</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Egipto</v>
      </c>
      <c r="I311" s="9" t="str">
        <f ca="1">+WORLDCUP!BD62</f>
        <v>Ecuador</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Egipto</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Egipto</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Egipto</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Estados Unidos</v>
      </c>
      <c r="G315" s="9" t="str">
        <f ca="1">+WORLDCUP!BD58</f>
        <v>República Checa</v>
      </c>
      <c r="H315" s="9" t="str">
        <f ca="1">+WORLDCUP!BD65</f>
        <v>Arabia Saudita</v>
      </c>
      <c r="I315" s="9" t="str">
        <f ca="1">+WORLDCUP!BD69</f>
        <v>Ghana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Estados Unidos</v>
      </c>
      <c r="G316" s="9" t="str">
        <f ca="1">+WORLDCUP!BD58</f>
        <v>República Checa</v>
      </c>
      <c r="H316" s="9" t="str">
        <f ca="1">+WORLDCUP!BD64</f>
        <v>Egipto</v>
      </c>
      <c r="I316" s="9" t="str">
        <f ca="1">+WORLDCUP!BD69</f>
        <v>Ghana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Estados Unidos</v>
      </c>
      <c r="G317" s="9" t="str">
        <f ca="1">+WORLDCUP!BD58</f>
        <v>República Checa</v>
      </c>
      <c r="H317" s="9" t="str">
        <f ca="1">+WORLDCUP!BD64</f>
        <v>Egipto</v>
      </c>
      <c r="I317" s="9" t="str">
        <f ca="1">+WORLDCUP!BD69</f>
        <v>Ghana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Egipto</v>
      </c>
      <c r="E318" s="9" t="str">
        <f ca="1">+WORLDCUP!BD59</f>
        <v>Bosnia y Herzegovina</v>
      </c>
      <c r="F318" s="9" t="str">
        <f ca="1">+WORLDCUP!BD61</f>
        <v>Estados Unidos</v>
      </c>
      <c r="G318" s="9" t="str">
        <f ca="1">+WORLDCUP!BD58</f>
        <v>República Checa</v>
      </c>
      <c r="H318" s="9" t="str">
        <f ca="1">+WORLDCUP!BD65</f>
        <v>Arabia Saudita</v>
      </c>
      <c r="I318" s="9" t="str">
        <f ca="1">+WORLDCUP!BD69</f>
        <v>Ghana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Estados Unidos</v>
      </c>
      <c r="G319" s="9" t="str">
        <f ca="1">+WORLDCUP!BD58</f>
        <v>República Checa</v>
      </c>
      <c r="H319" s="9" t="str">
        <f ca="1">+WORLDCUP!BD64</f>
        <v>Egipto</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Estados Unidos</v>
      </c>
      <c r="G320" s="9" t="str">
        <f ca="1">+WORLDCUP!BD58</f>
        <v>República Checa</v>
      </c>
      <c r="H320" s="9" t="str">
        <f ca="1">+WORLDCUP!BD64</f>
        <v>Egipto</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Estados Unidos</v>
      </c>
      <c r="G321" s="9" t="str">
        <f ca="1">+WORLDCUP!BD58</f>
        <v>República Checa</v>
      </c>
      <c r="H321" s="9" t="str">
        <f ca="1">+WORLDCUP!BD63</f>
        <v>Suecia</v>
      </c>
      <c r="I321" s="9" t="str">
        <f ca="1">+WORLDCUP!BD69</f>
        <v>Ghana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Estados Unidos</v>
      </c>
      <c r="G322" s="9" t="str">
        <f ca="1">+WORLDCUP!BD58</f>
        <v>República Checa</v>
      </c>
      <c r="H322" s="9" t="str">
        <f ca="1">+WORLDCUP!BD63</f>
        <v>Suecia</v>
      </c>
      <c r="I322" s="9" t="str">
        <f ca="1">+WORLDCUP!BD69</f>
        <v>Ghana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Estados Unidos</v>
      </c>
      <c r="G323" s="9" t="str">
        <f ca="1">+WORLDCUP!BD58</f>
        <v>República Checa</v>
      </c>
      <c r="H323" s="9" t="str">
        <f ca="1">+WORLDCUP!BD63</f>
        <v>Suecia</v>
      </c>
      <c r="I323" s="9" t="str">
        <f ca="1">+WORLDCUP!BD69</f>
        <v>Ghana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Estados Unidos</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Estados Unidos</v>
      </c>
      <c r="G325" s="9" t="str">
        <f ca="1">+WORLDCUP!BD58</f>
        <v>República Checa</v>
      </c>
      <c r="H325" s="9" t="str">
        <f ca="1">+WORLDCUP!BD63</f>
        <v>Suecia</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Estados Unidos</v>
      </c>
      <c r="G326" s="9" t="str">
        <f ca="1">+WORLDCUP!BD58</f>
        <v>República Checa</v>
      </c>
      <c r="H326" s="9" t="str">
        <f ca="1">+WORLDCUP!BD64</f>
        <v>Egipto</v>
      </c>
      <c r="I326" s="9" t="str">
        <f ca="1">+WORLDCUP!BD69</f>
        <v>Ghana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Egipto</v>
      </c>
      <c r="E327" s="9" t="str">
        <f ca="1">+WORLDCUP!BD59</f>
        <v>Bosnia y Herzegovina</v>
      </c>
      <c r="F327" s="9" t="str">
        <f ca="1">+WORLDCUP!BD61</f>
        <v>Estados Unidos</v>
      </c>
      <c r="G327" s="9" t="str">
        <f ca="1">+WORLDCUP!BD58</f>
        <v>República Checa</v>
      </c>
      <c r="H327" s="9" t="str">
        <f ca="1">+WORLDCUP!BD63</f>
        <v>Suecia</v>
      </c>
      <c r="I327" s="9" t="str">
        <f ca="1">+WORLDCUP!BD69</f>
        <v>Ghana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Estados Unidos</v>
      </c>
      <c r="G328" s="9" t="str">
        <f ca="1">+WORLDCUP!BD58</f>
        <v>República Checa</v>
      </c>
      <c r="H328" s="9" t="str">
        <f ca="1">+WORLDCUP!BD64</f>
        <v>Egipto</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Estados Unidos</v>
      </c>
      <c r="G329" s="9" t="str">
        <f ca="1">+WORLDCUP!BD58</f>
        <v>República Checa</v>
      </c>
      <c r="H329" s="9" t="str">
        <f ca="1">+WORLDCUP!BD64</f>
        <v>Egipto</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Egipto</v>
      </c>
      <c r="E330" s="9" t="str">
        <f ca="1">+WORLDCUP!BD59</f>
        <v>Bosnia y Herzegovina</v>
      </c>
      <c r="F330" s="9" t="str">
        <f ca="1">+WORLDCUP!BD61</f>
        <v>Estados Unidos</v>
      </c>
      <c r="G330" s="9" t="str">
        <f ca="1">+WORLDCUP!BD58</f>
        <v>República Checa</v>
      </c>
      <c r="H330" s="9" t="str">
        <f ca="1">+WORLDCUP!BD63</f>
        <v>Suecia</v>
      </c>
      <c r="I330" s="9" t="str">
        <f ca="1">+WORLDCUP!BD69</f>
        <v>Ghana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Egipto</v>
      </c>
      <c r="E331" s="9" t="str">
        <f ca="1">+WORLDCUP!BD59</f>
        <v>Bosnia y Herzegovina</v>
      </c>
      <c r="F331" s="9" t="str">
        <f ca="1">+WORLDCUP!BD61</f>
        <v>Estados Unidos</v>
      </c>
      <c r="G331" s="9" t="str">
        <f ca="1">+WORLDCUP!BD58</f>
        <v>República Checa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Egipto</v>
      </c>
      <c r="E332" s="9" t="str">
        <f ca="1">+WORLDCUP!BD59</f>
        <v>Bosnia y Herzegovina</v>
      </c>
      <c r="F332" s="9" t="str">
        <f ca="1">+WORLDCUP!BD61</f>
        <v>Estados Unidos</v>
      </c>
      <c r="G332" s="9" t="str">
        <f ca="1">+WORLDCUP!BD58</f>
        <v>República Checa</v>
      </c>
      <c r="H332" s="9" t="str">
        <f ca="1">+WORLDCUP!BD63</f>
        <v>Suecia</v>
      </c>
      <c r="I332" s="9" t="str">
        <f ca="1">+WORLDCUP!BD67</f>
        <v>Argelia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Egipto</v>
      </c>
      <c r="E333" s="9" t="str">
        <f ca="1">+WORLDCUP!BD59</f>
        <v>Bosnia y Herzegovina</v>
      </c>
      <c r="F333" s="9" t="str">
        <f ca="1">+WORLDCUP!BD61</f>
        <v>Estados Unidos</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Egipto</v>
      </c>
      <c r="E334" s="9" t="str">
        <f ca="1">+WORLDCUP!BD59</f>
        <v>Bosnia y Herzegovina</v>
      </c>
      <c r="F334" s="9" t="str">
        <f ca="1">+WORLDCUP!BD61</f>
        <v>Estados Unidos</v>
      </c>
      <c r="G334" s="9" t="str">
        <f ca="1">+WORLDCUP!BD58</f>
        <v>República Checa</v>
      </c>
      <c r="H334" s="9" t="str">
        <f ca="1">+WORLDCUP!BD63</f>
        <v>Suecia</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Egipto</v>
      </c>
      <c r="E335" s="9" t="str">
        <f ca="1">+WORLDCUP!BD59</f>
        <v>Bosnia y Herzegovina</v>
      </c>
      <c r="F335" s="9" t="str">
        <f ca="1">+WORLDCUP!BD61</f>
        <v>Estados Unidos</v>
      </c>
      <c r="G335" s="9" t="str">
        <f ca="1">+WORLDCUP!BD58</f>
        <v>República Checa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Senegal</v>
      </c>
      <c r="H336" s="9" t="str">
        <f ca="1">+WORLDCUP!BD61</f>
        <v>Estados Unidos</v>
      </c>
      <c r="I336" s="9" t="str">
        <f ca="1">+WORLDCUP!BD69</f>
        <v>Ghana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Estados Unidos</v>
      </c>
      <c r="G337" s="9" t="str">
        <f ca="1">+WORLDCUP!BD58</f>
        <v>República Checa</v>
      </c>
      <c r="H337" s="9" t="str">
        <f ca="1">+WORLDCUP!BD65</f>
        <v>Arabia Saudita</v>
      </c>
      <c r="I337" s="9" t="str">
        <f ca="1">+WORLDCUP!BD69</f>
        <v>Ghana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Estados Unidos</v>
      </c>
      <c r="G338" s="9" t="str">
        <f ca="1">+WORLDCUP!BD58</f>
        <v>República Checa</v>
      </c>
      <c r="H338" s="9" t="str">
        <f ca="1">+WORLDCUP!BD65</f>
        <v>Arabia Saudita</v>
      </c>
      <c r="I338" s="9" t="str">
        <f ca="1">+WORLDCUP!BD69</f>
        <v>Ghana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Estados Unidos</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Estados Unidos</v>
      </c>
      <c r="G340" s="9" t="str">
        <f ca="1">+WORLDCUP!BD58</f>
        <v>República Checa</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Estados Unidos</v>
      </c>
      <c r="G341" s="9" t="str">
        <f ca="1">+WORLDCUP!BD58</f>
        <v>República Checa</v>
      </c>
      <c r="H341" s="9" t="str">
        <f ca="1">+WORLDCUP!BD64</f>
        <v>Egipto</v>
      </c>
      <c r="I341" s="9" t="str">
        <f ca="1">+WORLDCUP!BD69</f>
        <v>Ghana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Egipto</v>
      </c>
      <c r="E342" s="9" t="str">
        <f ca="1">+WORLDCUP!BD59</f>
        <v>Bosnia y Herzegovina</v>
      </c>
      <c r="F342" s="9" t="str">
        <f ca="1">+WORLDCUP!BD58</f>
        <v>República Checa</v>
      </c>
      <c r="G342" s="9" t="str">
        <f ca="1">+WORLDCUP!BD66</f>
        <v>Senegal</v>
      </c>
      <c r="H342" s="9" t="str">
        <f ca="1">+WORLDCUP!BD61</f>
        <v>Estados Unidos</v>
      </c>
      <c r="I342" s="9" t="str">
        <f ca="1">+WORLDCUP!BD69</f>
        <v>Ghana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Estados Unidos</v>
      </c>
      <c r="G343" s="9" t="str">
        <f ca="1">+WORLDCUP!BD58</f>
        <v>República Checa</v>
      </c>
      <c r="H343" s="9" t="str">
        <f ca="1">+WORLDCUP!BD64</f>
        <v>Egipto</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Estados Unidos</v>
      </c>
      <c r="G344" s="9" t="str">
        <f ca="1">+WORLDCUP!BD58</f>
        <v>República Checa</v>
      </c>
      <c r="H344" s="9" t="str">
        <f ca="1">+WORLDCUP!BD64</f>
        <v>Egipto</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Egipto</v>
      </c>
      <c r="E345" s="9" t="str">
        <f ca="1">+WORLDCUP!BD59</f>
        <v>Bosnia y Herzegovina</v>
      </c>
      <c r="F345" s="9" t="str">
        <f ca="1">+WORLDCUP!BD61</f>
        <v>Estados Unidos</v>
      </c>
      <c r="G345" s="9" t="str">
        <f ca="1">+WORLDCUP!BD58</f>
        <v>República Checa</v>
      </c>
      <c r="H345" s="9" t="str">
        <f ca="1">+WORLDCUP!BD65</f>
        <v>Arabia Saudita</v>
      </c>
      <c r="I345" s="9" t="str">
        <f ca="1">+WORLDCUP!BD69</f>
        <v>Ghana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Estados Unidos</v>
      </c>
      <c r="G346" s="9" t="str">
        <f ca="1">+WORLDCUP!BD58</f>
        <v>República Checa</v>
      </c>
      <c r="H346" s="9" t="str">
        <f ca="1">+WORLDCUP!BD64</f>
        <v>Egipto</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Estados Unidos</v>
      </c>
      <c r="G347" s="9" t="str">
        <f ca="1">+WORLDCUP!BD58</f>
        <v>República Checa</v>
      </c>
      <c r="H347" s="9" t="str">
        <f ca="1">+WORLDCUP!BD64</f>
        <v>Egipto</v>
      </c>
      <c r="I347" s="9" t="str">
        <f ca="1">+WORLDCUP!BD62</f>
        <v>Ecuador</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Egipto</v>
      </c>
      <c r="E348" s="9" t="str">
        <f ca="1">+WORLDCUP!BD59</f>
        <v>Bosnia y Herzegovina</v>
      </c>
      <c r="F348" s="9" t="str">
        <f ca="1">+WORLDCUP!BD61</f>
        <v>Estados Unidos</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Egipto</v>
      </c>
      <c r="E349" s="9" t="str">
        <f ca="1">+WORLDCUP!BD59</f>
        <v>Bosnia y Herzegovina</v>
      </c>
      <c r="F349" s="9" t="str">
        <f ca="1">+WORLDCUP!BD61</f>
        <v>Estados Unidos</v>
      </c>
      <c r="G349" s="9" t="str">
        <f ca="1">+WORLDCUP!BD58</f>
        <v>República Checa</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Estados Unidos</v>
      </c>
      <c r="G350" s="9" t="str">
        <f ca="1">+WORLDCUP!BD58</f>
        <v>República Checa</v>
      </c>
      <c r="H350" s="9" t="str">
        <f ca="1">+WORLDCUP!BD64</f>
        <v>Egipto</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Estados Unidos</v>
      </c>
      <c r="G351" s="9" t="str">
        <f ca="1">+WORLDCUP!BD58</f>
        <v>República Checa</v>
      </c>
      <c r="H351" s="9" t="str">
        <f ca="1">+WORLDCUP!BD63</f>
        <v>Suecia</v>
      </c>
      <c r="I351" s="9" t="str">
        <f ca="1">+WORLDCUP!BD69</f>
        <v>Ghana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Estados Unidos</v>
      </c>
      <c r="G352" s="9" t="str">
        <f ca="1">+WORLDCUP!BD58</f>
        <v>República Checa</v>
      </c>
      <c r="H352" s="9" t="str">
        <f ca="1">+WORLDCUP!BD63</f>
        <v>Suecia</v>
      </c>
      <c r="I352" s="9" t="str">
        <f ca="1">+WORLDCUP!BD69</f>
        <v>Ghana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Estados Unidos</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Estados Unidos</v>
      </c>
      <c r="G354" s="9" t="str">
        <f ca="1">+WORLDCUP!BD58</f>
        <v>República Checa</v>
      </c>
      <c r="H354" s="9" t="str">
        <f ca="1">+WORLDCUP!BD63</f>
        <v>Suecia</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Ecuador</v>
      </c>
      <c r="E355" s="9" t="str">
        <f ca="1">+WORLDCUP!BD59</f>
        <v>Bosnia y Herzegovina</v>
      </c>
      <c r="F355" s="9" t="str">
        <f ca="1">+WORLDCUP!BD61</f>
        <v>Estados Unidos</v>
      </c>
      <c r="G355" s="9" t="str">
        <f ca="1">+WORLDCUP!BD58</f>
        <v>República Checa</v>
      </c>
      <c r="H355" s="9" t="str">
        <f ca="1">+WORLDCUP!BD63</f>
        <v>Suecia</v>
      </c>
      <c r="I355" s="9" t="str">
        <f ca="1">+WORLDCUP!BD69</f>
        <v>Ghana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Estados Unidos</v>
      </c>
      <c r="G356" s="9" t="str">
        <f ca="1">+WORLDCUP!BD58</f>
        <v>República Checa</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Estados Unidos</v>
      </c>
      <c r="G357" s="9" t="str">
        <f ca="1">+WORLDCUP!BD58</f>
        <v>República Checa</v>
      </c>
      <c r="H357" s="9" t="str">
        <f ca="1">+WORLDCUP!BD63</f>
        <v>Suecia</v>
      </c>
      <c r="I357" s="9" t="str">
        <f ca="1">+WORLDCUP!BD62</f>
        <v>Ecuador</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Ecuador</v>
      </c>
      <c r="E358" s="9" t="str">
        <f ca="1">+WORLDCUP!BD59</f>
        <v>Bosnia y Herzegovina</v>
      </c>
      <c r="F358" s="9" t="str">
        <f ca="1">+WORLDCUP!BD61</f>
        <v>Estados Unidos</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Ecuador</v>
      </c>
      <c r="E359" s="9" t="str">
        <f ca="1">+WORLDCUP!BD59</f>
        <v>Bosnia y Herzegovina</v>
      </c>
      <c r="F359" s="9" t="str">
        <f ca="1">+WORLDCUP!BD61</f>
        <v>Estados Unidos</v>
      </c>
      <c r="G359" s="9" t="str">
        <f ca="1">+WORLDCUP!BD58</f>
        <v>República Checa</v>
      </c>
      <c r="H359" s="9" t="str">
        <f ca="1">+WORLDCUP!BD63</f>
        <v>Suecia</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Estados Unidos</v>
      </c>
      <c r="G360" s="9" t="str">
        <f ca="1">+WORLDCUP!BD58</f>
        <v>República Checa</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Egipto</v>
      </c>
      <c r="E361" s="9" t="str">
        <f ca="1">+WORLDCUP!BD59</f>
        <v>Bosnia y Herzegovina</v>
      </c>
      <c r="F361" s="9" t="str">
        <f ca="1">+WORLDCUP!BD61</f>
        <v>Estados Unidos</v>
      </c>
      <c r="G361" s="9" t="str">
        <f ca="1">+WORLDCUP!BD58</f>
        <v>República Checa</v>
      </c>
      <c r="H361" s="9" t="str">
        <f ca="1">+WORLDCUP!BD63</f>
        <v>Suecia</v>
      </c>
      <c r="I361" s="9" t="str">
        <f ca="1">+WORLDCUP!BD69</f>
        <v>Ghana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Egipto</v>
      </c>
      <c r="E362" s="9" t="str">
        <f ca="1">+WORLDCUP!BD59</f>
        <v>Bosnia y Herzegovina</v>
      </c>
      <c r="F362" s="9" t="str">
        <f ca="1">+WORLDCUP!BD61</f>
        <v>Estados Unidos</v>
      </c>
      <c r="G362" s="9" t="str">
        <f ca="1">+WORLDCUP!BD58</f>
        <v>República Checa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Egipto</v>
      </c>
      <c r="E363" s="9" t="str">
        <f ca="1">+WORLDCUP!BD59</f>
        <v>Bosnia y Herzegovina</v>
      </c>
      <c r="F363" s="9" t="str">
        <f ca="1">+WORLDCUP!BD61</f>
        <v>Estados Unidos</v>
      </c>
      <c r="G363" s="9" t="str">
        <f ca="1">+WORLDCUP!BD58</f>
        <v>República Checa</v>
      </c>
      <c r="H363" s="9" t="str">
        <f ca="1">+WORLDCUP!BD63</f>
        <v>Suecia</v>
      </c>
      <c r="I363" s="9" t="str">
        <f ca="1">+WORLDCUP!BD67</f>
        <v>Argelia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Egipto</v>
      </c>
      <c r="E364" s="9" t="str">
        <f ca="1">+WORLDCUP!BD59</f>
        <v>Bosnia y Herzegovina</v>
      </c>
      <c r="F364" s="9" t="str">
        <f ca="1">+WORLDCUP!BD61</f>
        <v>Estados Unidos</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Egipto</v>
      </c>
      <c r="E365" s="9" t="str">
        <f ca="1">+WORLDCUP!BD59</f>
        <v>Bosnia y Herzegovina</v>
      </c>
      <c r="F365" s="9" t="str">
        <f ca="1">+WORLDCUP!BD61</f>
        <v>Estados Unidos</v>
      </c>
      <c r="G365" s="9" t="str">
        <f ca="1">+WORLDCUP!BD58</f>
        <v>República Checa</v>
      </c>
      <c r="H365" s="9" t="str">
        <f ca="1">+WORLDCUP!BD63</f>
        <v>Suecia</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Egipto</v>
      </c>
      <c r="E366" s="9" t="str">
        <f ca="1">+WORLDCUP!BD59</f>
        <v>Bosnia y Herzegovina</v>
      </c>
      <c r="F366" s="9" t="str">
        <f ca="1">+WORLDCUP!BD61</f>
        <v>Estados Unidos</v>
      </c>
      <c r="G366" s="9" t="str">
        <f ca="1">+WORLDCUP!BD58</f>
        <v>República Checa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Egipto</v>
      </c>
      <c r="E367" s="9" t="str">
        <f ca="1">+WORLDCUP!BD59</f>
        <v>Bosnia y Herzegovina</v>
      </c>
      <c r="F367" s="9" t="str">
        <f ca="1">+WORLDCUP!BD61</f>
        <v>Estados Unidos</v>
      </c>
      <c r="G367" s="9" t="str">
        <f ca="1">+WORLDCUP!BD58</f>
        <v>República Checa</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Egipto</v>
      </c>
      <c r="E368" s="9" t="str">
        <f ca="1">+WORLDCUP!BD59</f>
        <v>Bosnia y Herzegovina</v>
      </c>
      <c r="F368" s="9" t="str">
        <f ca="1">+WORLDCUP!BD61</f>
        <v>Estados Unidos</v>
      </c>
      <c r="G368" s="9" t="str">
        <f ca="1">+WORLDCUP!BD58</f>
        <v>República Checa</v>
      </c>
      <c r="H368" s="9" t="str">
        <f ca="1">+WORLDCUP!BD63</f>
        <v>Suecia</v>
      </c>
      <c r="I368" s="9" t="str">
        <f ca="1">+WORLDCUP!BD62</f>
        <v>Ecuador</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Egipto</v>
      </c>
      <c r="E369" s="9" t="str">
        <f ca="1">+WORLDCUP!BD59</f>
        <v>Bosnia y Herzegovina</v>
      </c>
      <c r="F369" s="9" t="str">
        <f ca="1">+WORLDCUP!BD61</f>
        <v>Estados Unidos</v>
      </c>
      <c r="G369" s="9" t="str">
        <f ca="1">+WORLDCUP!BD58</f>
        <v>República Checa</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Egipto</v>
      </c>
      <c r="E370" s="9" t="str">
        <f ca="1">+WORLDCUP!BD59</f>
        <v>Bosnia y Herzegovina</v>
      </c>
      <c r="F370" s="9" t="str">
        <f ca="1">+WORLDCUP!BD61</f>
        <v>Estados Unidos</v>
      </c>
      <c r="G370" s="9" t="str">
        <f ca="1">+WORLDCUP!BD58</f>
        <v>República Checa</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Egipto</v>
      </c>
      <c r="I372" s="9" t="str">
        <f ca="1">+WORLDCUP!BD69</f>
        <v>Ghana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Egipto</v>
      </c>
      <c r="I373" s="9" t="str">
        <f ca="1">+WORLDCUP!BD69</f>
        <v>Ghana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Egipto</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Egipto</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Egipto</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Egipto</v>
      </c>
      <c r="I382" s="9" t="str">
        <f ca="1">+WORLDCUP!BD69</f>
        <v>Ghana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Egipto</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Egipto</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Egipto</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Egipto</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Egipto</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Egipto</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Egipto</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Egipto</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Egipto</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Egipto</v>
      </c>
      <c r="I397" s="9" t="str">
        <f ca="1">+WORLDCUP!BD69</f>
        <v>Ghana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Egipto</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Egipto</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Egipto</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Egipto</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Egipto</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Egipto</v>
      </c>
      <c r="I403" s="9" t="str">
        <f ca="1">+WORLDCUP!BD62</f>
        <v>Ecuador</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Egipto</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Egipto</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Egipto</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Ecuador</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Egipto</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Egipto</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Egipto</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1</v>
      </c>
      <c r="C420" s="9" t="str">
        <f ca="1">+WORLDCUP!BD62</f>
        <v>Ecuador</v>
      </c>
      <c r="D420" s="9" t="str">
        <f ca="1">+WORLDCUP!BD64</f>
        <v>Egipto</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Egipto</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Egipto</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Egipto</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Egipto</v>
      </c>
      <c r="E424" s="9" t="str">
        <f ca="1">+WORLDCUP!BD59</f>
        <v>Bosnia y Herzegovina</v>
      </c>
      <c r="F424" s="9" t="str">
        <f ca="1">+WORLDCUP!BD60</f>
        <v>Escocia</v>
      </c>
      <c r="G424" s="9" t="str">
        <f ca="1">+WORLDCUP!BD58</f>
        <v>República Checa</v>
      </c>
      <c r="H424" s="9" t="str">
        <f ca="1">+WORLDCUP!BD63</f>
        <v>Suecia</v>
      </c>
      <c r="I424" s="9" t="str">
        <f ca="1">+WORLDCUP!BD62</f>
        <v>Ecuador</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Egipto</v>
      </c>
      <c r="E425" s="9" t="str">
        <f ca="1">+WORLDCUP!BD59</f>
        <v>Bosnia y Herzegovina</v>
      </c>
      <c r="F425" s="9" t="str">
        <f ca="1">+WORLDCUP!BD60</f>
        <v>Escocia</v>
      </c>
      <c r="G425" s="9" t="str">
        <f ca="1">+WORLDCUP!BD58</f>
        <v>República Checa</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Egipto</v>
      </c>
      <c r="E426" s="9" t="str">
        <f ca="1">+WORLDCUP!BD59</f>
        <v>Bosnia y Herzegovina</v>
      </c>
      <c r="F426" s="9" t="str">
        <f ca="1">+WORLDCUP!BD60</f>
        <v>Escocia</v>
      </c>
      <c r="G426" s="9" t="str">
        <f ca="1">+WORLDCUP!BD58</f>
        <v>República Checa</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Estados Unidos</v>
      </c>
      <c r="I427" s="9" t="str">
        <f ca="1">+WORLDCUP!BD69</f>
        <v>Ghana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Estados Unidos</v>
      </c>
      <c r="I428" s="9" t="str">
        <f ca="1">+WORLDCUP!BD69</f>
        <v>Ghana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Estados Unidos</v>
      </c>
      <c r="I429" s="9" t="str">
        <f ca="1">+WORLDCUP!BD69</f>
        <v>Ghana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Estados Unidos</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Estados Unidos</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Estados Unidos</v>
      </c>
      <c r="G432" s="9" t="str">
        <f ca="1">+WORLDCUP!BD58</f>
        <v>República Checa</v>
      </c>
      <c r="H432" s="9" t="str">
        <f ca="1">+WORLDCUP!BD64</f>
        <v>Egipto</v>
      </c>
      <c r="I432" s="9" t="str">
        <f ca="1">+WORLDCUP!BD69</f>
        <v>Ghana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Egipto</v>
      </c>
      <c r="E433" s="9" t="str">
        <f ca="1">+WORLDCUP!BD59</f>
        <v>Bosnia y Herzegovina</v>
      </c>
      <c r="F433" s="9" t="str">
        <f ca="1">+WORLDCUP!BD60</f>
        <v>Escocia</v>
      </c>
      <c r="G433" s="9" t="str">
        <f ca="1">+WORLDCUP!BD58</f>
        <v>República Checa</v>
      </c>
      <c r="H433" s="9" t="str">
        <f ca="1">+WORLDCUP!BD61</f>
        <v>Estados Unidos</v>
      </c>
      <c r="I433" s="9" t="str">
        <f ca="1">+WORLDCUP!BD69</f>
        <v>Ghana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Estados Unidos</v>
      </c>
      <c r="G434" s="9" t="str">
        <f ca="1">+WORLDCUP!BD58</f>
        <v>República Checa</v>
      </c>
      <c r="H434" s="9" t="str">
        <f ca="1">+WORLDCUP!BD64</f>
        <v>Egipto</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Estados Unidos</v>
      </c>
      <c r="G435" s="9" t="str">
        <f ca="1">+WORLDCUP!BD58</f>
        <v>República Checa</v>
      </c>
      <c r="H435" s="9" t="str">
        <f ca="1">+WORLDCUP!BD64</f>
        <v>Egipto</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Egipto</v>
      </c>
      <c r="E436" s="9" t="str">
        <f ca="1">+WORLDCUP!BD59</f>
        <v>Bosnia y Herzegovina</v>
      </c>
      <c r="F436" s="9" t="str">
        <f ca="1">+WORLDCUP!BD60</f>
        <v>Escocia</v>
      </c>
      <c r="G436" s="9" t="str">
        <f ca="1">+WORLDCUP!BD58</f>
        <v>República Checa</v>
      </c>
      <c r="H436" s="9" t="str">
        <f ca="1">+WORLDCUP!BD61</f>
        <v>Estados Unidos</v>
      </c>
      <c r="I436" s="9" t="str">
        <f ca="1">+WORLDCUP!BD69</f>
        <v>Ghana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Egipto</v>
      </c>
      <c r="E437" s="9" t="str">
        <f ca="1">+WORLDCUP!BD59</f>
        <v>Bosnia y Herzegovina</v>
      </c>
      <c r="F437" s="9" t="str">
        <f ca="1">+WORLDCUP!BD60</f>
        <v>Escocia</v>
      </c>
      <c r="G437" s="9" t="str">
        <f ca="1">+WORLDCUP!BD58</f>
        <v>República Checa</v>
      </c>
      <c r="H437" s="9" t="str">
        <f ca="1">+WORLDCUP!BD61</f>
        <v>Estados Unidos</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Egipto</v>
      </c>
      <c r="E438" s="9" t="str">
        <f ca="1">+WORLDCUP!BD59</f>
        <v>Bosnia y Herzegovina</v>
      </c>
      <c r="F438" s="9" t="str">
        <f ca="1">+WORLDCUP!BD60</f>
        <v>Escocia</v>
      </c>
      <c r="G438" s="9" t="str">
        <f ca="1">+WORLDCUP!BD58</f>
        <v>República Checa</v>
      </c>
      <c r="H438" s="9" t="str">
        <f ca="1">+WORLDCUP!BD61</f>
        <v>Estados Unidos</v>
      </c>
      <c r="I438" s="9" t="str">
        <f ca="1">+WORLDCUP!BD67</f>
        <v>Argelia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Egipto</v>
      </c>
      <c r="E439" s="9" t="str">
        <f ca="1">+WORLDCUP!BD59</f>
        <v>Bosnia y Herzegovina</v>
      </c>
      <c r="F439" s="9" t="str">
        <f ca="1">+WORLDCUP!BD60</f>
        <v>Escocia</v>
      </c>
      <c r="G439" s="9" t="str">
        <f ca="1">+WORLDCUP!BD58</f>
        <v>República Checa</v>
      </c>
      <c r="H439" s="9" t="str">
        <f ca="1">+WORLDCUP!BD61</f>
        <v>Estados Unidos</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Egipto</v>
      </c>
      <c r="E440" s="9" t="str">
        <f ca="1">+WORLDCUP!BD59</f>
        <v>Bosnia y Herzegovina</v>
      </c>
      <c r="F440" s="9" t="str">
        <f ca="1">+WORLDCUP!BD60</f>
        <v>Escocia</v>
      </c>
      <c r="G440" s="9" t="str">
        <f ca="1">+WORLDCUP!BD58</f>
        <v>República Checa</v>
      </c>
      <c r="H440" s="9" t="str">
        <f ca="1">+WORLDCUP!BD61</f>
        <v>Estados Unidos</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Egipto</v>
      </c>
      <c r="E441" s="9" t="str">
        <f ca="1">+WORLDCUP!BD59</f>
        <v>Bosnia y Herzegovina</v>
      </c>
      <c r="F441" s="9" t="str">
        <f ca="1">+WORLDCUP!BD60</f>
        <v>Escocia</v>
      </c>
      <c r="G441" s="9" t="str">
        <f ca="1">+WORLDCUP!BD58</f>
        <v>República Checa</v>
      </c>
      <c r="H441" s="9" t="str">
        <f ca="1">+WORLDCUP!BD61</f>
        <v>Estados Unidos</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Estados Unidos</v>
      </c>
      <c r="G442" s="9" t="str">
        <f ca="1">+WORLDCUP!BD58</f>
        <v>República Checa</v>
      </c>
      <c r="H442" s="9" t="str">
        <f ca="1">+WORLDCUP!BD63</f>
        <v>Suecia</v>
      </c>
      <c r="I442" s="9" t="str">
        <f ca="1">+WORLDCUP!BD69</f>
        <v>Ghana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Estados Unidos</v>
      </c>
      <c r="G443" s="9" t="str">
        <f ca="1">+WORLDCUP!BD58</f>
        <v>República Checa</v>
      </c>
      <c r="H443" s="9" t="str">
        <f ca="1">+WORLDCUP!BD63</f>
        <v>Suecia</v>
      </c>
      <c r="I443" s="9" t="str">
        <f ca="1">+WORLDCUP!BD69</f>
        <v>Ghana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Estados Unidos</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Estados Unidos</v>
      </c>
      <c r="G445" s="9" t="str">
        <f ca="1">+WORLDCUP!BD58</f>
        <v>República Checa</v>
      </c>
      <c r="H445" s="9" t="str">
        <f ca="1">+WORLDCUP!BD63</f>
        <v>Suecia</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Estados Unidos</v>
      </c>
      <c r="I446" s="9" t="str">
        <f ca="1">+WORLDCUP!BD69</f>
        <v>Ghana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Estados Unidos</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Estados Unidos</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Estados Unidos</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Estados Unidos</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Estados Unidos</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Egipto</v>
      </c>
      <c r="E452" s="9" t="str">
        <f ca="1">+WORLDCUP!BD59</f>
        <v>Bosnia y Herzegovina</v>
      </c>
      <c r="F452" s="9" t="str">
        <f ca="1">+WORLDCUP!BD61</f>
        <v>Estados Unidos</v>
      </c>
      <c r="G452" s="9" t="str">
        <f ca="1">+WORLDCUP!BD58</f>
        <v>República Checa</v>
      </c>
      <c r="H452" s="9" t="str">
        <f ca="1">+WORLDCUP!BD63</f>
        <v>Suecia</v>
      </c>
      <c r="I452" s="9" t="str">
        <f ca="1">+WORLDCUP!BD69</f>
        <v>Ghana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Egipto</v>
      </c>
      <c r="E453" s="9" t="str">
        <f ca="1">+WORLDCUP!BD59</f>
        <v>Bosnia y Herzegovina</v>
      </c>
      <c r="F453" s="9" t="str">
        <f ca="1">+WORLDCUP!BD61</f>
        <v>Estados Unidos</v>
      </c>
      <c r="G453" s="9" t="str">
        <f ca="1">+WORLDCUP!BD58</f>
        <v>República Checa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Egipto</v>
      </c>
      <c r="E454" s="9" t="str">
        <f ca="1">+WORLDCUP!BD59</f>
        <v>Bosnia y Herzegovina</v>
      </c>
      <c r="F454" s="9" t="str">
        <f ca="1">+WORLDCUP!BD61</f>
        <v>Estados Unidos</v>
      </c>
      <c r="G454" s="9" t="str">
        <f ca="1">+WORLDCUP!BD58</f>
        <v>República Checa</v>
      </c>
      <c r="H454" s="9" t="str">
        <f ca="1">+WORLDCUP!BD63</f>
        <v>Suecia</v>
      </c>
      <c r="I454" s="9" t="str">
        <f ca="1">+WORLDCUP!BD67</f>
        <v>Argelia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Egipto</v>
      </c>
      <c r="E455" s="9" t="str">
        <f ca="1">+WORLDCUP!BD59</f>
        <v>Bosnia y Herzegovina</v>
      </c>
      <c r="F455" s="9" t="str">
        <f ca="1">+WORLDCUP!BD61</f>
        <v>Estados Unidos</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Egipto</v>
      </c>
      <c r="E456" s="9" t="str">
        <f ca="1">+WORLDCUP!BD59</f>
        <v>Bosnia y Herzegovina</v>
      </c>
      <c r="F456" s="9" t="str">
        <f ca="1">+WORLDCUP!BD61</f>
        <v>Estados Unidos</v>
      </c>
      <c r="G456" s="9" t="str">
        <f ca="1">+WORLDCUP!BD58</f>
        <v>República Checa</v>
      </c>
      <c r="H456" s="9" t="str">
        <f ca="1">+WORLDCUP!BD63</f>
        <v>Suecia</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Egipto</v>
      </c>
      <c r="E457" s="9" t="str">
        <f ca="1">+WORLDCUP!BD59</f>
        <v>Bosnia y Herzegovina</v>
      </c>
      <c r="F457" s="9" t="str">
        <f ca="1">+WORLDCUP!BD61</f>
        <v>Estados Unidos</v>
      </c>
      <c r="G457" s="9" t="str">
        <f ca="1">+WORLDCUP!BD58</f>
        <v>República Checa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Egipto</v>
      </c>
      <c r="E458" s="9" t="str">
        <f ca="1">+WORLDCUP!BD59</f>
        <v>Bosnia y Herzegovina</v>
      </c>
      <c r="F458" s="9" t="str">
        <f ca="1">+WORLDCUP!BD61</f>
        <v>Estados Unidos</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Egipto</v>
      </c>
      <c r="E459" s="9" t="str">
        <f ca="1">+WORLDCUP!BD59</f>
        <v>Bosnia y Herzegovina</v>
      </c>
      <c r="F459" s="9" t="str">
        <f ca="1">+WORLDCUP!BD60</f>
        <v>Escocia</v>
      </c>
      <c r="G459" s="9" t="str">
        <f ca="1">+WORLDCUP!BD58</f>
        <v>República Checa</v>
      </c>
      <c r="H459" s="9" t="str">
        <f ca="1">+WORLDCUP!BD63</f>
        <v>Suecia</v>
      </c>
      <c r="I459" s="9" t="str">
        <f ca="1">+WORLDCUP!BD61</f>
        <v>Estados Unidos</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Egipto</v>
      </c>
      <c r="E460" s="9" t="str">
        <f ca="1">+WORLDCUP!BD59</f>
        <v>Bosnia y Herzegovina</v>
      </c>
      <c r="F460" s="9" t="str">
        <f ca="1">+WORLDCUP!BD60</f>
        <v>Escocia</v>
      </c>
      <c r="G460" s="9" t="str">
        <f ca="1">+WORLDCUP!BD58</f>
        <v>República Checa</v>
      </c>
      <c r="H460" s="9" t="str">
        <f ca="1">+WORLDCUP!BD63</f>
        <v>Suecia</v>
      </c>
      <c r="I460" s="9" t="str">
        <f ca="1">+WORLDCUP!BD61</f>
        <v>Estados Unidos</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Egipto</v>
      </c>
      <c r="E461" s="9" t="str">
        <f ca="1">+WORLDCUP!BD59</f>
        <v>Bosnia y Herzegovina</v>
      </c>
      <c r="F461" s="9" t="str">
        <f ca="1">+WORLDCUP!BD60</f>
        <v>Escocia</v>
      </c>
      <c r="G461" s="9" t="str">
        <f ca="1">+WORLDCUP!BD58</f>
        <v>República Checa</v>
      </c>
      <c r="H461" s="9" t="str">
        <f ca="1">+WORLDCUP!BD63</f>
        <v>Suecia</v>
      </c>
      <c r="I461" s="9" t="str">
        <f ca="1">+WORLDCUP!BD61</f>
        <v>Estados Unidos</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Estados Unidos</v>
      </c>
      <c r="I462" s="9" t="str">
        <f ca="1">+WORLDCUP!BD69</f>
        <v>Ghana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Estados Unidos</v>
      </c>
      <c r="I463" s="9" t="str">
        <f ca="1">+WORLDCUP!BD69</f>
        <v>Ghana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Estados Unidos</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Estados Unidos</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República Checa</v>
      </c>
      <c r="H466" s="9" t="str">
        <f ca="1">+WORLDCUP!BD61</f>
        <v>Estados Unidos</v>
      </c>
      <c r="I466" s="9" t="str">
        <f ca="1">+WORLDCUP!BD69</f>
        <v>Ghana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Estados Unidos</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Estados Unidos</v>
      </c>
      <c r="I468" s="9" t="str">
        <f ca="1">+WORLDCUP!BD62</f>
        <v>Ecuador</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República Checa</v>
      </c>
      <c r="H469" s="9" t="str">
        <f ca="1">+WORLDCUP!BD61</f>
        <v>Estados Unidos</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República Checa</v>
      </c>
      <c r="H470" s="9" t="str">
        <f ca="1">+WORLDCUP!BD61</f>
        <v>Estados Unidos</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Estados Unidos</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Egipto</v>
      </c>
      <c r="E472" s="9" t="str">
        <f ca="1">+WORLDCUP!BD59</f>
        <v>Bosnia y Herzegovina</v>
      </c>
      <c r="F472" s="9" t="str">
        <f ca="1">+WORLDCUP!BD60</f>
        <v>Escocia</v>
      </c>
      <c r="G472" s="9" t="str">
        <f ca="1">+WORLDCUP!BD58</f>
        <v>República Checa</v>
      </c>
      <c r="H472" s="9" t="str">
        <f ca="1">+WORLDCUP!BD61</f>
        <v>Estados Unidos</v>
      </c>
      <c r="I472" s="9" t="str">
        <f ca="1">+WORLDCUP!BD69</f>
        <v>Ghana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Egipto</v>
      </c>
      <c r="E473" s="9" t="str">
        <f ca="1">+WORLDCUP!BD59</f>
        <v>Bosnia y Herzegovina</v>
      </c>
      <c r="F473" s="9" t="str">
        <f ca="1">+WORLDCUP!BD60</f>
        <v>Escocia</v>
      </c>
      <c r="G473" s="9" t="str">
        <f ca="1">+WORLDCUP!BD58</f>
        <v>República Checa</v>
      </c>
      <c r="H473" s="9" t="str">
        <f ca="1">+WORLDCUP!BD61</f>
        <v>Estados Unidos</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Egipto</v>
      </c>
      <c r="E474" s="9" t="str">
        <f ca="1">+WORLDCUP!BD59</f>
        <v>Bosnia y Herzegovina</v>
      </c>
      <c r="F474" s="9" t="str">
        <f ca="1">+WORLDCUP!BD60</f>
        <v>Escocia</v>
      </c>
      <c r="G474" s="9" t="str">
        <f ca="1">+WORLDCUP!BD58</f>
        <v>República Checa</v>
      </c>
      <c r="H474" s="9" t="str">
        <f ca="1">+WORLDCUP!BD61</f>
        <v>Estados Unidos</v>
      </c>
      <c r="I474" s="9" t="str">
        <f ca="1">+WORLDCUP!BD67</f>
        <v>Argelia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Egipto</v>
      </c>
      <c r="E475" s="9" t="str">
        <f ca="1">+WORLDCUP!BD59</f>
        <v>Bosnia y Herzegovina</v>
      </c>
      <c r="F475" s="9" t="str">
        <f ca="1">+WORLDCUP!BD60</f>
        <v>Escocia</v>
      </c>
      <c r="G475" s="9" t="str">
        <f ca="1">+WORLDCUP!BD58</f>
        <v>República Checa</v>
      </c>
      <c r="H475" s="9" t="str">
        <f ca="1">+WORLDCUP!BD61</f>
        <v>Estados Unidos</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Egipto</v>
      </c>
      <c r="E476" s="9" t="str">
        <f ca="1">+WORLDCUP!BD59</f>
        <v>Bosnia y Herzegovina</v>
      </c>
      <c r="F476" s="9" t="str">
        <f ca="1">+WORLDCUP!BD60</f>
        <v>Escocia</v>
      </c>
      <c r="G476" s="9" t="str">
        <f ca="1">+WORLDCUP!BD58</f>
        <v>República Checa</v>
      </c>
      <c r="H476" s="9" t="str">
        <f ca="1">+WORLDCUP!BD61</f>
        <v>Estados Unidos</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Egipto</v>
      </c>
      <c r="E477" s="9" t="str">
        <f ca="1">+WORLDCUP!BD59</f>
        <v>Bosnia y Herzegovina</v>
      </c>
      <c r="F477" s="9" t="str">
        <f ca="1">+WORLDCUP!BD60</f>
        <v>Escocia</v>
      </c>
      <c r="G477" s="9" t="str">
        <f ca="1">+WORLDCUP!BD58</f>
        <v>República Checa</v>
      </c>
      <c r="H477" s="9" t="str">
        <f ca="1">+WORLDCUP!BD61</f>
        <v>Estados Unidos</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Egipto</v>
      </c>
      <c r="E478" s="9" t="str">
        <f ca="1">+WORLDCUP!BD59</f>
        <v>Bosnia y Herzegovina</v>
      </c>
      <c r="F478" s="9" t="str">
        <f ca="1">+WORLDCUP!BD60</f>
        <v>Escocia</v>
      </c>
      <c r="G478" s="9" t="str">
        <f ca="1">+WORLDCUP!BD58</f>
        <v>República Checa</v>
      </c>
      <c r="H478" s="9" t="str">
        <f ca="1">+WORLDCUP!BD61</f>
        <v>Estados Unidos</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Egipto</v>
      </c>
      <c r="E479" s="9" t="str">
        <f ca="1">+WORLDCUP!BD59</f>
        <v>Bosnia y Herzegovina</v>
      </c>
      <c r="F479" s="9" t="str">
        <f ca="1">+WORLDCUP!BD60</f>
        <v>Escocia</v>
      </c>
      <c r="G479" s="9" t="str">
        <f ca="1">+WORLDCUP!BD58</f>
        <v>República Checa</v>
      </c>
      <c r="H479" s="9" t="str">
        <f ca="1">+WORLDCUP!BD61</f>
        <v>Estados Unidos</v>
      </c>
      <c r="I479" s="9" t="str">
        <f ca="1">+WORLDCUP!BD62</f>
        <v>Ecuador</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Egipto</v>
      </c>
      <c r="E480" s="9" t="str">
        <f ca="1">+WORLDCUP!BD59</f>
        <v>Bosnia y Herzegovina</v>
      </c>
      <c r="F480" s="9" t="str">
        <f ca="1">+WORLDCUP!BD60</f>
        <v>Escocia</v>
      </c>
      <c r="G480" s="9" t="str">
        <f ca="1">+WORLDCUP!BD58</f>
        <v>República Checa</v>
      </c>
      <c r="H480" s="9" t="str">
        <f ca="1">+WORLDCUP!BD61</f>
        <v>Estados Unidos</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Egipto</v>
      </c>
      <c r="E481" s="9" t="str">
        <f ca="1">+WORLDCUP!BD59</f>
        <v>Bosnia y Herzegovina</v>
      </c>
      <c r="F481" s="9" t="str">
        <f ca="1">+WORLDCUP!BD60</f>
        <v>Escocia</v>
      </c>
      <c r="G481" s="9" t="str">
        <f ca="1">+WORLDCUP!BD58</f>
        <v>República Checa</v>
      </c>
      <c r="H481" s="9" t="str">
        <f ca="1">+WORLDCUP!BD61</f>
        <v>Estados Unidos</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Estados Unidos</v>
      </c>
      <c r="G482" s="9" t="str">
        <f ca="1">+WORLDCUP!BD58</f>
        <v>República Checa</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Estados Unidos</v>
      </c>
      <c r="G483" s="9" t="str">
        <f ca="1">+WORLDCUP!BD58</f>
        <v>República Checa</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Estados Unidos</v>
      </c>
      <c r="G484" s="9" t="str">
        <f ca="1">+WORLDCUP!BD58</f>
        <v>República Checa</v>
      </c>
      <c r="H484" s="9" t="str">
        <f ca="1">+WORLDCUP!BD63</f>
        <v>Suecia</v>
      </c>
      <c r="I484" s="9" t="str">
        <f ca="1">+WORLDCUP!BD62</f>
        <v>Ecuador</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Estados Unidos</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Estados Unidos</v>
      </c>
      <c r="G486" s="9" t="str">
        <f ca="1">+WORLDCUP!BD58</f>
        <v>República Checa</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Estados Unidos</v>
      </c>
      <c r="G487" s="9" t="str">
        <f ca="1">+WORLDCUP!BD58</f>
        <v>República Checa</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Estados Unidos</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República Checa</v>
      </c>
      <c r="H489" s="9" t="str">
        <f ca="1">+WORLDCUP!BD63</f>
        <v>Suecia</v>
      </c>
      <c r="I489" s="9" t="str">
        <f ca="1">+WORLDCUP!BD61</f>
        <v>Estados Unidos</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Estados Unidos</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República Checa</v>
      </c>
      <c r="H491" s="9" t="str">
        <f ca="1">+WORLDCUP!BD63</f>
        <v>Suecia</v>
      </c>
      <c r="I491" s="9" t="str">
        <f ca="1">+WORLDCUP!BD61</f>
        <v>Estados Unidos</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Bosnia y Herzegovina</v>
      </c>
      <c r="F492" s="9" t="str">
        <f ca="1">+WORLDCUP!BD61</f>
        <v>Estados Unidos</v>
      </c>
      <c r="G492" s="9" t="str">
        <f ca="1">+WORLDCUP!BD58</f>
        <v>República Checa</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Bosnia y Herzegovina</v>
      </c>
      <c r="F493" s="9" t="str">
        <f ca="1">+WORLDCUP!BD61</f>
        <v>Estados Unidos</v>
      </c>
      <c r="G493" s="9" t="str">
        <f ca="1">+WORLDCUP!BD58</f>
        <v>República Checa</v>
      </c>
      <c r="H493" s="9" t="str">
        <f ca="1">+WORLDCUP!BD63</f>
        <v>Suecia</v>
      </c>
      <c r="I493" s="9" t="str">
        <f ca="1">+WORLDCUP!BD62</f>
        <v>Ecuador</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Bosnia y Herzegovina</v>
      </c>
      <c r="F494" s="9" t="str">
        <f ca="1">+WORLDCUP!BD61</f>
        <v>Estados Unidos</v>
      </c>
      <c r="G494" s="9" t="str">
        <f ca="1">+WORLDCUP!BD58</f>
        <v>República Checa</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Bosnia y Herzegovina</v>
      </c>
      <c r="F495" s="9" t="str">
        <f ca="1">+WORLDCUP!BD61</f>
        <v>Estados Unidos</v>
      </c>
      <c r="G495" s="9" t="str">
        <f ca="1">+WORLDCUP!BD58</f>
        <v>República Checa</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Bosnia y Herzegovina</v>
      </c>
      <c r="F496" s="9" t="str">
        <f ca="1">+WORLDCUP!BD60</f>
        <v>Escocia</v>
      </c>
      <c r="G496" s="9" t="str">
        <f ca="1">+WORLDCUP!BD58</f>
        <v>República Checa</v>
      </c>
      <c r="H496" s="9" t="str">
        <f ca="1">+WORLDCUP!BD63</f>
        <v>Suecia</v>
      </c>
      <c r="I496" s="9" t="str">
        <f ca="1">+WORLDCUP!BD61</f>
        <v>Estados Unidos</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6">
      <c r="L89" s="3"/>
      <c r="M89" s="3"/>
      <c r="N89" s="3"/>
      <c r="O89" s="6"/>
      <c r="P89" s="6"/>
      <c r="Q89" s="6"/>
      <c r="R89" s="6"/>
      <c r="T89" s="16" t="s">
        <v>1479</v>
      </c>
      <c r="U89" s="9" t="s">
        <v>1466</v>
      </c>
      <c r="V89" s="9" t="s">
        <v>1466</v>
      </c>
      <c r="W89" s="585" t="s">
        <v>1468</v>
      </c>
      <c r="X89" s="584" t="e" vm="52">
        <v>#VALUE!</v>
      </c>
      <c r="Y89" s="9">
        <v>-4</v>
      </c>
      <c r="Z89" s="6"/>
      <c r="AA89" s="6"/>
      <c r="AB89" s="6"/>
    </row>
    <row r="90" spans="12:28" ht="15.6">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Marc Masclans</cp:lastModifiedBy>
  <cp:lastPrinted>2018-12-06T18:06:35Z</cp:lastPrinted>
  <dcterms:created xsi:type="dcterms:W3CDTF">2015-10-31T09:41:54Z</dcterms:created>
  <dcterms:modified xsi:type="dcterms:W3CDTF">2026-06-14T18:18:15Z</dcterms:modified>
</cp:coreProperties>
</file>