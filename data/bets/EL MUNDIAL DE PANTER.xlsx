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Ander\Downloads\"/>
    </mc:Choice>
  </mc:AlternateContent>
  <xr:revisionPtr revIDLastSave="0" documentId="8_{93B3D3C0-6844-4198-AFFB-B6730708196E}"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28680" yWindow="-120" windowWidth="29040" windowHeight="1584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BC29" i="3" l="1"/>
  <c r="AF29" i="3"/>
  <c r="AA32" i="3"/>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E29"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B32" i="3" l="1" a="1"/>
  <c r="F28" i="45"/>
  <c r="B13" i="31"/>
  <c r="C31" i="45"/>
  <c r="B60" i="31"/>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L26" i="3"/>
  <c r="BL9" i="3"/>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25" i="32" l="1"/>
  <c r="Y125" i="3" s="1"/>
  <c r="C56" i="32"/>
  <c r="X56" i="3" s="1"/>
  <c r="C7" i="32"/>
  <c r="X7" i="3" s="1"/>
  <c r="C81" i="32"/>
  <c r="X81" i="3" s="1"/>
  <c r="C116" i="32"/>
  <c r="X116" i="3" s="1"/>
  <c r="C108" i="32"/>
  <c r="Y108" i="3" s="1"/>
  <c r="C25" i="32"/>
  <c r="X25" i="3" s="1"/>
  <c r="C138" i="32"/>
  <c r="Y138" i="3" s="1"/>
  <c r="C61" i="32"/>
  <c r="X61" i="3" s="1"/>
  <c r="C105" i="32"/>
  <c r="X105" i="3" s="1"/>
  <c r="C95" i="32"/>
  <c r="X95" i="3" s="1"/>
  <c r="C17" i="32"/>
  <c r="X17" i="3" s="1"/>
  <c r="C65" i="32"/>
  <c r="Y65" i="3" s="1"/>
  <c r="C29" i="32"/>
  <c r="Y29" i="3" s="1"/>
  <c r="C110" i="32"/>
  <c r="X110" i="3" s="1"/>
  <c r="C79" i="32"/>
  <c r="Y79" i="3" s="1"/>
  <c r="C6" i="32"/>
  <c r="X6" i="3" s="1"/>
  <c r="C31" i="32"/>
  <c r="Y31" i="3" s="1"/>
  <c r="C94" i="32"/>
  <c r="X94" i="3" s="1"/>
  <c r="C103" i="32"/>
  <c r="X103" i="3" s="1"/>
  <c r="C14" i="32"/>
  <c r="X14" i="3" s="1"/>
  <c r="C38" i="32"/>
  <c r="Y38" i="3" s="1"/>
  <c r="C20" i="32"/>
  <c r="Y20" i="3" s="1"/>
  <c r="C45" i="32"/>
  <c r="X45" i="3" s="1"/>
  <c r="C86" i="32"/>
  <c r="X86" i="3" s="1"/>
  <c r="C139" i="32"/>
  <c r="X139" i="3" s="1"/>
  <c r="C23" i="32"/>
  <c r="X23" i="3" s="1"/>
  <c r="C12" i="32"/>
  <c r="X12" i="3" s="1"/>
  <c r="C92" i="32"/>
  <c r="X92" i="3" s="1"/>
  <c r="C78" i="32"/>
  <c r="Y78" i="3" s="1"/>
  <c r="C113" i="32"/>
  <c r="X113" i="3" s="1"/>
  <c r="C21" i="32"/>
  <c r="X21" i="3" s="1"/>
  <c r="C16" i="32"/>
  <c r="X16" i="3" s="1"/>
  <c r="C64" i="32"/>
  <c r="Y64" i="3" s="1"/>
  <c r="C9" i="32"/>
  <c r="X9" i="3" s="1"/>
  <c r="C13" i="32"/>
  <c r="Y13" i="3" s="1"/>
  <c r="C62" i="32"/>
  <c r="Y62" i="3" s="1"/>
  <c r="C33" i="32"/>
  <c r="X33" i="3" s="1"/>
  <c r="C54" i="32"/>
  <c r="Y54" i="3" s="1"/>
  <c r="C5" i="32"/>
  <c r="Y5" i="3" s="1"/>
  <c r="C101" i="32"/>
  <c r="Y101" i="3" s="1"/>
  <c r="C60" i="32"/>
  <c r="Y60" i="3" s="1"/>
  <c r="C120" i="32"/>
  <c r="X120" i="3" s="1"/>
  <c r="C134" i="32"/>
  <c r="Y134" i="3" s="1"/>
  <c r="C41" i="32"/>
  <c r="X41" i="3" s="1"/>
  <c r="C143" i="32"/>
  <c r="X143" i="3" s="1"/>
  <c r="C53" i="32"/>
  <c r="Y53" i="3" s="1"/>
  <c r="C49" i="32"/>
  <c r="X49" i="3" s="1"/>
  <c r="C115" i="32"/>
  <c r="Y115" i="3" s="1"/>
  <c r="C28" i="32"/>
  <c r="X28" i="3" s="1"/>
  <c r="C55" i="32"/>
  <c r="Y55" i="3" s="1"/>
  <c r="C85" i="32"/>
  <c r="X85" i="3" s="1"/>
  <c r="C106" i="32"/>
  <c r="Y106" i="3" s="1"/>
  <c r="C93" i="32"/>
  <c r="Y93" i="3" s="1"/>
  <c r="C69" i="32"/>
  <c r="Y69" i="3" s="1"/>
  <c r="C84" i="32"/>
  <c r="X84" i="3" s="1"/>
  <c r="C88" i="32"/>
  <c r="X88"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22" i="3"/>
  <c r="Y105" i="3"/>
  <c r="X29" i="3"/>
  <c r="X31" i="3"/>
  <c r="Y81" i="3"/>
  <c r="Y95" i="3"/>
  <c r="X108" i="3"/>
  <c r="Y116" i="3"/>
  <c r="Y25" i="3"/>
  <c r="Y7" i="3"/>
  <c r="Y56" i="3"/>
  <c r="X138" i="3"/>
  <c r="X62" i="3"/>
  <c r="X79" i="3"/>
  <c r="Y6" i="3"/>
  <c r="X20" i="3"/>
  <c r="X54" i="3"/>
  <c r="X60" i="3"/>
  <c r="Y33" i="3"/>
  <c r="X5" i="3" l="1"/>
  <c r="X125" i="3"/>
  <c r="Y14" i="3"/>
  <c r="X53" i="3"/>
  <c r="Y61" i="3"/>
  <c r="X38" i="3"/>
  <c r="X65" i="3"/>
  <c r="Y17" i="3"/>
  <c r="Y143" i="3"/>
  <c r="Y113" i="3"/>
  <c r="Y9" i="3"/>
  <c r="X106" i="3"/>
  <c r="Y21" i="3"/>
  <c r="X78" i="3"/>
  <c r="Y103" i="3"/>
  <c r="X101" i="3"/>
  <c r="Y28" i="3"/>
  <c r="Y110" i="3"/>
  <c r="Y94" i="3"/>
  <c r="Y16" i="3"/>
  <c r="X55" i="3"/>
  <c r="Y86" i="3"/>
  <c r="Y4" i="3"/>
  <c r="Y45" i="3"/>
  <c r="Y92" i="3"/>
  <c r="Y85" i="3"/>
  <c r="X13" i="3"/>
  <c r="X63" i="3"/>
  <c r="X64" i="3"/>
  <c r="Y120" i="3"/>
  <c r="Y23" i="3"/>
  <c r="Y139" i="3"/>
  <c r="Y41" i="3"/>
  <c r="X134" i="3"/>
  <c r="Y12" i="3"/>
  <c r="Y49" i="3"/>
  <c r="X115" i="3"/>
  <c r="Y76" i="3"/>
  <c r="X131" i="3"/>
  <c r="Y102" i="3"/>
  <c r="Y104" i="3"/>
  <c r="X24" i="3"/>
  <c r="Y121" i="3"/>
  <c r="X89" i="3"/>
  <c r="X48" i="3"/>
  <c r="X123" i="3"/>
  <c r="Y133" i="3"/>
  <c r="X122" i="3"/>
  <c r="X124" i="3"/>
  <c r="X47" i="3"/>
  <c r="X44" i="3"/>
  <c r="X68" i="3"/>
  <c r="Y127" i="3"/>
  <c r="Y114" i="3"/>
  <c r="X57" i="3"/>
  <c r="Y88" i="3"/>
  <c r="X93" i="3"/>
  <c r="Y84" i="3"/>
  <c r="X69"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F46" i="3"/>
  <c r="E45" i="3"/>
  <c r="BW29" i="3" s="1"/>
  <c r="F92" i="3"/>
  <c r="F95" i="3"/>
  <c r="BW53" i="3" s="1"/>
  <c r="E97" i="3"/>
  <c r="BV52" i="3" s="1"/>
  <c r="F81" i="3"/>
  <c r="E76" i="3"/>
  <c r="E78" i="3"/>
  <c r="BW44" i="3" s="1"/>
  <c r="E48" i="3"/>
  <c r="F44" i="3"/>
  <c r="F47" i="3"/>
  <c r="E38" i="3"/>
  <c r="BW22" i="3"/>
  <c r="F41" i="3"/>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BW27" i="3" s="1"/>
  <c r="E46" i="3"/>
  <c r="BW26" i="3"/>
  <c r="F49" i="3"/>
  <c r="BU29" i="3" s="1"/>
  <c r="E73" i="3"/>
  <c r="F68" i="3"/>
  <c r="F71" i="3"/>
  <c r="E71" i="3"/>
  <c r="E72" i="3"/>
  <c r="F69" i="3"/>
  <c r="E55" i="3"/>
  <c r="E57" i="3"/>
  <c r="F55" i="3"/>
  <c r="BU33" i="3" s="1"/>
  <c r="BU31" i="3"/>
  <c r="F52" i="3"/>
  <c r="BU30" i="3" s="1"/>
  <c r="F25" i="3"/>
  <c r="E21" i="3"/>
  <c r="BU17" i="3" s="1"/>
  <c r="F23" i="3"/>
  <c r="E84" i="3"/>
  <c r="F88" i="3"/>
  <c r="E86" i="3"/>
  <c r="E17" i="3"/>
  <c r="F14" i="3"/>
  <c r="F12" i="3"/>
  <c r="E22" i="3"/>
  <c r="E24" i="3"/>
  <c r="F21" i="3"/>
  <c r="BU16" i="3" s="1"/>
  <c r="E29" i="3"/>
  <c r="F30" i="3"/>
  <c r="F33" i="3"/>
  <c r="BU45" i="3"/>
  <c r="E81" i="3"/>
  <c r="E79" i="3"/>
  <c r="F77" i="3"/>
  <c r="F61" i="3"/>
  <c r="E65" i="3"/>
  <c r="E63" i="3"/>
  <c r="E9" i="3"/>
  <c r="F4" i="3"/>
  <c r="F6" i="3"/>
  <c r="F79" i="3"/>
  <c r="E80" i="3"/>
  <c r="BU43" i="3"/>
  <c r="F76" i="3"/>
  <c r="BW42" i="3" s="1"/>
  <c r="F80" i="3"/>
  <c r="E77" i="3"/>
  <c r="F78" i="3"/>
  <c r="BU42" i="3" s="1"/>
  <c r="BU44" i="3"/>
  <c r="E61" i="3"/>
  <c r="BW37" i="3" s="1"/>
  <c r="F62" i="3"/>
  <c r="BU36" i="3"/>
  <c r="F64" i="3"/>
  <c r="BU35" i="3" s="1"/>
  <c r="F72" i="3"/>
  <c r="BU41" i="3" s="1"/>
  <c r="E68" i="3"/>
  <c r="BW38" i="3"/>
  <c r="E70" i="3"/>
  <c r="BU51" i="3" l="1"/>
  <c r="BW45" i="3"/>
  <c r="BW39" i="3"/>
  <c r="BW43" i="3"/>
  <c r="BW40" i="3"/>
  <c r="BU38" i="3"/>
  <c r="BW35" i="3"/>
  <c r="BU37" i="3"/>
  <c r="BU34" i="3"/>
  <c r="BW36" i="3"/>
  <c r="BU27" i="3"/>
  <c r="BW28" i="3"/>
  <c r="BU28" i="3"/>
  <c r="BU26" i="3"/>
  <c r="BW18" i="3"/>
  <c r="BW21" i="3"/>
  <c r="BU19" i="3"/>
  <c r="BU25" i="3"/>
  <c r="BU22" i="3"/>
  <c r="BW23" i="3"/>
  <c r="BW24" i="3"/>
  <c r="BW15" i="3"/>
  <c r="BV50" i="3"/>
  <c r="BV51" i="3"/>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V37" i="3"/>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7" i="3" l="1"/>
  <c r="BX34" i="3"/>
  <c r="BX53" i="3"/>
  <c r="BX5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BZ24" i="3"/>
  <c r="H37" i="3" s="1"/>
  <c r="BZ9" i="3"/>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5" i="3"/>
  <c r="I23" i="3"/>
  <c r="I24" i="3"/>
  <c r="H23" i="3"/>
  <c r="H20" i="3"/>
  <c r="I22" i="3"/>
  <c r="H21" i="3"/>
  <c r="I20" i="3"/>
  <c r="H8" i="3"/>
  <c r="H6"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CA6" i="3" s="1"/>
  <c r="I39" i="3"/>
  <c r="H7" i="3"/>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A13" i="3"/>
  <c r="CB8"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1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l="1"/>
  <c r="K93" i="3"/>
  <c r="L87" i="3"/>
  <c r="L84"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49" i="3"/>
  <c r="CF46" i="3"/>
  <c r="CF21" i="3"/>
  <c r="CF22"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H40" i="3"/>
  <c r="CH11" i="3"/>
  <c r="O12" i="3" s="1"/>
  <c r="CH14" i="3"/>
  <c r="CH13" i="3"/>
  <c r="O13" i="3" s="1"/>
  <c r="O97" i="3" l="1"/>
  <c r="N95" i="3"/>
  <c r="O94" i="3"/>
  <c r="N96" i="3"/>
  <c r="O95" i="3"/>
  <c r="O93" i="3"/>
  <c r="N79" i="3"/>
  <c r="O64" i="3"/>
  <c r="N61" i="3"/>
  <c r="N56" i="3"/>
  <c r="O47" i="3"/>
  <c r="O44" i="3"/>
  <c r="CI26" i="3" s="1"/>
  <c r="CI36" i="3"/>
  <c r="CI27" i="3"/>
  <c r="N29" i="3"/>
  <c r="CJ50" i="3"/>
  <c r="CI9" i="3"/>
  <c r="O55" i="3"/>
  <c r="O33" i="3"/>
  <c r="CJ19" i="3" s="1"/>
  <c r="N9" i="3"/>
  <c r="N36" i="3"/>
  <c r="O41" i="3"/>
  <c r="O4" i="3"/>
  <c r="O69" i="3"/>
  <c r="CK40" i="3" s="1"/>
  <c r="CI35" i="3"/>
  <c r="N72" i="3"/>
  <c r="CK21" i="3"/>
  <c r="O30" i="3"/>
  <c r="N32" i="3"/>
  <c r="CJ18" i="3" s="1"/>
  <c r="N7" i="3"/>
  <c r="O29" i="3"/>
  <c r="CI20" i="3" s="1"/>
  <c r="N49" i="3"/>
  <c r="N52" i="3"/>
  <c r="N54" i="3"/>
  <c r="CI44" i="3"/>
  <c r="N37" i="3"/>
  <c r="N8" i="3"/>
  <c r="CK22" i="3"/>
  <c r="CK41" i="3"/>
  <c r="O52" i="3"/>
  <c r="N97" i="3"/>
  <c r="O77" i="3"/>
  <c r="N80" i="3"/>
  <c r="N55" i="3"/>
  <c r="N81" i="3"/>
  <c r="N84" i="3"/>
  <c r="CI45" i="3"/>
  <c r="O5" i="3"/>
  <c r="N47" i="3"/>
  <c r="CK46" i="3"/>
  <c r="CI33" i="3"/>
  <c r="O53" i="3"/>
  <c r="O79" i="3"/>
  <c r="N6" i="3"/>
  <c r="N86" i="3"/>
  <c r="O32" i="3"/>
  <c r="CI12" i="3"/>
  <c r="CI43" i="3"/>
  <c r="N88" i="3"/>
  <c r="N30" i="3"/>
  <c r="CI25" i="3"/>
  <c r="CK6" i="3"/>
  <c r="CK18" i="3"/>
  <c r="CI18" i="3"/>
  <c r="CK25" i="3"/>
  <c r="N73" i="3"/>
  <c r="CI34" i="3"/>
  <c r="CI15" i="3"/>
  <c r="N15" i="3"/>
  <c r="CI37" i="3"/>
  <c r="CI11" i="3"/>
  <c r="O96" i="3"/>
  <c r="CJ53" i="3" s="1"/>
  <c r="CL53" i="3" s="1"/>
  <c r="CK34" i="3"/>
  <c r="CK8" i="3"/>
  <c r="CI39" i="3"/>
  <c r="CK30" i="3"/>
  <c r="N68" i="3"/>
  <c r="CK50" i="3"/>
  <c r="O40" i="3"/>
  <c r="O15" i="3"/>
  <c r="N65" i="3"/>
  <c r="O9" i="3"/>
  <c r="CI7" i="3" s="1"/>
  <c r="CI23" i="3"/>
  <c r="O36" i="3"/>
  <c r="CJ22" i="3" s="1"/>
  <c r="O61" i="3"/>
  <c r="CJ36" i="3" s="1"/>
  <c r="CI47" i="3"/>
  <c r="CK37" i="3"/>
  <c r="N13" i="3"/>
  <c r="O68" i="3"/>
  <c r="O57" i="3"/>
  <c r="O65" i="3"/>
  <c r="N40" i="3"/>
  <c r="O31" i="3"/>
  <c r="CJ21" i="3" s="1"/>
  <c r="N92" i="3"/>
  <c r="CK51" i="3" s="1"/>
  <c r="CK12" i="3"/>
  <c r="N77" i="3"/>
  <c r="CI19" i="3"/>
  <c r="O25" i="3"/>
  <c r="O37" i="3"/>
  <c r="CI24" i="3" s="1"/>
  <c r="N5" i="3"/>
  <c r="CJ9" i="3" s="1"/>
  <c r="O72" i="3"/>
  <c r="O84" i="3"/>
  <c r="CI46" i="3" s="1"/>
  <c r="CK39" i="3"/>
  <c r="O87" i="3"/>
  <c r="N60" i="3"/>
  <c r="CK35" i="3" s="1"/>
  <c r="O78" i="3"/>
  <c r="O23" i="3"/>
  <c r="N94" i="3"/>
  <c r="CK52" i="3" s="1"/>
  <c r="N39" i="3"/>
  <c r="CK38" i="3"/>
  <c r="CI52" i="3"/>
  <c r="N4" i="3"/>
  <c r="CK19" i="3"/>
  <c r="N87" i="3"/>
  <c r="N25" i="3"/>
  <c r="CK16" i="3" s="1"/>
  <c r="O22" i="3"/>
  <c r="N76" i="3"/>
  <c r="CJ43" i="3" s="1"/>
  <c r="O49" i="3"/>
  <c r="CI29" i="3" s="1"/>
  <c r="N46" i="3"/>
  <c r="CJ28" i="3" s="1"/>
  <c r="N53" i="3"/>
  <c r="CK28" i="3"/>
  <c r="N85" i="3"/>
  <c r="N44" i="3"/>
  <c r="CK27" i="3" s="1"/>
  <c r="N12" i="3"/>
  <c r="O54" i="3"/>
  <c r="O89" i="3"/>
  <c r="O56" i="3"/>
  <c r="N24" i="3"/>
  <c r="O46" i="3"/>
  <c r="CI28" i="3"/>
  <c r="O21" i="3"/>
  <c r="CI16" i="3" s="1"/>
  <c r="N45" i="3"/>
  <c r="CK29" i="3" s="1"/>
  <c r="CK32" i="3"/>
  <c r="N16" i="3"/>
  <c r="CI48" i="3"/>
  <c r="CK26" i="3"/>
  <c r="CJ48" i="3"/>
  <c r="O20" i="3"/>
  <c r="CI14" i="3" s="1"/>
  <c r="N33" i="3"/>
  <c r="CK10" i="3"/>
  <c r="N69" i="3"/>
  <c r="O73" i="3"/>
  <c r="O60" i="3"/>
  <c r="O63" i="3"/>
  <c r="CI40" i="3"/>
  <c r="O70" i="3"/>
  <c r="CK17" i="3"/>
  <c r="N22" i="3"/>
  <c r="CK42" i="3"/>
  <c r="N78" i="3"/>
  <c r="O81" i="3"/>
  <c r="N14" i="3"/>
  <c r="CK13" i="3"/>
  <c r="N23" i="3"/>
  <c r="N20" i="3"/>
  <c r="CK15" i="3" s="1"/>
  <c r="O24" i="3"/>
  <c r="N17" i="3"/>
  <c r="O14" i="3"/>
  <c r="CK53" i="3"/>
  <c r="CK14" i="3"/>
  <c r="CK49" i="3"/>
  <c r="CI51" i="3" l="1"/>
  <c r="CI50" i="3"/>
  <c r="CK48" i="3"/>
  <c r="CI49" i="3"/>
  <c r="CK47" i="3"/>
  <c r="CK45" i="3"/>
  <c r="CK44" i="3"/>
  <c r="CK43" i="3"/>
  <c r="CI41" i="3"/>
  <c r="CI38" i="3"/>
  <c r="CK36" i="3"/>
  <c r="CK33" i="3"/>
  <c r="CK31" i="3"/>
  <c r="CI21" i="3"/>
  <c r="CK24" i="3"/>
  <c r="CI22" i="3"/>
  <c r="CK23" i="3"/>
  <c r="CI10" i="3"/>
  <c r="CI13" i="3"/>
  <c r="CL36" i="3"/>
  <c r="CK11" i="3"/>
  <c r="CK7" i="3"/>
  <c r="CI6" i="3"/>
  <c r="CI8" i="3"/>
  <c r="CJ30" i="3"/>
  <c r="CL30" i="3" s="1"/>
  <c r="CJ32" i="3"/>
  <c r="CL32" i="3" s="1"/>
  <c r="CJ52" i="3"/>
  <c r="CL52" i="3" s="1"/>
  <c r="CJ40" i="3"/>
  <c r="CL40" i="3" s="1"/>
  <c r="CL9" i="3"/>
  <c r="CJ26" i="3"/>
  <c r="CL26" i="3" s="1"/>
  <c r="CJ51" i="3"/>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J12" i="3"/>
  <c r="CL12" i="3" s="1"/>
  <c r="CJ25" i="3"/>
  <c r="CL25" i="3" s="1"/>
  <c r="CJ8" i="3"/>
  <c r="CJ6" i="3"/>
  <c r="CJ7" i="3"/>
  <c r="CL7" i="3" s="1"/>
  <c r="CJ23" i="3"/>
  <c r="CL23" i="3" s="1"/>
  <c r="CJ37" i="3"/>
  <c r="CL37" i="3" s="1"/>
  <c r="CJ39" i="3"/>
  <c r="CL39" i="3" s="1"/>
  <c r="CJ41" i="3"/>
  <c r="CJ29" i="3"/>
  <c r="CL29" i="3" s="1"/>
  <c r="CJ27" i="3"/>
  <c r="CL27" i="3" s="1"/>
  <c r="CL51" i="3" l="1"/>
  <c r="CL50" i="3"/>
  <c r="CL41" i="3"/>
  <c r="CL22" i="3"/>
  <c r="CL10" i="3"/>
  <c r="CL13" i="3"/>
  <c r="CL6" i="3"/>
  <c r="CL8" i="3"/>
  <c r="CM48" i="3"/>
  <c r="CM40" i="3"/>
  <c r="CM47" i="3"/>
  <c r="CM9" i="3"/>
  <c r="CM7" i="3"/>
  <c r="CM39" i="3"/>
  <c r="CM51" i="3" l="1"/>
  <c r="CM50" i="3"/>
  <c r="CM53" i="3"/>
  <c r="CM49" i="3"/>
  <c r="CM52" i="3"/>
  <c r="CM43" i="3"/>
  <c r="CM46" i="3"/>
  <c r="CM45" i="3"/>
  <c r="CM44" i="3"/>
  <c r="CM42" i="3"/>
  <c r="CM41" i="3"/>
  <c r="CM35" i="3"/>
  <c r="CM38" i="3"/>
  <c r="CM36" i="3"/>
  <c r="CM37" i="3"/>
  <c r="CM34" i="3"/>
  <c r="CM33" i="3"/>
  <c r="CM32" i="3"/>
  <c r="CM31" i="3"/>
  <c r="CM30" i="3"/>
  <c r="CM27" i="3"/>
  <c r="CM29" i="3"/>
  <c r="CM28" i="3"/>
  <c r="CM26" i="3"/>
  <c r="CM25" i="3"/>
  <c r="CM24" i="3"/>
  <c r="CM23" i="3"/>
  <c r="CM22" i="3"/>
  <c r="CM18" i="3"/>
  <c r="CM21" i="3"/>
  <c r="CM16" i="3"/>
  <c r="CM19" i="3"/>
  <c r="CM20" i="3"/>
  <c r="CM17" i="3"/>
  <c r="CM15" i="3"/>
  <c r="CM14" i="3"/>
  <c r="CM11" i="3"/>
  <c r="CM13" i="3"/>
  <c r="CM12" i="3"/>
  <c r="CM10" i="3"/>
  <c r="CM8" i="3"/>
  <c r="CM6" i="3"/>
  <c r="CN43" i="3" l="1"/>
  <c r="R76" i="3" s="1"/>
  <c r="CN33" i="3"/>
  <c r="Q57" i="3" s="1"/>
  <c r="CN48" i="3"/>
  <c r="R89" i="3" s="1"/>
  <c r="CN32" i="3"/>
  <c r="Q53" i="3" s="1"/>
  <c r="CN47" i="3"/>
  <c r="Q89" i="3" s="1"/>
  <c r="CN38" i="3"/>
  <c r="Q70" i="3" s="1"/>
  <c r="CN21" i="3"/>
  <c r="CN51" i="3"/>
  <c r="R92" i="3" s="1"/>
  <c r="CN7" i="3"/>
  <c r="CN26" i="3"/>
  <c r="Q44" i="3" s="1"/>
  <c r="CN14" i="3"/>
  <c r="Q20" i="3" s="1"/>
  <c r="CN13" i="3"/>
  <c r="R13" i="3" s="1"/>
  <c r="CN16" i="3"/>
  <c r="R25" i="3" s="1"/>
  <c r="CN12" i="3"/>
  <c r="R15" i="3" s="1"/>
  <c r="CN53" i="3"/>
  <c r="Q95" i="3" s="1"/>
  <c r="CN36" i="3"/>
  <c r="R64" i="3" s="1"/>
  <c r="CN37" i="3"/>
  <c r="R61" i="3" s="1"/>
  <c r="CN50" i="3"/>
  <c r="Q94" i="3" s="1"/>
  <c r="CN49" i="3"/>
  <c r="Q87" i="3" s="1"/>
  <c r="CN23" i="3"/>
  <c r="R36" i="3" s="1"/>
  <c r="CN44" i="3"/>
  <c r="CN19" i="3"/>
  <c r="Q33" i="3" s="1"/>
  <c r="CN18" i="3"/>
  <c r="Q28" i="3" s="1"/>
  <c r="CN10" i="3"/>
  <c r="Q15" i="3" s="1"/>
  <c r="CN22" i="3"/>
  <c r="Q36" i="3" s="1"/>
  <c r="CN9" i="3"/>
  <c r="Q6" i="3" s="1"/>
  <c r="CN40" i="3"/>
  <c r="R73" i="3" s="1"/>
  <c r="CN11" i="3"/>
  <c r="Q17" i="3" s="1"/>
  <c r="CN52" i="3"/>
  <c r="R97" i="3" s="1"/>
  <c r="CN28" i="3"/>
  <c r="R46" i="3" s="1"/>
  <c r="CN46" i="3"/>
  <c r="Q84" i="3" s="1"/>
  <c r="CN17" i="3"/>
  <c r="Q24" i="3" s="1"/>
  <c r="CN24" i="3"/>
  <c r="Q37" i="3" s="1"/>
  <c r="CN42" i="3"/>
  <c r="Q76" i="3" s="1"/>
  <c r="CN41" i="3"/>
  <c r="Q71" i="3" s="1"/>
  <c r="CN8" i="3"/>
  <c r="Q5" i="3" s="1"/>
  <c r="CN34" i="3"/>
  <c r="R65" i="3" s="1"/>
  <c r="CN25" i="3"/>
  <c r="Q41" i="3" s="1"/>
  <c r="CN20" i="3"/>
  <c r="R33" i="3" s="1"/>
  <c r="CN30" i="3"/>
  <c r="R57" i="3" s="1"/>
  <c r="CN31" i="3"/>
  <c r="R52" i="3" s="1"/>
  <c r="CN45" i="3"/>
  <c r="Q79" i="3" s="1"/>
  <c r="CN39" i="3"/>
  <c r="R71" i="3" s="1"/>
  <c r="CN29" i="3"/>
  <c r="Q47" i="3" s="1"/>
  <c r="CN35" i="3"/>
  <c r="R63" i="3" s="1"/>
  <c r="CN27" i="3"/>
  <c r="R47" i="3" s="1"/>
  <c r="CN15" i="3"/>
  <c r="Q25" i="3" s="1"/>
  <c r="CN6" i="3"/>
  <c r="Q7" i="3" s="1"/>
  <c r="Q96" i="3" l="1"/>
  <c r="Q97" i="3"/>
  <c r="Q93" i="3"/>
  <c r="R96" i="3"/>
  <c r="R95" i="3"/>
  <c r="R94" i="3"/>
  <c r="R93" i="3"/>
  <c r="Q92" i="3"/>
  <c r="R88" i="3"/>
  <c r="Q88" i="3"/>
  <c r="R87" i="3"/>
  <c r="Q86" i="3"/>
  <c r="Q85" i="3"/>
  <c r="R86" i="3"/>
  <c r="R85" i="3"/>
  <c r="R84" i="3"/>
  <c r="Q80" i="3"/>
  <c r="R79" i="3"/>
  <c r="R80" i="3"/>
  <c r="R77" i="3"/>
  <c r="Q78" i="3"/>
  <c r="R81" i="3"/>
  <c r="Q81" i="3"/>
  <c r="Q77" i="3"/>
  <c r="R78" i="3"/>
  <c r="Q73" i="3"/>
  <c r="Q72" i="3"/>
  <c r="R72" i="3"/>
  <c r="R70" i="3"/>
  <c r="Q69" i="3"/>
  <c r="R69" i="3"/>
  <c r="R68" i="3"/>
  <c r="Q68" i="3"/>
  <c r="Q64" i="3"/>
  <c r="R56" i="3"/>
  <c r="Q65" i="3"/>
  <c r="Q63" i="3"/>
  <c r="Q62" i="3"/>
  <c r="R62" i="3"/>
  <c r="Q61" i="3"/>
  <c r="Q60" i="3"/>
  <c r="R54" i="3"/>
  <c r="R60" i="3"/>
  <c r="Q56" i="3"/>
  <c r="Q55" i="3"/>
  <c r="R55" i="3"/>
  <c r="Q54" i="3"/>
  <c r="R53" i="3"/>
  <c r="Q52" i="3"/>
  <c r="R49" i="3"/>
  <c r="Q49" i="3"/>
  <c r="Q48" i="3"/>
  <c r="R48" i="3"/>
  <c r="Q46" i="3"/>
  <c r="Q45" i="3"/>
  <c r="R45" i="3"/>
  <c r="R44" i="3"/>
  <c r="R41" i="3"/>
  <c r="R40" i="3"/>
  <c r="Q40" i="3"/>
  <c r="R39" i="3"/>
  <c r="R38" i="3"/>
  <c r="Q38" i="3"/>
  <c r="Q39" i="3"/>
  <c r="R37" i="3"/>
  <c r="R32" i="3"/>
  <c r="R31" i="3"/>
  <c r="Q31" i="3"/>
  <c r="Q30" i="3"/>
  <c r="R30" i="3"/>
  <c r="Q29" i="3"/>
  <c r="Q32" i="3"/>
  <c r="R29" i="3"/>
  <c r="R28" i="3"/>
  <c r="R24" i="3"/>
  <c r="R23" i="3"/>
  <c r="Q23" i="3"/>
  <c r="Q22" i="3"/>
  <c r="R22" i="3"/>
  <c r="Q21" i="3"/>
  <c r="R21" i="3"/>
  <c r="R20" i="3"/>
  <c r="R17" i="3"/>
  <c r="Q16" i="3"/>
  <c r="R16" i="3"/>
  <c r="Q14" i="3"/>
  <c r="R12" i="3"/>
  <c r="R14" i="3"/>
  <c r="Q13" i="3"/>
  <c r="Q12" i="3"/>
  <c r="R9" i="3"/>
  <c r="R6" i="3"/>
  <c r="Q9" i="3"/>
  <c r="Q8" i="3"/>
  <c r="R8" i="3"/>
  <c r="R7" i="3"/>
  <c r="R4" i="3"/>
  <c r="CO43" i="3"/>
  <c r="CP43" i="3"/>
  <c r="CO53" i="3"/>
  <c r="CO15" i="3"/>
  <c r="CP44" i="3"/>
  <c r="CO19" i="3"/>
  <c r="CP20" i="3"/>
  <c r="R5" i="3"/>
  <c r="CO8" i="3" s="1"/>
  <c r="CP12" i="3"/>
  <c r="CO27" i="3"/>
  <c r="CP42" i="3"/>
  <c r="Q4" i="3"/>
  <c r="CP30" i="3"/>
  <c r="CP53" i="3"/>
  <c r="CO30" i="3"/>
  <c r="CP47" i="3"/>
  <c r="CO47" i="3"/>
  <c r="CO12" i="3"/>
  <c r="CP49" i="3"/>
  <c r="CP14" i="3"/>
  <c r="CP46" i="3"/>
  <c r="CO46" i="3"/>
  <c r="CO21" i="3"/>
  <c r="CO49" i="3"/>
  <c r="CP31" i="3"/>
  <c r="CP16" i="3"/>
  <c r="CO42" i="3"/>
  <c r="CO44" i="3"/>
  <c r="CO31" i="3"/>
  <c r="CP28" i="3"/>
  <c r="CP17" i="3"/>
  <c r="CO28" i="3"/>
  <c r="CP15" i="3"/>
  <c r="CO17" i="3"/>
  <c r="CP21" i="3"/>
  <c r="CO16" i="3"/>
  <c r="CO20" i="3"/>
  <c r="CP19" i="3"/>
  <c r="CO14" i="3"/>
  <c r="CO6" i="3"/>
  <c r="CP6" i="3"/>
  <c r="CP52" i="3"/>
  <c r="CP27" i="3"/>
  <c r="CO52" i="3"/>
  <c r="CO29" i="3"/>
  <c r="CP29" i="3"/>
  <c r="CO36" i="3"/>
  <c r="CO50" i="3" l="1"/>
  <c r="CP50" i="3"/>
  <c r="CO51" i="3"/>
  <c r="CP51" i="3"/>
  <c r="CP48" i="3"/>
  <c r="CO48" i="3"/>
  <c r="CO45" i="3"/>
  <c r="CP45" i="3"/>
  <c r="CP40" i="3"/>
  <c r="CP38" i="3"/>
  <c r="CO38" i="3"/>
  <c r="CO41" i="3"/>
  <c r="CP41" i="3"/>
  <c r="CO40" i="3"/>
  <c r="CP39" i="3"/>
  <c r="CO39" i="3"/>
  <c r="CP34" i="3"/>
  <c r="CO34" i="3"/>
  <c r="CP36" i="3"/>
  <c r="CO37" i="3"/>
  <c r="CP37" i="3"/>
  <c r="CO35" i="3"/>
  <c r="CP35" i="3"/>
  <c r="CP33" i="3"/>
  <c r="CO33" i="3"/>
  <c r="CP32" i="3"/>
  <c r="CO32" i="3"/>
  <c r="CP26" i="3"/>
  <c r="CO26" i="3"/>
  <c r="CP22" i="3"/>
  <c r="CO23" i="3"/>
  <c r="CO22" i="3"/>
  <c r="CP23" i="3"/>
  <c r="CO25" i="3"/>
  <c r="CP25" i="3"/>
  <c r="CO24" i="3"/>
  <c r="CP24" i="3"/>
  <c r="CO18" i="3"/>
  <c r="CP18" i="3"/>
  <c r="CO10" i="3"/>
  <c r="CP10" i="3"/>
  <c r="CP11" i="3"/>
  <c r="CO13" i="3"/>
  <c r="CO9" i="3"/>
  <c r="CO11" i="3"/>
  <c r="CP9" i="3"/>
  <c r="CP13" i="3"/>
  <c r="CQ43" i="3"/>
  <c r="CQ20" i="3"/>
  <c r="CQ15" i="3"/>
  <c r="CQ42" i="3"/>
  <c r="CQ44" i="3"/>
  <c r="CQ19" i="3"/>
  <c r="CQ12" i="3"/>
  <c r="CO7" i="3"/>
  <c r="CQ30" i="3"/>
  <c r="CP8" i="3"/>
  <c r="CQ8" i="3" s="1"/>
  <c r="CP7" i="3"/>
  <c r="CQ27" i="3"/>
  <c r="CQ53" i="3"/>
  <c r="CQ47" i="3"/>
  <c r="CQ49" i="3"/>
  <c r="CQ14" i="3"/>
  <c r="CQ21" i="3"/>
  <c r="CQ46" i="3"/>
  <c r="CQ16" i="3"/>
  <c r="CQ31" i="3"/>
  <c r="CQ28" i="3"/>
  <c r="CQ17" i="3"/>
  <c r="CQ6" i="3"/>
  <c r="CQ52" i="3"/>
  <c r="CQ29" i="3"/>
  <c r="CQ50" i="3" l="1"/>
  <c r="CQ51" i="3"/>
  <c r="CQ48" i="3"/>
  <c r="CQ45" i="3"/>
  <c r="CQ38" i="3"/>
  <c r="CQ41" i="3"/>
  <c r="CQ40" i="3"/>
  <c r="CQ39" i="3"/>
  <c r="CQ37" i="3"/>
  <c r="CQ36" i="3"/>
  <c r="CQ34" i="3"/>
  <c r="CQ35" i="3"/>
  <c r="CQ33" i="3"/>
  <c r="CQ32" i="3"/>
  <c r="CQ26" i="3"/>
  <c r="CQ22" i="3"/>
  <c r="CQ23" i="3"/>
  <c r="CQ25" i="3"/>
  <c r="CQ24" i="3"/>
  <c r="CQ18" i="3"/>
  <c r="CQ10" i="3"/>
  <c r="CQ9" i="3"/>
  <c r="CQ11" i="3"/>
  <c r="CQ13" i="3"/>
  <c r="CQ7" i="3"/>
  <c r="CR53" i="3"/>
  <c r="CR49" i="3"/>
  <c r="CR52" i="3"/>
  <c r="CR50" i="3" l="1"/>
  <c r="CR51" i="3"/>
  <c r="CR47" i="3"/>
  <c r="CR48" i="3"/>
  <c r="CR46" i="3"/>
  <c r="CR42" i="3"/>
  <c r="CR44" i="3"/>
  <c r="CR45" i="3"/>
  <c r="CR43" i="3"/>
  <c r="CR41" i="3"/>
  <c r="CR38" i="3"/>
  <c r="CR40" i="3"/>
  <c r="CR39" i="3"/>
  <c r="CR35" i="3"/>
  <c r="CR36" i="3"/>
  <c r="CR37" i="3"/>
  <c r="CR34" i="3"/>
  <c r="CR33" i="3"/>
  <c r="CR32" i="3"/>
  <c r="CR30" i="3"/>
  <c r="CR31" i="3"/>
  <c r="CR29" i="3"/>
  <c r="CR28" i="3"/>
  <c r="CR27" i="3"/>
  <c r="CR26" i="3"/>
  <c r="CR24" i="3"/>
  <c r="CR23" i="3"/>
  <c r="CR25" i="3"/>
  <c r="CR22" i="3"/>
  <c r="CR19" i="3"/>
  <c r="CR18" i="3"/>
  <c r="CR21" i="3"/>
  <c r="CR20" i="3"/>
  <c r="CR15" i="3"/>
  <c r="CR17" i="3"/>
  <c r="CR14" i="3"/>
  <c r="CR16" i="3"/>
  <c r="CR6" i="3"/>
  <c r="CR8" i="3"/>
  <c r="CR10" i="3"/>
  <c r="CR13" i="3"/>
  <c r="CR11" i="3"/>
  <c r="CR12" i="3"/>
  <c r="CR7" i="3"/>
  <c r="CR9" i="3"/>
  <c r="CS46" i="3" l="1"/>
  <c r="U88" i="3" s="1"/>
  <c r="CS25" i="3"/>
  <c r="T41" i="3" s="1"/>
  <c r="CS30" i="3"/>
  <c r="U57" i="3" s="1"/>
  <c r="CS10" i="3"/>
  <c r="T15" i="3" s="1"/>
  <c r="CS48" i="3"/>
  <c r="U89" i="3" s="1"/>
  <c r="CS52" i="3"/>
  <c r="T93" i="3" s="1"/>
  <c r="CS12" i="3"/>
  <c r="T13" i="3" s="1"/>
  <c r="CS36" i="3"/>
  <c r="U62" i="3" s="1"/>
  <c r="CS34" i="3"/>
  <c r="U65" i="3" s="1"/>
  <c r="CS47" i="3"/>
  <c r="U84" i="3" s="1"/>
  <c r="CS13" i="3"/>
  <c r="T14" i="3" s="1"/>
  <c r="CS35" i="3"/>
  <c r="U63" i="3" s="1"/>
  <c r="CS39" i="3"/>
  <c r="U71" i="3" s="1"/>
  <c r="CS16" i="3"/>
  <c r="U23" i="3" s="1"/>
  <c r="CS22" i="3"/>
  <c r="T38" i="3" s="1"/>
  <c r="CS43" i="3"/>
  <c r="T80" i="3" s="1"/>
  <c r="CS28" i="3"/>
  <c r="U48" i="3" s="1"/>
  <c r="CS50" i="3"/>
  <c r="T92" i="3" s="1"/>
  <c r="CS53" i="3"/>
  <c r="T95" i="3" s="1"/>
  <c r="CS24" i="3"/>
  <c r="U38" i="3" s="1"/>
  <c r="CS49" i="3"/>
  <c r="U85" i="3" s="1"/>
  <c r="CS11" i="3"/>
  <c r="T17" i="3" s="1"/>
  <c r="CS32" i="3"/>
  <c r="U56" i="3" s="1"/>
  <c r="CS42" i="3"/>
  <c r="T78" i="3" s="1"/>
  <c r="CS45" i="3"/>
  <c r="T79" i="3" s="1"/>
  <c r="CS20" i="3"/>
  <c r="U30" i="3" s="1"/>
  <c r="CS23" i="3"/>
  <c r="T40" i="3" s="1"/>
  <c r="CS21" i="3"/>
  <c r="T31" i="3" s="1"/>
  <c r="CS51" i="3"/>
  <c r="U92" i="3" s="1"/>
  <c r="CS40" i="3"/>
  <c r="U70" i="3" s="1"/>
  <c r="CS31" i="3"/>
  <c r="U55" i="3" s="1"/>
  <c r="CS37" i="3"/>
  <c r="T63" i="3" s="1"/>
  <c r="CS41" i="3"/>
  <c r="T71" i="3" s="1"/>
  <c r="CS9" i="3"/>
  <c r="U5" i="3" s="1"/>
  <c r="CS6" i="3"/>
  <c r="U8" i="3" s="1"/>
  <c r="CS19" i="3"/>
  <c r="U31" i="3" s="1"/>
  <c r="CS8" i="3"/>
  <c r="U9" i="3" s="1"/>
  <c r="CS17" i="3"/>
  <c r="T22" i="3" s="1"/>
  <c r="CS44" i="3"/>
  <c r="U80" i="3" s="1"/>
  <c r="CS38" i="3"/>
  <c r="T70" i="3" s="1"/>
  <c r="CS33" i="3"/>
  <c r="U53" i="3" s="1"/>
  <c r="CS27" i="3"/>
  <c r="U47" i="3" s="1"/>
  <c r="CS18" i="3"/>
  <c r="T30" i="3" s="1"/>
  <c r="CS26" i="3"/>
  <c r="T46" i="3" s="1"/>
  <c r="CS15" i="3"/>
  <c r="U22" i="3" s="1"/>
  <c r="CS14" i="3"/>
  <c r="U24" i="3" s="1"/>
  <c r="CS7" i="3"/>
  <c r="U4" i="3" s="1"/>
  <c r="CS29" i="3"/>
  <c r="U45" i="3" s="1"/>
  <c r="T97" i="3" l="1"/>
  <c r="U97" i="3"/>
  <c r="U96" i="3"/>
  <c r="T96" i="3"/>
  <c r="U95" i="3"/>
  <c r="T94" i="3"/>
  <c r="U94" i="3"/>
  <c r="U93" i="3"/>
  <c r="T89" i="3"/>
  <c r="T87" i="3"/>
  <c r="T88" i="3"/>
  <c r="U87" i="3"/>
  <c r="T84" i="3"/>
  <c r="T86" i="3"/>
  <c r="U86" i="3"/>
  <c r="T85" i="3"/>
  <c r="T77" i="3"/>
  <c r="T81" i="3"/>
  <c r="U79" i="3"/>
  <c r="U77" i="3"/>
  <c r="U81" i="3"/>
  <c r="U78" i="3"/>
  <c r="T76" i="3"/>
  <c r="U76" i="3"/>
  <c r="U73" i="3"/>
  <c r="T73" i="3"/>
  <c r="U72" i="3"/>
  <c r="T72" i="3"/>
  <c r="T69" i="3"/>
  <c r="U69" i="3"/>
  <c r="U68" i="3"/>
  <c r="T68" i="3"/>
  <c r="U64" i="3"/>
  <c r="T64" i="3"/>
  <c r="T61" i="3"/>
  <c r="T65" i="3"/>
  <c r="U61" i="3"/>
  <c r="T62" i="3"/>
  <c r="U60" i="3"/>
  <c r="T60" i="3"/>
  <c r="T57" i="3"/>
  <c r="T56" i="3"/>
  <c r="T55" i="3"/>
  <c r="U54" i="3"/>
  <c r="T52" i="3"/>
  <c r="T54" i="3"/>
  <c r="T53" i="3"/>
  <c r="U52" i="3"/>
  <c r="U49" i="3"/>
  <c r="T49" i="3"/>
  <c r="T48" i="3"/>
  <c r="T47" i="3"/>
  <c r="U46" i="3"/>
  <c r="T45" i="3"/>
  <c r="T44" i="3"/>
  <c r="U44" i="3"/>
  <c r="U41" i="3"/>
  <c r="U39" i="3"/>
  <c r="T39" i="3"/>
  <c r="U37" i="3"/>
  <c r="U40" i="3"/>
  <c r="T37" i="3"/>
  <c r="U33" i="3"/>
  <c r="T36" i="3"/>
  <c r="U36" i="3"/>
  <c r="U25" i="3"/>
  <c r="T21" i="3"/>
  <c r="T33" i="3"/>
  <c r="U32" i="3"/>
  <c r="T32" i="3"/>
  <c r="T29" i="3"/>
  <c r="U29" i="3"/>
  <c r="T28" i="3"/>
  <c r="U28" i="3"/>
  <c r="T12" i="3"/>
  <c r="T25" i="3"/>
  <c r="T24" i="3"/>
  <c r="T23" i="3"/>
  <c r="U21" i="3"/>
  <c r="T20" i="3"/>
  <c r="U20" i="3"/>
  <c r="U17" i="3"/>
  <c r="U16" i="3"/>
  <c r="T16" i="3"/>
  <c r="U15" i="3"/>
  <c r="U14" i="3"/>
  <c r="U13" i="3"/>
  <c r="U12" i="3"/>
  <c r="U7" i="3"/>
  <c r="T9" i="3"/>
  <c r="T6" i="3"/>
  <c r="T8" i="3"/>
  <c r="CT37" i="3"/>
  <c r="CT44" i="3"/>
  <c r="CT17" i="3"/>
  <c r="CT32" i="3"/>
  <c r="CT53" i="3"/>
  <c r="CT28" i="3"/>
  <c r="CT31" i="3"/>
  <c r="CT49" i="3"/>
  <c r="U6" i="3"/>
  <c r="T5" i="3"/>
  <c r="T4" i="3"/>
  <c r="T7" i="3"/>
  <c r="CT21" i="3"/>
  <c r="CT6" i="3"/>
  <c r="CT14" i="3"/>
  <c r="CT42" i="3"/>
  <c r="CT20" i="3"/>
  <c r="CT30" i="3"/>
  <c r="CT26" i="3"/>
  <c r="CT16" i="3"/>
  <c r="CT13" i="3"/>
  <c r="CT52" i="3"/>
  <c r="CT29" i="3"/>
  <c r="CT36" i="3"/>
  <c r="CT8" i="3"/>
  <c r="CT51" i="3" l="1"/>
  <c r="CT50" i="3"/>
  <c r="CT47" i="3"/>
  <c r="CT48" i="3"/>
  <c r="CT46" i="3"/>
  <c r="CT43" i="3"/>
  <c r="CT45" i="3"/>
  <c r="CT39" i="3"/>
  <c r="CT40" i="3"/>
  <c r="CT41" i="3"/>
  <c r="CT38" i="3"/>
  <c r="CT35" i="3"/>
  <c r="CT34" i="3"/>
  <c r="CT33" i="3"/>
  <c r="CT27" i="3"/>
  <c r="CT25" i="3"/>
  <c r="CT22" i="3"/>
  <c r="CT24" i="3"/>
  <c r="CT23" i="3"/>
  <c r="CT19" i="3"/>
  <c r="CT18" i="3"/>
  <c r="CT15" i="3"/>
  <c r="CT11" i="3"/>
  <c r="CT12" i="3"/>
  <c r="CT10" i="3"/>
  <c r="CT7" i="3"/>
  <c r="CT9" i="3"/>
  <c r="CU51" i="3" l="1"/>
  <c r="CU50" i="3"/>
  <c r="CU52" i="3"/>
  <c r="CU53" i="3"/>
  <c r="CU46" i="3"/>
  <c r="CU49" i="3"/>
  <c r="CU47" i="3"/>
  <c r="CU48" i="3"/>
  <c r="CU44" i="3"/>
  <c r="CU45" i="3"/>
  <c r="CU43" i="3"/>
  <c r="CU42" i="3"/>
  <c r="CU41" i="3"/>
  <c r="CU38" i="3"/>
  <c r="CU40" i="3"/>
  <c r="CU39" i="3"/>
  <c r="CU36" i="3"/>
  <c r="CU35" i="3"/>
  <c r="CU37" i="3"/>
  <c r="CU34" i="3"/>
  <c r="CU31" i="3"/>
  <c r="CU30" i="3"/>
  <c r="CU32" i="3"/>
  <c r="CU33" i="3"/>
  <c r="CU28" i="3"/>
  <c r="CU26" i="3"/>
  <c r="CU27" i="3"/>
  <c r="CU29" i="3"/>
  <c r="CU24" i="3"/>
  <c r="CU25" i="3"/>
  <c r="CU23" i="3"/>
  <c r="CU22" i="3"/>
  <c r="CU18" i="3"/>
  <c r="CU21" i="3"/>
  <c r="CU20" i="3"/>
  <c r="CU19" i="3"/>
  <c r="CU15" i="3"/>
  <c r="CU17" i="3"/>
  <c r="CU16" i="3"/>
  <c r="CU14" i="3"/>
  <c r="CU13" i="3"/>
  <c r="CU10" i="3"/>
  <c r="CU6" i="3"/>
  <c r="CU8" i="3"/>
  <c r="CU11" i="3"/>
  <c r="CU12" i="3"/>
  <c r="CU9" i="3"/>
  <c r="CU7" i="3"/>
  <c r="CV28" i="3" l="1"/>
  <c r="CW28" i="3" s="1"/>
  <c r="CV8" i="3"/>
  <c r="CW8" i="3" s="1"/>
  <c r="CV52" i="3"/>
  <c r="CW52" i="3" s="1"/>
  <c r="CV35" i="3"/>
  <c r="CW35" i="3" s="1"/>
  <c r="CV36" i="3"/>
  <c r="CW36" i="3" s="1"/>
  <c r="CV15" i="3"/>
  <c r="CW15" i="3" s="1"/>
  <c r="CV6" i="3"/>
  <c r="CW6" i="3" s="1"/>
  <c r="CV53" i="3"/>
  <c r="CW53" i="3" s="1"/>
  <c r="CV11" i="3"/>
  <c r="CW11" i="3" s="1"/>
  <c r="CV32" i="3"/>
  <c r="CW32" i="3" s="1"/>
  <c r="CV34" i="3"/>
  <c r="CW34" i="3" s="1"/>
  <c r="CV43" i="3"/>
  <c r="CW43" i="3" s="1"/>
  <c r="CV42" i="3"/>
  <c r="CW42" i="3" s="1"/>
  <c r="CV25" i="3"/>
  <c r="CW25" i="3" s="1"/>
  <c r="CV10" i="3"/>
  <c r="CW10" i="3" s="1"/>
  <c r="CV51" i="3"/>
  <c r="CW51" i="3" s="1"/>
  <c r="CV45" i="3"/>
  <c r="CW45" i="3" s="1"/>
  <c r="CV49" i="3"/>
  <c r="CW49"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46" i="3"/>
  <c r="CW46" i="3" s="1"/>
  <c r="CV29" i="3"/>
  <c r="CW29" i="3" s="1"/>
  <c r="CV20" i="3"/>
  <c r="CW20" i="3" s="1"/>
  <c r="CV37" i="3"/>
  <c r="CW37" i="3" s="1"/>
  <c r="CV39" i="3"/>
  <c r="CW39" i="3" s="1"/>
  <c r="CV26" i="3"/>
  <c r="CW26" i="3" s="1"/>
  <c r="CV22" i="3"/>
  <c r="CW22" i="3" s="1"/>
  <c r="CV40" i="3"/>
  <c r="CW40" i="3" s="1"/>
  <c r="CV50" i="3"/>
  <c r="CW50" i="3" s="1"/>
  <c r="CV38" i="3"/>
  <c r="CW38" i="3" s="1"/>
  <c r="CV31" i="3"/>
  <c r="CW31" i="3" s="1"/>
  <c r="CV27" i="3"/>
  <c r="CW27" i="3" s="1"/>
  <c r="CV17" i="3"/>
  <c r="CW17" i="3" s="1"/>
  <c r="CV21" i="3"/>
  <c r="CW21" i="3" s="1"/>
  <c r="CV23" i="3"/>
  <c r="CW23" i="3" s="1"/>
  <c r="CV14" i="3"/>
  <c r="CW14" i="3" s="1"/>
  <c r="CV41" i="3"/>
  <c r="CW41" i="3" s="1"/>
  <c r="CX52" i="3" l="1"/>
  <c r="CX14" i="3"/>
  <c r="CX44" i="3"/>
  <c r="CX22" i="3"/>
  <c r="CX42" i="3"/>
  <c r="CX46" i="3"/>
  <c r="CX37" i="3"/>
  <c r="CX28" i="3"/>
  <c r="CX33" i="3"/>
  <c r="CX26" i="3"/>
  <c r="CX41" i="3"/>
  <c r="CX47" i="3"/>
  <c r="CX20" i="3"/>
  <c r="CX27" i="3"/>
  <c r="CX15" i="3"/>
  <c r="CX6" i="3"/>
  <c r="CX31" i="3"/>
  <c r="CX40" i="3"/>
  <c r="CX32" i="3"/>
  <c r="CX48" i="3"/>
  <c r="CX53" i="3"/>
  <c r="CX13" i="3"/>
  <c r="CX43" i="3"/>
  <c r="CX51" i="3"/>
  <c r="CX36" i="3"/>
  <c r="CX19" i="3"/>
  <c r="CX24" i="3"/>
  <c r="CX50" i="3"/>
  <c r="CX35" i="3"/>
  <c r="CX34" i="3"/>
  <c r="CX7" i="3"/>
  <c r="CX39" i="3"/>
  <c r="CX8" i="3"/>
  <c r="CX23" i="3"/>
  <c r="CX25" i="3"/>
  <c r="CX12" i="3"/>
  <c r="CX30" i="3"/>
  <c r="CX49" i="3"/>
  <c r="CX38" i="3"/>
  <c r="CX21" i="3"/>
  <c r="CX18" i="3"/>
  <c r="CX10" i="3"/>
  <c r="CX16" i="3"/>
  <c r="CX29" i="3"/>
  <c r="CX45" i="3"/>
  <c r="CX11" i="3"/>
  <c r="CX17" i="3"/>
  <c r="CX9" i="3"/>
  <c r="CY13" i="3" l="1"/>
  <c r="CZ13"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53" i="3"/>
  <c r="CZ53" i="3" s="1"/>
  <c r="CY52" i="3"/>
  <c r="CZ52" i="3" s="1"/>
  <c r="CY48" i="3"/>
  <c r="CZ48" i="3" s="1"/>
  <c r="CY35" i="3"/>
  <c r="CZ35" i="3" s="1"/>
  <c r="CY9" i="3"/>
  <c r="CZ9" i="3" s="1"/>
  <c r="CY32" i="3"/>
  <c r="CZ32" i="3" s="1"/>
  <c r="CY25" i="3"/>
  <c r="CZ25" i="3" s="1"/>
  <c r="CY36" i="3"/>
  <c r="CZ36" i="3" s="1"/>
  <c r="CY31" i="3"/>
  <c r="CZ31" i="3" s="1"/>
  <c r="CY24" i="3"/>
  <c r="CZ24" i="3" s="1"/>
  <c r="CY33" i="3"/>
  <c r="CZ33" i="3" s="1"/>
  <c r="CY19" i="3"/>
  <c r="CZ19" i="3" s="1"/>
  <c r="CY22" i="3"/>
  <c r="CZ22" i="3" s="1"/>
  <c r="CY46" i="3"/>
  <c r="CZ46" i="3" s="1"/>
  <c r="CY17" i="3"/>
  <c r="CZ17" i="3" s="1"/>
  <c r="CY20" i="3"/>
  <c r="CZ20" i="3" s="1"/>
  <c r="CY29" i="3"/>
  <c r="CZ29" i="3" s="1"/>
  <c r="CY40" i="3"/>
  <c r="CZ40" i="3" s="1"/>
  <c r="CY12" i="3"/>
  <c r="CZ12" i="3" s="1"/>
  <c r="CY47" i="3"/>
  <c r="CZ47" i="3" s="1"/>
  <c r="CY42" i="3"/>
  <c r="CZ42" i="3" s="1"/>
  <c r="CY28" i="3"/>
  <c r="CZ28" i="3" s="1"/>
  <c r="CY37" i="3"/>
  <c r="CZ37" i="3" s="1"/>
  <c r="CY8" i="3"/>
  <c r="CZ8" i="3" s="1"/>
  <c r="CY18" i="3"/>
  <c r="CZ18" i="3" s="1"/>
  <c r="CY21" i="3"/>
  <c r="CZ21" i="3" s="1"/>
  <c r="CY7" i="3"/>
  <c r="CZ7" i="3" s="1"/>
  <c r="CY26" i="3"/>
  <c r="CZ26" i="3" s="1"/>
  <c r="CY41" i="3"/>
  <c r="CZ41" i="3" s="1"/>
  <c r="CY51" i="3"/>
  <c r="CZ51" i="3" s="1"/>
  <c r="CY30" i="3"/>
  <c r="CZ30" i="3" s="1"/>
  <c r="CY43" i="3"/>
  <c r="CZ43" i="3" s="1"/>
  <c r="CY27" i="3"/>
  <c r="CZ27" i="3" s="1"/>
  <c r="CY15" i="3"/>
  <c r="CZ15" i="3" s="1"/>
  <c r="CY14" i="3"/>
  <c r="CZ14" i="3" s="1"/>
  <c r="DA52" i="3" l="1"/>
  <c r="DA49" i="3"/>
  <c r="DA31" i="3"/>
  <c r="DA18" i="3"/>
  <c r="DA47" i="3"/>
  <c r="DA19" i="3"/>
  <c r="DA12" i="3"/>
  <c r="DA13" i="3"/>
  <c r="DA39" i="3"/>
  <c r="DA43" i="3"/>
  <c r="DA15" i="3"/>
  <c r="DA26" i="3"/>
  <c r="DA40" i="3"/>
  <c r="DA35" i="3"/>
  <c r="DA27" i="3"/>
  <c r="DA41" i="3"/>
  <c r="DA51" i="3"/>
  <c r="DA46" i="3"/>
  <c r="DA32" i="3"/>
  <c r="DA14" i="3"/>
  <c r="DA16" i="3"/>
  <c r="DA10" i="3"/>
  <c r="DA30" i="3"/>
  <c r="DA25" i="3"/>
  <c r="DA17" i="3"/>
  <c r="DA42" i="3"/>
  <c r="DA48" i="3"/>
  <c r="DA6" i="3"/>
  <c r="DA36" i="3"/>
  <c r="DA20" i="3"/>
  <c r="DA21" i="3"/>
  <c r="DA37" i="3"/>
  <c r="DA33" i="3"/>
  <c r="DA38" i="3"/>
  <c r="DA50" i="3"/>
  <c r="DA53" i="3"/>
  <c r="DA44" i="3"/>
  <c r="DA29" i="3"/>
  <c r="DA7" i="3"/>
  <c r="DA22" i="3"/>
  <c r="DA28" i="3"/>
  <c r="DA34" i="3"/>
  <c r="DA24" i="3"/>
  <c r="DA9" i="3"/>
  <c r="DA11" i="3"/>
  <c r="DA45" i="3"/>
  <c r="DA2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13" i="3"/>
  <c r="DC13" i="3" s="1"/>
  <c r="DB47" i="3"/>
  <c r="DC47" i="3" s="1"/>
  <c r="DB7" i="3"/>
  <c r="DC7" i="3" s="1"/>
  <c r="DB11" i="3"/>
  <c r="DC11" i="3" s="1"/>
  <c r="DB18" i="3"/>
  <c r="DC18"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41" i="3"/>
  <c r="BM41" i="3" s="1"/>
  <c r="DD27" i="3"/>
  <c r="BM27" i="3" s="1"/>
  <c r="DD39" i="3"/>
  <c r="BM39" i="3" s="1"/>
  <c r="DD34" i="3"/>
  <c r="BM34" i="3" s="1"/>
  <c r="DD17" i="3"/>
  <c r="BM17" i="3" s="1"/>
  <c r="DD30" i="3"/>
  <c r="BM30" i="3" s="1"/>
  <c r="DD20" i="3"/>
  <c r="BM20"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DQ15" i="3"/>
  <c r="DJ15" i="3" s="1"/>
  <c r="DQ28" i="3"/>
  <c r="DJ28" i="3" s="1"/>
  <c r="DQ49" i="3"/>
  <c r="DJ49" i="3" s="1"/>
  <c r="DQ22" i="3"/>
  <c r="DJ22" i="3" s="1"/>
  <c r="DQ40" i="3"/>
  <c r="DJ40" i="3" s="1"/>
  <c r="DQ26" i="3"/>
  <c r="DJ26" i="3" s="1"/>
  <c r="DQ20" i="3"/>
  <c r="DJ20" i="3" s="1"/>
  <c r="AV38" i="3"/>
  <c r="AV41" i="3"/>
  <c r="DQ23" i="3"/>
  <c r="DJ23" i="3" s="1"/>
  <c r="DQ36" i="3"/>
  <c r="DJ36" i="3" s="1"/>
  <c r="DQ31" i="3"/>
  <c r="DJ31" i="3" s="1"/>
  <c r="DQ39" i="3"/>
  <c r="DJ39" i="3" s="1"/>
  <c r="AV55" i="3"/>
  <c r="AV16" i="3"/>
  <c r="AV31" i="3"/>
  <c r="AV79" i="3"/>
  <c r="DQ45" i="3"/>
  <c r="DJ45" i="3" s="1"/>
  <c r="AV87" i="3"/>
  <c r="AV47" i="3"/>
  <c r="DQ30" i="3"/>
  <c r="DJ30" i="3" s="1"/>
  <c r="AV32" i="3"/>
  <c r="DQ41" i="3"/>
  <c r="DJ41" i="3" s="1"/>
  <c r="AV65" i="3"/>
  <c r="AV72" i="3"/>
  <c r="AV86" i="3"/>
  <c r="DQ47" i="3"/>
  <c r="DJ47" i="3" s="1"/>
  <c r="DQ25" i="3"/>
  <c r="DJ25" i="3" s="1"/>
  <c r="DQ21" i="3"/>
  <c r="DJ21" i="3" s="1"/>
  <c r="DQ38" i="3"/>
  <c r="DJ38" i="3" s="1"/>
  <c r="AV71" i="3"/>
  <c r="DQ44" i="3"/>
  <c r="DJ44" i="3" s="1"/>
  <c r="AV64" i="3"/>
  <c r="AV8" i="3"/>
  <c r="DQ43" i="3"/>
  <c r="DJ43" i="3" s="1"/>
  <c r="AV33" i="3"/>
  <c r="DQ37" i="3"/>
  <c r="DJ37" i="3" s="1"/>
  <c r="AV39"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52" i="3" l="1"/>
  <c r="AU96" i="3" s="1"/>
  <c r="DL50" i="3"/>
  <c r="DL51" i="3"/>
  <c r="AU95" i="3" s="1"/>
  <c r="DL53" i="3"/>
  <c r="AU97" i="3" s="1"/>
  <c r="DL49" i="3"/>
  <c r="AU89" i="3" s="1"/>
  <c r="DL46" i="3"/>
  <c r="AU86" i="3" s="1"/>
  <c r="DL48" i="3"/>
  <c r="AU88" i="3" s="1"/>
  <c r="DL47" i="3"/>
  <c r="AU87" i="3" s="1"/>
  <c r="DL43" i="3"/>
  <c r="AU79" i="3" s="1"/>
  <c r="DL45" i="3"/>
  <c r="DL42" i="3"/>
  <c r="AU78" i="3" s="1"/>
  <c r="DL44" i="3"/>
  <c r="AU80" i="3" s="1"/>
  <c r="DL39" i="3"/>
  <c r="AU71" i="3" s="1"/>
  <c r="DL40" i="3"/>
  <c r="AU72" i="3" s="1"/>
  <c r="DL41" i="3"/>
  <c r="DL38" i="3"/>
  <c r="AU70" i="3" s="1"/>
  <c r="DL35" i="3"/>
  <c r="AU63" i="3" s="1"/>
  <c r="DL36" i="3"/>
  <c r="AU64" i="3" s="1"/>
  <c r="DL37" i="3"/>
  <c r="AU65" i="3" s="1"/>
  <c r="DL34" i="3"/>
  <c r="AU62" i="3" s="1"/>
  <c r="DL33" i="3"/>
  <c r="AU57" i="3" s="1"/>
  <c r="DL31" i="3"/>
  <c r="AU55" i="3" s="1"/>
  <c r="DL32" i="3"/>
  <c r="AU56" i="3" s="1"/>
  <c r="DL30" i="3"/>
  <c r="AU54" i="3" s="1"/>
  <c r="DL27" i="3"/>
  <c r="AU47" i="3" s="1"/>
  <c r="DL28" i="3"/>
  <c r="AU48" i="3" s="1"/>
  <c r="DL26" i="3"/>
  <c r="DL29" i="3"/>
  <c r="DL25" i="3"/>
  <c r="AU41" i="3" s="1"/>
  <c r="DL22" i="3"/>
  <c r="AU38" i="3" s="1"/>
  <c r="DL24" i="3"/>
  <c r="AU40" i="3" s="1"/>
  <c r="DL23" i="3"/>
  <c r="AU39" i="3" s="1"/>
  <c r="DL18" i="3"/>
  <c r="AU30" i="3" s="1"/>
  <c r="DL21" i="3"/>
  <c r="AU33" i="3" s="1"/>
  <c r="DL20" i="3"/>
  <c r="DL19" i="3"/>
  <c r="AU31" i="3" s="1"/>
  <c r="DL14" i="3"/>
  <c r="DL16" i="3"/>
  <c r="AU24" i="3" s="1"/>
  <c r="DL15" i="3"/>
  <c r="AU23" i="3" s="1"/>
  <c r="DL17" i="3"/>
  <c r="AU25" i="3" s="1"/>
  <c r="DL11" i="3"/>
  <c r="DL13" i="3"/>
  <c r="AU17" i="3" s="1"/>
  <c r="DL10" i="3"/>
  <c r="AU14" i="3" s="1"/>
  <c r="DL12" i="3"/>
  <c r="AU16" i="3" s="1"/>
  <c r="DL9" i="3"/>
  <c r="AU9" i="3" s="1"/>
  <c r="DL8" i="3"/>
  <c r="AU8" i="3" s="1"/>
  <c r="DL6" i="3"/>
  <c r="AU6" i="3" s="1"/>
  <c r="DL7" i="3"/>
  <c r="DN7" i="3" s="1" a="1"/>
  <c r="DF8" i="3"/>
  <c r="DF7" i="3"/>
  <c r="DN50" i="3" l="1" a="1"/>
  <c r="DM52" i="3"/>
  <c r="DM51" i="3"/>
  <c r="DN52" i="3" a="1"/>
  <c r="DN51" i="3" a="1"/>
  <c r="DM53" i="3"/>
  <c r="DM50" i="3"/>
  <c r="AU94" i="3"/>
  <c r="AU93" i="3" s="1"/>
  <c r="AV92" i="3" s="1"/>
  <c r="DN53" i="3" a="1"/>
  <c r="DN49" i="3" a="1"/>
  <c r="DN46" i="3" a="1"/>
  <c r="DM46" i="3"/>
  <c r="DM49" i="3"/>
  <c r="AU85" i="3"/>
  <c r="AV84" i="3" s="1"/>
  <c r="DN47" i="3" a="1"/>
  <c r="DM48" i="3"/>
  <c r="DN48" i="3" a="1"/>
  <c r="DM47" i="3"/>
  <c r="DN43" i="3" a="1"/>
  <c r="DM43" i="3"/>
  <c r="DN45" i="3" a="1"/>
  <c r="DN42" i="3" a="1"/>
  <c r="DM42" i="3"/>
  <c r="DM44" i="3"/>
  <c r="AU81" i="3"/>
  <c r="AU77" i="3" s="1"/>
  <c r="AV76" i="3" s="1"/>
  <c r="DM45" i="3"/>
  <c r="DN44" i="3" a="1"/>
  <c r="DM40" i="3"/>
  <c r="DN38" i="3" a="1"/>
  <c r="DN40" i="3" a="1"/>
  <c r="DM38" i="3"/>
  <c r="DN39" i="3" a="1"/>
  <c r="DM39" i="3"/>
  <c r="AU73" i="3"/>
  <c r="AU69" i="3" s="1"/>
  <c r="AV68" i="3" s="1"/>
  <c r="DM41" i="3"/>
  <c r="DN41" i="3" a="1"/>
  <c r="DM37" i="3"/>
  <c r="DM34" i="3"/>
  <c r="DN37" i="3" a="1"/>
  <c r="DN34" i="3" a="1"/>
  <c r="DM35" i="3"/>
  <c r="AU61" i="3"/>
  <c r="AV60" i="3" s="1"/>
  <c r="DM36" i="3"/>
  <c r="DN35" i="3" a="1"/>
  <c r="DN36" i="3" a="1"/>
  <c r="DM33" i="3"/>
  <c r="DN33" i="3" a="1"/>
  <c r="DN31" i="3" a="1"/>
  <c r="DN32" i="3" a="1"/>
  <c r="DN30" i="3" a="1"/>
  <c r="DM32" i="3"/>
  <c r="DM31" i="3"/>
  <c r="DM30" i="3"/>
  <c r="AU53" i="3"/>
  <c r="AV52" i="3" s="1"/>
  <c r="DN27" i="3" a="1"/>
  <c r="DM27" i="3"/>
  <c r="DN29" i="3" a="1"/>
  <c r="DN28" i="3" a="1"/>
  <c r="DM28" i="3"/>
  <c r="DM29" i="3"/>
  <c r="AU46" i="3"/>
  <c r="DN26" i="3" a="1"/>
  <c r="DM26" i="3"/>
  <c r="AU49" i="3"/>
  <c r="DM22" i="3"/>
  <c r="DM25" i="3"/>
  <c r="DN25" i="3" a="1"/>
  <c r="AU37" i="3"/>
  <c r="AV36" i="3" s="1"/>
  <c r="DM24" i="3"/>
  <c r="DM23" i="3"/>
  <c r="DN22" i="3" a="1"/>
  <c r="DN24" i="3" a="1"/>
  <c r="DN23" i="3" a="1"/>
  <c r="DN18" i="3" a="1"/>
  <c r="DM20" i="3"/>
  <c r="AU32" i="3"/>
  <c r="AU29" i="3" s="1"/>
  <c r="AV28" i="3" s="1"/>
  <c r="DM18" i="3"/>
  <c r="DN20" i="3" a="1"/>
  <c r="DN19" i="3" a="1"/>
  <c r="DM19" i="3"/>
  <c r="DM21" i="3"/>
  <c r="DN21" i="3" a="1"/>
  <c r="DM14" i="3"/>
  <c r="DN14" i="3" a="1"/>
  <c r="AU22" i="3"/>
  <c r="DN16" i="3" a="1"/>
  <c r="DM16" i="3"/>
  <c r="DN15" i="3" a="1"/>
  <c r="DN17" i="3" a="1"/>
  <c r="DM15" i="3"/>
  <c r="DM17" i="3"/>
  <c r="DM11" i="3"/>
  <c r="DN11" i="3" a="1"/>
  <c r="AU15" i="3"/>
  <c r="DN13" i="3" a="1"/>
  <c r="DN10" i="3" a="1"/>
  <c r="DM13" i="3"/>
  <c r="DM10" i="3"/>
  <c r="DN12" i="3" a="1"/>
  <c r="DM12" i="3"/>
  <c r="DM6" i="3"/>
  <c r="DN6" i="3" a="1"/>
  <c r="DN8" i="3" a="1"/>
  <c r="DM8" i="3"/>
  <c r="DM9" i="3"/>
  <c r="DM7" i="3"/>
  <c r="DN9" i="3" a="1"/>
  <c r="AU7" i="3"/>
  <c r="AU5" i="3" s="1"/>
  <c r="AV4" i="3" s="1"/>
  <c r="DF9" i="3"/>
  <c r="AU45" i="3" l="1"/>
  <c r="AV44" i="3" s="1"/>
  <c r="AU21" i="3"/>
  <c r="AV20" i="3" s="1"/>
  <c r="AU13" i="3"/>
  <c r="AV12" i="3" s="1"/>
  <c r="DF6" i="3"/>
  <c r="DF15" i="3" l="1"/>
  <c r="DF21" i="3"/>
  <c r="DF29" i="3"/>
  <c r="DF46" i="3"/>
  <c r="DF10" i="3"/>
  <c r="DF20" i="3"/>
  <c r="DF17" i="3"/>
  <c r="DF40" i="3"/>
  <c r="DF32" i="3"/>
  <c r="DF19" i="3"/>
  <c r="DF22" i="3"/>
  <c r="DF12" i="3"/>
  <c r="DF24" i="3"/>
  <c r="DF13" i="3"/>
  <c r="DF50" i="3"/>
  <c r="DF47" i="3"/>
  <c r="DF43" i="3"/>
  <c r="DF49" i="3"/>
  <c r="DF52" i="3"/>
  <c r="DF27" i="3"/>
  <c r="DF53" i="3"/>
  <c r="DF18" i="3"/>
  <c r="DF14" i="3"/>
  <c r="DF37" i="3"/>
  <c r="DF25" i="3"/>
  <c r="DF23" i="3"/>
  <c r="DF16" i="3"/>
  <c r="DF11" i="3"/>
  <c r="DF31" i="3"/>
  <c r="DF34" i="3"/>
  <c r="DF26" i="3"/>
  <c r="DF28" i="3"/>
  <c r="DF41" i="3"/>
  <c r="DF44" i="3"/>
  <c r="DF51" i="3"/>
  <c r="DF39" i="3"/>
  <c r="DF36" i="3"/>
  <c r="DF45" i="3"/>
  <c r="DF33" i="3"/>
  <c r="DF42" i="3"/>
  <c r="DF48" i="3"/>
  <c r="DF30" i="3"/>
  <c r="DF35" i="3"/>
  <c r="DF38" i="3"/>
  <c r="DG14" i="3"/>
  <c r="DG15" i="3"/>
  <c r="DG13" i="3"/>
  <c r="DG11" i="3"/>
  <c r="DG7" i="3"/>
  <c r="DG6" i="3"/>
  <c r="DG9" i="3"/>
  <c r="DG8" i="3"/>
  <c r="DG12" i="3"/>
  <c r="DG10" i="3"/>
  <c r="DG32" i="3" l="1"/>
  <c r="DG48" i="3"/>
  <c r="DG53" i="3"/>
  <c r="DG37" i="3"/>
  <c r="DG29" i="3"/>
  <c r="DG35" i="3"/>
  <c r="DG50" i="3"/>
  <c r="DG18" i="3"/>
  <c r="DG17" i="3"/>
  <c r="DG16" i="3"/>
  <c r="DG23" i="3"/>
  <c r="DG20" i="3"/>
  <c r="DG21" i="3"/>
  <c r="DG19" i="3"/>
  <c r="DG26" i="3"/>
  <c r="DG25" i="3"/>
  <c r="DG22" i="3"/>
  <c r="DG27" i="3"/>
  <c r="DG24" i="3"/>
  <c r="DG28" i="3"/>
  <c r="DG36" i="3"/>
  <c r="DG34" i="3"/>
  <c r="DG31" i="3"/>
  <c r="DG41" i="3"/>
  <c r="DG33" i="3"/>
  <c r="DG30" i="3"/>
  <c r="DG38" i="3"/>
  <c r="DG52" i="3"/>
  <c r="DG39" i="3"/>
  <c r="DG44" i="3"/>
  <c r="DG42" i="3"/>
  <c r="DG45" i="3"/>
  <c r="DG43" i="3"/>
  <c r="DG46" i="3"/>
  <c r="DG49" i="3"/>
  <c r="DG40" i="3"/>
  <c r="DG47" i="3"/>
  <c r="DG51" i="3"/>
  <c r="DH10" i="3" l="1"/>
  <c r="BN10" i="3" s="1"/>
  <c r="DH13" i="3"/>
  <c r="BN13" i="3" s="1"/>
  <c r="DH11" i="3"/>
  <c r="BN11" i="3" s="1"/>
  <c r="DH7" i="3"/>
  <c r="BN7" i="3" s="1"/>
  <c r="DH15" i="3"/>
  <c r="BN15" i="3" s="1"/>
  <c r="DH6" i="3"/>
  <c r="BN6" i="3" s="1"/>
  <c r="DH8" i="3"/>
  <c r="BN8" i="3" s="1"/>
  <c r="DH9" i="3"/>
  <c r="BN9" i="3" s="1"/>
  <c r="DH12" i="3"/>
  <c r="BN12" i="3" s="1"/>
  <c r="DH14" i="3"/>
  <c r="BN14" i="3" s="1"/>
  <c r="DH16" i="3"/>
  <c r="BN16" i="3" s="1"/>
  <c r="DH17" i="3"/>
  <c r="BN17" i="3" s="1"/>
  <c r="DH32" i="3"/>
  <c r="BN32" i="3" s="1"/>
  <c r="DH33" i="3"/>
  <c r="BN33" i="3" s="1"/>
  <c r="DH25" i="3"/>
  <c r="BN25" i="3" s="1"/>
  <c r="DH23" i="3"/>
  <c r="BN23" i="3" s="1"/>
  <c r="DH20" i="3"/>
  <c r="BN20" i="3" s="1"/>
  <c r="DH22" i="3"/>
  <c r="BN22" i="3" s="1"/>
  <c r="DH31" i="3"/>
  <c r="BN31" i="3" s="1"/>
  <c r="DH44" i="3"/>
  <c r="BN44" i="3" s="1"/>
  <c r="DH42" i="3"/>
  <c r="BN42" i="3" s="1"/>
  <c r="DH53" i="3"/>
  <c r="BN53" i="3" s="1"/>
  <c r="DH34" i="3"/>
  <c r="BN34" i="3" s="1"/>
  <c r="DH19" i="3"/>
  <c r="BN19" i="3" s="1"/>
  <c r="DH51" i="3"/>
  <c r="BN51" i="3" s="1"/>
  <c r="DH39" i="3"/>
  <c r="BN39" i="3" s="1"/>
  <c r="DH49" i="3"/>
  <c r="BN49" i="3" s="1"/>
  <c r="DH18" i="3"/>
  <c r="BN18" i="3" s="1"/>
  <c r="DH21" i="3"/>
  <c r="BN21" i="3" s="1"/>
  <c r="DH41" i="3"/>
  <c r="BN41" i="3" s="1"/>
  <c r="DH47" i="3"/>
  <c r="BN47" i="3" s="1"/>
  <c r="DH26" i="3"/>
  <c r="BN26" i="3" s="1"/>
  <c r="DH46" i="3"/>
  <c r="BN46" i="3" s="1"/>
  <c r="DH29" i="3"/>
  <c r="BN29" i="3" s="1"/>
  <c r="DH24" i="3"/>
  <c r="BN24" i="3" s="1"/>
  <c r="DH48" i="3"/>
  <c r="BN48" i="3" s="1"/>
  <c r="DH36" i="3"/>
  <c r="BN36" i="3" s="1"/>
  <c r="DH35" i="3"/>
  <c r="BN35" i="3" s="1"/>
  <c r="DH45" i="3"/>
  <c r="BN45" i="3" s="1"/>
  <c r="DH27" i="3"/>
  <c r="BN27" i="3" s="1"/>
  <c r="DH52" i="3"/>
  <c r="BN52" i="3" s="1"/>
  <c r="DH28" i="3"/>
  <c r="BN28" i="3" s="1"/>
  <c r="DH38" i="3"/>
  <c r="BN38" i="3" s="1"/>
  <c r="DH40" i="3"/>
  <c r="BN40" i="3" s="1"/>
  <c r="DH37" i="3"/>
  <c r="BN37" i="3" s="1"/>
  <c r="DH43" i="3"/>
  <c r="BN43" i="3" s="1"/>
  <c r="DH50" i="3"/>
  <c r="BN50" i="3" s="1"/>
  <c r="DH30" i="3"/>
  <c r="BN30" i="3" s="1"/>
  <c r="AL6" i="3" l="1"/>
  <c r="AK6" i="3" s="1" a="1"/>
  <c r="AL14" i="3"/>
  <c r="AT14" i="3" s="1"/>
  <c r="J12" i="45" s="1"/>
  <c r="AL8" i="3"/>
  <c r="H6" i="45" s="1"/>
  <c r="AL16" i="3"/>
  <c r="AL17" i="3"/>
  <c r="BD59" i="3"/>
  <c r="BH59" i="3" s="1"/>
  <c r="AL22" i="3"/>
  <c r="BD58" i="3"/>
  <c r="BI58" i="3" s="1"/>
  <c r="AL7" i="3"/>
  <c r="M101" i="3" s="1"/>
  <c r="AA101" i="3" s="1"/>
  <c r="C130" i="31" s="1"/>
  <c r="AL9" i="3"/>
  <c r="AL15" i="3"/>
  <c r="AL25" i="3"/>
  <c r="BD60" i="3"/>
  <c r="BG60" i="3" s="1"/>
  <c r="AL24" i="3"/>
  <c r="AL23" i="3"/>
  <c r="BH60" i="3"/>
  <c r="BI60" i="3"/>
  <c r="AL38" i="3"/>
  <c r="AL88" i="3"/>
  <c r="AL97" i="3"/>
  <c r="AL49" i="3"/>
  <c r="BD69" i="3"/>
  <c r="BI69" i="3" s="1"/>
  <c r="AL70" i="3"/>
  <c r="AL56" i="3"/>
  <c r="AL63" i="3"/>
  <c r="AL80" i="3"/>
  <c r="BD66" i="3"/>
  <c r="BG66" i="3" s="1"/>
  <c r="BD65" i="3"/>
  <c r="BI65" i="3" s="1"/>
  <c r="AL57" i="3"/>
  <c r="AL96" i="3"/>
  <c r="AL71" i="3"/>
  <c r="BD68" i="3"/>
  <c r="BH68" i="3" s="1"/>
  <c r="AL64" i="3"/>
  <c r="AL94" i="3"/>
  <c r="AL32" i="3"/>
  <c r="AL81" i="3"/>
  <c r="AL79" i="3"/>
  <c r="AL31" i="3"/>
  <c r="BD62" i="3"/>
  <c r="BG62" i="3" s="1"/>
  <c r="AL73" i="3"/>
  <c r="AL54" i="3"/>
  <c r="BD67" i="3"/>
  <c r="AL55" i="3"/>
  <c r="AL47" i="3"/>
  <c r="AL72" i="3"/>
  <c r="AL89" i="3"/>
  <c r="AL30" i="3"/>
  <c r="BD64" i="3"/>
  <c r="BH64" i="3" s="1"/>
  <c r="AL39" i="3"/>
  <c r="AL41" i="3"/>
  <c r="AL46" i="3"/>
  <c r="AL86" i="3"/>
  <c r="AL87" i="3"/>
  <c r="AL78" i="3"/>
  <c r="AL62" i="3"/>
  <c r="AL40" i="3"/>
  <c r="AL33" i="3"/>
  <c r="AL65" i="3"/>
  <c r="BD61" i="3"/>
  <c r="BG61" i="3" s="1"/>
  <c r="AL48" i="3"/>
  <c r="BD63" i="3"/>
  <c r="BG63" i="3" s="1"/>
  <c r="AL95" i="3"/>
  <c r="BG69" i="3"/>
  <c r="BG64" i="3"/>
  <c r="BG65" i="3"/>
  <c r="BI63" i="3"/>
  <c r="BH65" i="3"/>
  <c r="BI59" i="3"/>
  <c r="BG58" i="3"/>
  <c r="BH62" i="3"/>
  <c r="BG68" i="3"/>
  <c r="BH69" i="3"/>
  <c r="BH58" i="3"/>
  <c r="BH66" i="3"/>
  <c r="BI62" i="3"/>
  <c r="BI68" i="3"/>
  <c r="BI61" i="3"/>
  <c r="BH61" i="3"/>
  <c r="BI64" i="3"/>
  <c r="BG67" i="3"/>
  <c r="BI66" i="3"/>
  <c r="BH63" i="3"/>
  <c r="BH67" i="3"/>
  <c r="BG59" i="3"/>
  <c r="BI67" i="3"/>
  <c r="M108" i="3" l="1"/>
  <c r="AA108" i="3" s="1"/>
  <c r="D108" i="3" s="1"/>
  <c r="N111" i="3"/>
  <c r="AF112" i="3" s="1"/>
  <c r="M111" i="3"/>
  <c r="AA112" i="3" s="1"/>
  <c r="M115" i="3"/>
  <c r="AA116" i="3" s="1"/>
  <c r="D116" i="3" s="1"/>
  <c r="M114" i="3"/>
  <c r="AA115" i="3" s="1"/>
  <c r="D115" i="3" s="1"/>
  <c r="N112" i="3"/>
  <c r="AF111" i="3" s="1"/>
  <c r="N106" i="3"/>
  <c r="AF105" i="3" s="1"/>
  <c r="M105" i="3"/>
  <c r="AA106" i="3" s="1"/>
  <c r="D106" i="3" s="1"/>
  <c r="N114" i="3"/>
  <c r="AF115" i="3" s="1"/>
  <c r="M112" i="3"/>
  <c r="AA111" i="3" s="1"/>
  <c r="D111" i="3" s="1"/>
  <c r="M110" i="3"/>
  <c r="AA109" i="3" s="1"/>
  <c r="D109" i="3" s="1"/>
  <c r="N116" i="3"/>
  <c r="AF114" i="3" s="1"/>
  <c r="M103" i="3"/>
  <c r="AA104" i="3" s="1"/>
  <c r="N104" i="3"/>
  <c r="AF102" i="3" s="1"/>
  <c r="M102" i="3"/>
  <c r="AA103" i="3" s="1"/>
  <c r="D103" i="3" s="1"/>
  <c r="M106" i="3"/>
  <c r="AA105" i="3" s="1"/>
  <c r="D105" i="3" s="1"/>
  <c r="M109" i="3"/>
  <c r="AA110" i="3" s="1"/>
  <c r="M116" i="3"/>
  <c r="AA114" i="3" s="1"/>
  <c r="D114" i="3" s="1"/>
  <c r="N103" i="3"/>
  <c r="AF104" i="3" s="1"/>
  <c r="M104" i="3"/>
  <c r="AA102" i="3" s="1"/>
  <c r="D102" i="3" s="1"/>
  <c r="M107" i="3"/>
  <c r="AA107" i="3" s="1"/>
  <c r="AA33" i="45" s="1"/>
  <c r="H4" i="45"/>
  <c r="AO6" i="3"/>
  <c r="AM6" i="3"/>
  <c r="I4" i="45" s="1"/>
  <c r="AN6" i="3"/>
  <c r="AR6" i="3"/>
  <c r="AQ6" i="3"/>
  <c r="AP6" i="3"/>
  <c r="AS6" i="3"/>
  <c r="AT6" i="3"/>
  <c r="J4" i="45" s="1"/>
  <c r="AK8" i="3" a="1"/>
  <c r="AO8" i="3"/>
  <c r="AP8" i="3"/>
  <c r="AM14" i="3"/>
  <c r="I12" i="45" s="1"/>
  <c r="AM8" i="3"/>
  <c r="I6" i="45" s="1"/>
  <c r="AO14" i="3"/>
  <c r="AT8" i="3"/>
  <c r="J6" i="45" s="1"/>
  <c r="AR14" i="3"/>
  <c r="BF63" i="3"/>
  <c r="BJ63" i="3" s="1"/>
  <c r="BF59" i="3"/>
  <c r="BJ59" i="3" s="1"/>
  <c r="AA9" i="45"/>
  <c r="AP14" i="3"/>
  <c r="AQ14" i="3"/>
  <c r="H12" i="45"/>
  <c r="AK14" i="3" a="1"/>
  <c r="M113" i="3"/>
  <c r="AA113" i="3" s="1"/>
  <c r="D113" i="3" s="1"/>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AN14" i="3"/>
  <c r="AS14" i="3"/>
  <c r="AN8" i="3"/>
  <c r="AR8" i="3"/>
  <c r="AQ8" i="3"/>
  <c r="AS8" i="3"/>
  <c r="AT17" i="3"/>
  <c r="J15" i="45" s="1"/>
  <c r="AM17" i="3"/>
  <c r="I15" i="45" s="1"/>
  <c r="AQ17" i="3"/>
  <c r="AP17" i="3"/>
  <c r="AR17" i="3"/>
  <c r="H15" i="45"/>
  <c r="AN17" i="3"/>
  <c r="AO17" i="3"/>
  <c r="AK17" i="3" a="1"/>
  <c r="AS17" i="3"/>
  <c r="E476" i="40"/>
  <c r="E362"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346" i="40"/>
  <c r="E413" i="40"/>
  <c r="E112" i="40"/>
  <c r="E431" i="40"/>
  <c r="E428" i="40"/>
  <c r="E137" i="40"/>
  <c r="E288" i="40"/>
  <c r="E80" i="40"/>
  <c r="E471" i="40"/>
  <c r="E302" i="40"/>
  <c r="E352" i="40"/>
  <c r="E383" i="40"/>
  <c r="F48" i="40"/>
  <c r="E486" i="40"/>
  <c r="E293" i="40"/>
  <c r="E417" i="40"/>
  <c r="E119" i="40"/>
  <c r="E479" i="40"/>
  <c r="E407" i="40"/>
  <c r="E79" i="40"/>
  <c r="E406" i="40"/>
  <c r="E126" i="40"/>
  <c r="E324" i="40"/>
  <c r="E317" i="40"/>
  <c r="E59" i="40"/>
  <c r="E426" i="40"/>
  <c r="E156" i="40"/>
  <c r="E429" i="40"/>
  <c r="E316" i="40"/>
  <c r="E380" i="40"/>
  <c r="E337" i="40"/>
  <c r="E117" i="40"/>
  <c r="E50" i="40"/>
  <c r="E443" i="40"/>
  <c r="E399" i="40"/>
  <c r="E422" i="40"/>
  <c r="E163" i="40"/>
  <c r="E128" i="40"/>
  <c r="E315" i="40"/>
  <c r="E127"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76" i="40"/>
  <c r="E330" i="40"/>
  <c r="E123" i="40"/>
  <c r="E329" i="40"/>
  <c r="E150" i="40"/>
  <c r="E149" i="40"/>
  <c r="E408" i="40"/>
  <c r="E129" i="40"/>
  <c r="E70" i="40"/>
  <c r="E322" i="40"/>
  <c r="E318" i="40"/>
  <c r="E122" i="40"/>
  <c r="E101" i="40"/>
  <c r="E295" i="40"/>
  <c r="E90" i="40"/>
  <c r="E481" i="40"/>
  <c r="E457" i="40"/>
  <c r="E382" i="40"/>
  <c r="E405" i="40"/>
  <c r="E113" i="40"/>
  <c r="E424" i="40"/>
  <c r="E300" i="40"/>
  <c r="E444" i="40"/>
  <c r="E93" i="40"/>
  <c r="E437" i="40"/>
  <c r="E138" i="40"/>
  <c r="E86" i="40"/>
  <c r="E469" i="40"/>
  <c r="E98" i="40"/>
  <c r="E350" i="40"/>
  <c r="E115" i="40"/>
  <c r="E353" i="40"/>
  <c r="E491" i="40"/>
  <c r="E470" i="40"/>
  <c r="E458" i="40"/>
  <c r="E473"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AQ16" i="3"/>
  <c r="H14" i="45"/>
  <c r="AP22" i="3"/>
  <c r="AO22" i="3"/>
  <c r="AT22" i="3"/>
  <c r="J20" i="45" s="1"/>
  <c r="AS22" i="3"/>
  <c r="AR22" i="3"/>
  <c r="E490" i="40"/>
  <c r="E60" i="40"/>
  <c r="E359" i="40"/>
  <c r="E482" i="40"/>
  <c r="E372" i="40"/>
  <c r="E355" i="40"/>
  <c r="AT16" i="3"/>
  <c r="J14" i="45" s="1"/>
  <c r="AP16" i="3"/>
  <c r="AN16" i="3"/>
  <c r="AK16" i="3" a="1"/>
  <c r="AO16" i="3"/>
  <c r="AM16" i="3"/>
  <c r="I14" i="45" s="1"/>
  <c r="AR16" i="3"/>
  <c r="AS16" i="3"/>
  <c r="AN22" i="3"/>
  <c r="AQ22" i="3"/>
  <c r="AM22" i="3"/>
  <c r="I20" i="45" s="1"/>
  <c r="H20" i="45"/>
  <c r="AK22" i="3" a="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AO7" i="3"/>
  <c r="AR7" i="3"/>
  <c r="AR25" i="3"/>
  <c r="AM25" i="3"/>
  <c r="I23" i="45" s="1"/>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K25" i="3" a="1"/>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AP25" i="3"/>
  <c r="AO25" i="3"/>
  <c r="AS25" i="3"/>
  <c r="AQ25" i="3"/>
  <c r="AT25" i="3"/>
  <c r="J23" i="45" s="1"/>
  <c r="AN25" i="3"/>
  <c r="H23" i="45"/>
  <c r="AK56" i="3" a="1"/>
  <c r="AN56" i="3"/>
  <c r="AM56" i="3"/>
  <c r="U6" i="45" s="1"/>
  <c r="AQ56" i="3"/>
  <c r="AT56" i="3"/>
  <c r="V6" i="45" s="1"/>
  <c r="BF60" i="3"/>
  <c r="BE60" i="3" s="1"/>
  <c r="BR60" i="3" s="1"/>
  <c r="AS56" i="3"/>
  <c r="AR56" i="3"/>
  <c r="AP56" i="3"/>
  <c r="T6" i="45"/>
  <c r="AO56" i="3"/>
  <c r="AM24" i="3"/>
  <c r="I22" i="45" s="1"/>
  <c r="AT24" i="3"/>
  <c r="J22" i="45" s="1"/>
  <c r="AO24" i="3"/>
  <c r="AQ24" i="3"/>
  <c r="AR24" i="3"/>
  <c r="AP24" i="3"/>
  <c r="AK24" i="3" a="1"/>
  <c r="AS24" i="3"/>
  <c r="F283" i="40"/>
  <c r="F108" i="40"/>
  <c r="F84" i="40"/>
  <c r="H22" i="45"/>
  <c r="AN24" i="3"/>
  <c r="F229" i="40"/>
  <c r="F263" i="40"/>
  <c r="AR78" i="3"/>
  <c r="AT72" i="3"/>
  <c r="V22" i="45" s="1"/>
  <c r="AS72" i="3"/>
  <c r="AP72" i="3"/>
  <c r="AN72" i="3"/>
  <c r="T22" i="45"/>
  <c r="AK78" i="3" a="1"/>
  <c r="AK72" i="3" a="1"/>
  <c r="AQ78" i="3"/>
  <c r="AS78" i="3"/>
  <c r="AP78" i="3"/>
  <c r="AT78" i="3"/>
  <c r="V28" i="45" s="1"/>
  <c r="AN63" i="3"/>
  <c r="AO63" i="3"/>
  <c r="AT63" i="3"/>
  <c r="V13" i="45" s="1"/>
  <c r="T13" i="45"/>
  <c r="AM63" i="3"/>
  <c r="U13" i="45" s="1"/>
  <c r="AK63" i="3" a="1"/>
  <c r="AP63" i="3"/>
  <c r="AQ63" i="3"/>
  <c r="AS63" i="3"/>
  <c r="AR63" i="3"/>
  <c r="T28" i="45"/>
  <c r="AR57" i="3"/>
  <c r="AK57" i="3" a="1"/>
  <c r="AN57" i="3"/>
  <c r="AT57" i="3"/>
  <c r="V7" i="45" s="1"/>
  <c r="T7" i="45"/>
  <c r="AQ57" i="3"/>
  <c r="AP57" i="3"/>
  <c r="AM57" i="3"/>
  <c r="U7" i="45" s="1"/>
  <c r="AS57" i="3"/>
  <c r="AO57" i="3"/>
  <c r="J237" i="40"/>
  <c r="J150" i="40"/>
  <c r="J393" i="40"/>
  <c r="J183" i="40"/>
  <c r="J232" i="40"/>
  <c r="J239" i="40"/>
  <c r="J137" i="40"/>
  <c r="J313" i="40"/>
  <c r="J81" i="40"/>
  <c r="J15" i="40"/>
  <c r="J175"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T47" i="45"/>
  <c r="AQ39" i="3"/>
  <c r="AS39" i="3"/>
  <c r="AN39" i="3"/>
  <c r="AT39" i="3"/>
  <c r="J37" i="45" s="1"/>
  <c r="H37" i="45"/>
  <c r="E199" i="40"/>
  <c r="E223" i="40"/>
  <c r="D156" i="40"/>
  <c r="E196" i="40"/>
  <c r="E22" i="40"/>
  <c r="J387" i="40"/>
  <c r="E260" i="40"/>
  <c r="D307" i="40"/>
  <c r="D83" i="40"/>
  <c r="D326" i="40"/>
  <c r="G140" i="40"/>
  <c r="D296" i="40"/>
  <c r="E10" i="40"/>
  <c r="D64" i="40"/>
  <c r="G101" i="40"/>
  <c r="D360" i="40"/>
  <c r="D407" i="40"/>
  <c r="D402" i="40"/>
  <c r="E251" i="40"/>
  <c r="D380" i="40"/>
  <c r="I363" i="40"/>
  <c r="D343" i="40"/>
  <c r="E232" i="40"/>
  <c r="G142" i="40"/>
  <c r="G158" i="40"/>
  <c r="D467" i="40"/>
  <c r="G11" i="40"/>
  <c r="G146" i="40"/>
  <c r="D483" i="40"/>
  <c r="E215" i="40"/>
  <c r="I438" i="40"/>
  <c r="D487" i="40"/>
  <c r="D329" i="40"/>
  <c r="D287" i="40"/>
  <c r="D167" i="40"/>
  <c r="D377" i="40"/>
  <c r="D94" i="40"/>
  <c r="G27" i="40"/>
  <c r="D375" i="40"/>
  <c r="D308" i="40"/>
  <c r="G104" i="40"/>
  <c r="J395" i="40"/>
  <c r="J269" i="40"/>
  <c r="I421" i="40"/>
  <c r="I125" i="40"/>
  <c r="J333" i="40"/>
  <c r="J426" i="40"/>
  <c r="AK70" i="3" a="1"/>
  <c r="AM38" i="3"/>
  <c r="I36" i="45" s="1"/>
  <c r="AT38" i="3"/>
  <c r="J36" i="45" s="1"/>
  <c r="H36" i="45"/>
  <c r="AS38" i="3"/>
  <c r="AO38" i="3"/>
  <c r="AQ38" i="3"/>
  <c r="AN38" i="3"/>
  <c r="AR38" i="3"/>
  <c r="AP38" i="3"/>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H47" i="45"/>
  <c r="AO49" i="3"/>
  <c r="AK49" i="3" a="1"/>
  <c r="AQ49" i="3"/>
  <c r="AN49" i="3"/>
  <c r="AS49" i="3"/>
  <c r="AM49" i="3"/>
  <c r="I47" i="45" s="1"/>
  <c r="AK23" i="3" a="1"/>
  <c r="AT23" i="3"/>
  <c r="J21" i="45" s="1"/>
  <c r="H21" i="45"/>
  <c r="AO23" i="3"/>
  <c r="AP23" i="3"/>
  <c r="AS23" i="3"/>
  <c r="AQ23" i="3"/>
  <c r="AN23" i="3"/>
  <c r="AR23" i="3"/>
  <c r="AM23" i="3"/>
  <c r="I21" i="45" s="1"/>
  <c r="AK97" i="3" a="1"/>
  <c r="AN97" i="3"/>
  <c r="AS97" i="3"/>
  <c r="AR97" i="3"/>
  <c r="AM97" i="3"/>
  <c r="U47" i="45" s="1"/>
  <c r="AP97" i="3"/>
  <c r="AQ97" i="3"/>
  <c r="AO97" i="3"/>
  <c r="AT97" i="3"/>
  <c r="V47" i="45" s="1"/>
  <c r="AR39" i="3"/>
  <c r="AM39" i="3"/>
  <c r="I37" i="45" s="1"/>
  <c r="AP39" i="3"/>
  <c r="AO39" i="3"/>
  <c r="AK39" i="3" a="1"/>
  <c r="D464" i="40"/>
  <c r="D253" i="40"/>
  <c r="D84" i="40"/>
  <c r="D220" i="40"/>
  <c r="E187" i="40"/>
  <c r="D189" i="40"/>
  <c r="D357" i="40"/>
  <c r="D147" i="40"/>
  <c r="D382" i="40"/>
  <c r="E186" i="40"/>
  <c r="D32" i="40"/>
  <c r="E184" i="40"/>
  <c r="D62" i="40"/>
  <c r="G89" i="40"/>
  <c r="I388" i="40"/>
  <c r="D121" i="40"/>
  <c r="G113" i="40"/>
  <c r="D273" i="40"/>
  <c r="D97" i="40"/>
  <c r="D397" i="40"/>
  <c r="D269" i="40"/>
  <c r="D344" i="40"/>
  <c r="D325" i="40"/>
  <c r="D48" i="40"/>
  <c r="D135" i="40"/>
  <c r="D319" i="40"/>
  <c r="G82" i="40"/>
  <c r="D412" i="40"/>
  <c r="D99" i="40"/>
  <c r="D51" i="40"/>
  <c r="D416" i="40"/>
  <c r="E243" i="40"/>
  <c r="I470" i="40"/>
  <c r="J240" i="40"/>
  <c r="I396" i="40"/>
  <c r="E19" i="40"/>
  <c r="I359" i="40"/>
  <c r="D463" i="40"/>
  <c r="AQ70" i="3"/>
  <c r="AT70" i="3"/>
  <c r="V20" i="45" s="1"/>
  <c r="AS70" i="3"/>
  <c r="AM70" i="3"/>
  <c r="U20" i="45" s="1"/>
  <c r="T20" i="45"/>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AM88" i="3"/>
  <c r="U38" i="45" s="1"/>
  <c r="AO88" i="3"/>
  <c r="AT88" i="3"/>
  <c r="V38" i="45" s="1"/>
  <c r="AR88" i="3"/>
  <c r="AQ88" i="3"/>
  <c r="AN88" i="3"/>
  <c r="AP88" i="3"/>
  <c r="T38" i="45"/>
  <c r="AK88" i="3" a="1"/>
  <c r="AS88" i="3"/>
  <c r="AM64" i="3"/>
  <c r="U14" i="45" s="1"/>
  <c r="AQ64" i="3"/>
  <c r="AN64" i="3"/>
  <c r="AO64" i="3"/>
  <c r="AP64" i="3"/>
  <c r="T14" i="45"/>
  <c r="AS64" i="3"/>
  <c r="I270" i="40"/>
  <c r="I224" i="40"/>
  <c r="I161" i="40"/>
  <c r="D394" i="40"/>
  <c r="E8" i="40"/>
  <c r="I365" i="40"/>
  <c r="J195" i="40"/>
  <c r="C427" i="40"/>
  <c r="D443" i="40"/>
  <c r="J88" i="40"/>
  <c r="J135"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I422" i="40"/>
  <c r="I391" i="40"/>
  <c r="J46" i="40"/>
  <c r="J416" i="40"/>
  <c r="J235" i="40"/>
  <c r="AP70" i="3"/>
  <c r="AO70" i="3"/>
  <c r="AN70" i="3"/>
  <c r="AR70" i="3"/>
  <c r="AK38" i="3" a="1"/>
  <c r="AK81" i="3" a="1"/>
  <c r="AR81" i="3"/>
  <c r="AO81" i="3"/>
  <c r="AT81" i="3"/>
  <c r="V31" i="45" s="1"/>
  <c r="AP81" i="3"/>
  <c r="AQ81" i="3"/>
  <c r="AM81" i="3"/>
  <c r="U31" i="45" s="1"/>
  <c r="AN81" i="3"/>
  <c r="AS81" i="3"/>
  <c r="T31" i="45"/>
  <c r="F239" i="40"/>
  <c r="F204" i="40"/>
  <c r="F88" i="40"/>
  <c r="F116" i="40"/>
  <c r="C156" i="40"/>
  <c r="C122" i="40"/>
  <c r="F393" i="40"/>
  <c r="C36" i="40"/>
  <c r="C445" i="40"/>
  <c r="F217" i="40"/>
  <c r="C487" i="40"/>
  <c r="D204" i="40"/>
  <c r="D298" i="40"/>
  <c r="J127" i="40"/>
  <c r="D132" i="40"/>
  <c r="J473" i="40"/>
  <c r="D347" i="40"/>
  <c r="D217" i="40"/>
  <c r="D241" i="40"/>
  <c r="E171" i="40"/>
  <c r="G40" i="40"/>
  <c r="D219"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K64" i="3" a="1"/>
  <c r="AR64" i="3"/>
  <c r="AT64" i="3"/>
  <c r="V14" i="45" s="1"/>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AK71" i="3" a="1"/>
  <c r="AS65" i="3"/>
  <c r="AN65" i="3"/>
  <c r="T15" i="45"/>
  <c r="AT65" i="3"/>
  <c r="V15" i="45" s="1"/>
  <c r="AR65" i="3"/>
  <c r="AM65" i="3"/>
  <c r="U15" i="45" s="1"/>
  <c r="AO65" i="3"/>
  <c r="AP65" i="3"/>
  <c r="AK65" i="3" a="1"/>
  <c r="AQ65" i="3"/>
  <c r="AO78" i="3"/>
  <c r="AM78" i="3"/>
  <c r="U28" i="45" s="1"/>
  <c r="AN78" i="3"/>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R48" i="3"/>
  <c r="AO48" i="3"/>
  <c r="AN48" i="3"/>
  <c r="AK48" i="3" a="1"/>
  <c r="AS48" i="3"/>
  <c r="AP48" i="3"/>
  <c r="AQ48" i="3"/>
  <c r="AT48" i="3"/>
  <c r="J46" i="45" s="1"/>
  <c r="AM48" i="3"/>
  <c r="I46" i="45" s="1"/>
  <c r="H46" i="45"/>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I351" i="40"/>
  <c r="I394" i="40"/>
  <c r="I466" i="40"/>
  <c r="I151" i="40"/>
  <c r="I177" i="40"/>
  <c r="I291" i="40"/>
  <c r="I393" i="40"/>
  <c r="I443" i="40"/>
  <c r="I324" i="40"/>
  <c r="I257" i="40"/>
  <c r="I92" i="40"/>
  <c r="I207" i="40"/>
  <c r="I240" i="40"/>
  <c r="H398" i="40"/>
  <c r="F205" i="40"/>
  <c r="F98" i="40"/>
  <c r="F408" i="40"/>
  <c r="F146" i="40"/>
  <c r="F460" i="40"/>
  <c r="F414" i="40"/>
  <c r="C160" i="40"/>
  <c r="F258" i="40"/>
  <c r="F273" i="40"/>
  <c r="F97" i="40"/>
  <c r="F255" i="40"/>
  <c r="F113" i="40"/>
  <c r="F377" i="40"/>
  <c r="C33" i="40"/>
  <c r="F91" i="40"/>
  <c r="F390" i="40"/>
  <c r="F427" i="40"/>
  <c r="C277" i="40"/>
  <c r="F165" i="40"/>
  <c r="F136" i="40"/>
  <c r="AR49" i="3"/>
  <c r="AT49" i="3"/>
  <c r="J47" i="45" s="1"/>
  <c r="AP49" i="3"/>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AM71" i="3"/>
  <c r="U21" i="45" s="1"/>
  <c r="AS71" i="3"/>
  <c r="AN71" i="3"/>
  <c r="AP71" i="3"/>
  <c r="AR71" i="3"/>
  <c r="AO71" i="3"/>
  <c r="AQ71" i="3"/>
  <c r="AT71" i="3"/>
  <c r="V21" i="45" s="1"/>
  <c r="T21" i="45"/>
  <c r="I407" i="40"/>
  <c r="I190" i="40"/>
  <c r="I65" i="40"/>
  <c r="I37" i="40"/>
  <c r="I384" i="40"/>
  <c r="I77" i="40"/>
  <c r="I157" i="40"/>
  <c r="I52" i="40"/>
  <c r="I127" i="40"/>
  <c r="I163" i="40"/>
  <c r="I168" i="40"/>
  <c r="I244" i="40"/>
  <c r="I142" i="40"/>
  <c r="I433" i="40"/>
  <c r="I336" i="40"/>
  <c r="I315" i="40"/>
  <c r="I379" i="40"/>
  <c r="I277" i="40"/>
  <c r="I267" i="40"/>
  <c r="I99" i="40"/>
  <c r="I307" i="40"/>
  <c r="I69"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H45" i="45"/>
  <c r="AK47" i="3" a="1"/>
  <c r="AR47" i="3"/>
  <c r="AO47" i="3"/>
  <c r="AQ47" i="3"/>
  <c r="AS47" i="3"/>
  <c r="AP47" i="3"/>
  <c r="AN47" i="3"/>
  <c r="AM47" i="3"/>
  <c r="I45" i="45" s="1"/>
  <c r="AQ31" i="3"/>
  <c r="AR31" i="3"/>
  <c r="AT31" i="3"/>
  <c r="J29" i="45" s="1"/>
  <c r="H29" i="45"/>
  <c r="AN31" i="3"/>
  <c r="AP31" i="3"/>
  <c r="AM31" i="3"/>
  <c r="I29" i="45" s="1"/>
  <c r="AO31" i="3"/>
  <c r="AK31" i="3" a="1"/>
  <c r="AS31" i="3"/>
  <c r="F450" i="40"/>
  <c r="F135" i="40"/>
  <c r="C435" i="40"/>
  <c r="F496" i="40"/>
  <c r="F412" i="40"/>
  <c r="D448" i="40"/>
  <c r="J366" i="40"/>
  <c r="D33" i="40"/>
  <c r="J437" i="40"/>
  <c r="D337" i="40"/>
  <c r="G112" i="40"/>
  <c r="G58" i="40"/>
  <c r="D400" i="40"/>
  <c r="D410" i="40"/>
  <c r="D310" i="40"/>
  <c r="G57" i="40"/>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AS46" i="3"/>
  <c r="AQ46" i="3"/>
  <c r="AN46" i="3"/>
  <c r="H44" i="45"/>
  <c r="AP46" i="3"/>
  <c r="AR46" i="3"/>
  <c r="AO46" i="3"/>
  <c r="AK46" i="3" a="1"/>
  <c r="AM46" i="3"/>
  <c r="I44" i="45" s="1"/>
  <c r="AT46" i="3"/>
  <c r="J44" i="45" s="1"/>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AP54" i="3"/>
  <c r="AQ54" i="3"/>
  <c r="T4" i="45"/>
  <c r="AS54" i="3"/>
  <c r="AN54" i="3"/>
  <c r="AM54" i="3"/>
  <c r="U4" i="45" s="1"/>
  <c r="AT54" i="3"/>
  <c r="V4" i="45" s="1"/>
  <c r="AK54" i="3" a="1"/>
  <c r="AR54" i="3"/>
  <c r="AO54" i="3"/>
  <c r="AM40" i="3"/>
  <c r="I38" i="45" s="1"/>
  <c r="AO40" i="3"/>
  <c r="AQ40" i="3"/>
  <c r="AK40" i="3" a="1"/>
  <c r="AP40" i="3"/>
  <c r="H38" i="45"/>
  <c r="C135" i="40"/>
  <c r="C211" i="40"/>
  <c r="C62" i="40"/>
  <c r="C252" i="40"/>
  <c r="C185" i="40"/>
  <c r="C183" i="40"/>
  <c r="C49" i="40"/>
  <c r="C349" i="40"/>
  <c r="I360"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AP62" i="3"/>
  <c r="AR62" i="3"/>
  <c r="T12" i="45"/>
  <c r="AK62" i="3" a="1"/>
  <c r="AQ62" i="3"/>
  <c r="AO62" i="3"/>
  <c r="AT62" i="3"/>
  <c r="V12" i="45" s="1"/>
  <c r="AS62" i="3"/>
  <c r="AN62" i="3"/>
  <c r="AM62" i="3"/>
  <c r="U12" i="45" s="1"/>
  <c r="AT86" i="3"/>
  <c r="V36" i="45" s="1"/>
  <c r="AO86" i="3"/>
  <c r="AP86" i="3"/>
  <c r="T36" i="45"/>
  <c r="AQ86" i="3"/>
  <c r="AN86" i="3"/>
  <c r="AK86" i="3" a="1"/>
  <c r="AM86" i="3"/>
  <c r="U36" i="45" s="1"/>
  <c r="AS86" i="3"/>
  <c r="AR86" i="3"/>
  <c r="H28" i="45"/>
  <c r="AN30" i="3"/>
  <c r="AK30" i="3" a="1"/>
  <c r="AP30" i="3"/>
  <c r="AQ30" i="3"/>
  <c r="AT30" i="3"/>
  <c r="J28" i="45" s="1"/>
  <c r="AM30" i="3"/>
  <c r="I28" i="45" s="1"/>
  <c r="AO30" i="3"/>
  <c r="AS30" i="3"/>
  <c r="AR30" i="3"/>
  <c r="AT47" i="3"/>
  <c r="J45" i="45" s="1"/>
  <c r="F221" i="40"/>
  <c r="C452" i="40"/>
  <c r="F92" i="40"/>
  <c r="F489" i="40"/>
  <c r="C245" i="40"/>
  <c r="C38" i="40"/>
  <c r="F381" i="40"/>
  <c r="C117" i="40"/>
  <c r="F409" i="40"/>
  <c r="F449" i="40"/>
  <c r="C453" i="40"/>
  <c r="F375" i="40"/>
  <c r="C155" i="40"/>
  <c r="F231" i="40"/>
  <c r="C149" i="40"/>
  <c r="C120" i="40"/>
  <c r="F376" i="40"/>
  <c r="F213" i="40"/>
  <c r="F95" i="40"/>
  <c r="F491" i="40"/>
  <c r="F397" i="40"/>
  <c r="C443"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AQ79" i="3"/>
  <c r="AM79" i="3"/>
  <c r="U29" i="45" s="1"/>
  <c r="AR79" i="3"/>
  <c r="AN79" i="3"/>
  <c r="AT79" i="3"/>
  <c r="V29" i="45" s="1"/>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40" i="3"/>
  <c r="J38" i="45" s="1"/>
  <c r="AS40" i="3"/>
  <c r="AN40" i="3"/>
  <c r="AR40" i="3"/>
  <c r="AS87" i="3"/>
  <c r="AN87" i="3"/>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AK33" i="3" a="1"/>
  <c r="AT33" i="3"/>
  <c r="J31" i="45" s="1"/>
  <c r="AP33" i="3"/>
  <c r="AM33" i="3"/>
  <c r="I31" i="45" s="1"/>
  <c r="H31" i="45"/>
  <c r="AO33" i="3"/>
  <c r="AR33" i="3"/>
  <c r="AN33" i="3"/>
  <c r="AQ33" i="3"/>
  <c r="AS33" i="3"/>
  <c r="AN41" i="3"/>
  <c r="H39" i="45"/>
  <c r="AT41" i="3"/>
  <c r="J39" i="45" s="1"/>
  <c r="AP41" i="3"/>
  <c r="AQ41" i="3"/>
  <c r="AS41" i="3"/>
  <c r="AO41" i="3"/>
  <c r="AM41" i="3"/>
  <c r="I39" i="45" s="1"/>
  <c r="AK41" i="3" a="1"/>
  <c r="AR41" i="3"/>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AP95" i="3"/>
  <c r="AR95" i="3"/>
  <c r="AM95" i="3"/>
  <c r="U45" i="45" s="1"/>
  <c r="AO95" i="3"/>
  <c r="AS95" i="3"/>
  <c r="AN95" i="3"/>
  <c r="AQ95" i="3"/>
  <c r="AK95" i="3" a="1"/>
  <c r="AT95" i="3"/>
  <c r="V45" i="45" s="1"/>
  <c r="T45" i="45"/>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BF65" i="3"/>
  <c r="BJ65"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W5" i="45"/>
  <c r="K39" i="45"/>
  <c r="K31" i="45"/>
  <c r="K38" i="45"/>
  <c r="N127" i="3" l="1"/>
  <c r="AF127" i="3" s="1"/>
  <c r="AG116" i="3"/>
  <c r="M126" i="3"/>
  <c r="AA126" i="3" s="1"/>
  <c r="AG115" i="3"/>
  <c r="AG114" i="3"/>
  <c r="N126" i="3"/>
  <c r="AF126" i="3" s="1"/>
  <c r="D112" i="3"/>
  <c r="AG113" i="3"/>
  <c r="M127" i="3"/>
  <c r="AA127" i="3" s="1"/>
  <c r="W44" i="45"/>
  <c r="M124" i="3"/>
  <c r="AA124" i="3" s="1"/>
  <c r="AG112" i="3"/>
  <c r="AG111" i="3"/>
  <c r="N124" i="3"/>
  <c r="AF124" i="3" s="1"/>
  <c r="N125" i="3"/>
  <c r="AF125" i="3" s="1"/>
  <c r="AG108" i="3"/>
  <c r="AG109" i="3"/>
  <c r="N123" i="3"/>
  <c r="AF123" i="3" s="1"/>
  <c r="AG106" i="3"/>
  <c r="N120" i="3"/>
  <c r="AF121" i="3" s="1"/>
  <c r="AG105" i="3"/>
  <c r="D104" i="3"/>
  <c r="AG104" i="3" s="1"/>
  <c r="N122" i="3"/>
  <c r="AF122" i="3" s="1"/>
  <c r="AA36" i="45"/>
  <c r="C137" i="31"/>
  <c r="AG103" i="3"/>
  <c r="M120" i="3"/>
  <c r="AA121" i="3" s="1"/>
  <c r="D121" i="3" s="1"/>
  <c r="AG101" i="3"/>
  <c r="M121" i="3"/>
  <c r="AA120" i="3" s="1"/>
  <c r="M122" i="3"/>
  <c r="AA122" i="3" s="1"/>
  <c r="D122" i="3" s="1"/>
  <c r="AG102" i="3"/>
  <c r="AA16" i="45"/>
  <c r="C157" i="31"/>
  <c r="AA15" i="45"/>
  <c r="B175" i="31"/>
  <c r="AA48" i="45"/>
  <c r="C141" i="31"/>
  <c r="C175" i="31"/>
  <c r="C145" i="31"/>
  <c r="C144" i="31"/>
  <c r="AA39" i="45"/>
  <c r="C156" i="31"/>
  <c r="AA19" i="45"/>
  <c r="AA31" i="45"/>
  <c r="AA6" i="45"/>
  <c r="C135" i="31"/>
  <c r="C150" i="31"/>
  <c r="C174" i="31"/>
  <c r="C140" i="31"/>
  <c r="B178" i="31"/>
  <c r="C178" i="31"/>
  <c r="C160" i="31"/>
  <c r="AA40" i="45"/>
  <c r="B174" i="31"/>
  <c r="AA18" i="45"/>
  <c r="AA43" i="45"/>
  <c r="C138" i="31"/>
  <c r="C159" i="31"/>
  <c r="AA24" i="45"/>
  <c r="AA12" i="45"/>
  <c r="C147" i="31"/>
  <c r="C133" i="31"/>
  <c r="AA28" i="45"/>
  <c r="W45" i="45"/>
  <c r="AA3" i="45"/>
  <c r="C132" i="31"/>
  <c r="B168" i="31"/>
  <c r="AA21" i="45"/>
  <c r="C134" i="31"/>
  <c r="C168" i="31"/>
  <c r="C139" i="31"/>
  <c r="AA30" i="45"/>
  <c r="B177" i="31"/>
  <c r="C143" i="31"/>
  <c r="C177" i="31"/>
  <c r="AA42" i="45"/>
  <c r="C167" i="31"/>
  <c r="C149" i="31"/>
  <c r="AA13" i="45"/>
  <c r="B167" i="31"/>
  <c r="C136" i="31"/>
  <c r="C165" i="31"/>
  <c r="AA27" i="45"/>
  <c r="B165" i="31"/>
  <c r="C131" i="31"/>
  <c r="K14" i="45"/>
  <c r="K4" i="45"/>
  <c r="K6" i="45"/>
  <c r="K12" i="45"/>
  <c r="K20" i="45"/>
  <c r="BL59" i="3"/>
  <c r="K15" i="45"/>
  <c r="BL63" i="3"/>
  <c r="C142" i="31"/>
  <c r="AA45" i="45"/>
  <c r="C120" i="31"/>
  <c r="C123" i="31"/>
  <c r="W36" i="45"/>
  <c r="W29" i="45"/>
  <c r="C121" i="31"/>
  <c r="C122" i="31"/>
  <c r="C164" i="31"/>
  <c r="B164" i="31"/>
  <c r="C81" i="31"/>
  <c r="K7" i="45"/>
  <c r="C87" i="31"/>
  <c r="C82" i="31"/>
  <c r="AA10" i="45"/>
  <c r="C146" i="31"/>
  <c r="C80" i="31"/>
  <c r="C83" i="31"/>
  <c r="C86" i="31"/>
  <c r="K5" i="45"/>
  <c r="W6" i="45"/>
  <c r="W28" i="45"/>
  <c r="K13" i="45"/>
  <c r="K22" i="45"/>
  <c r="K23" i="45"/>
  <c r="C84" i="31"/>
  <c r="C85" i="31"/>
  <c r="K29" i="45"/>
  <c r="K45" i="45"/>
  <c r="W14" i="45"/>
  <c r="W13" i="45"/>
  <c r="K30" i="45"/>
  <c r="W21" i="45"/>
  <c r="K44" i="45"/>
  <c r="W7" i="45"/>
  <c r="C94" i="31"/>
  <c r="W31" i="45"/>
  <c r="W38" i="45"/>
  <c r="W30" i="45"/>
  <c r="C111" i="31"/>
  <c r="C108" i="31"/>
  <c r="C110" i="31"/>
  <c r="C109" i="31"/>
  <c r="C95" i="31"/>
  <c r="C93" i="31"/>
  <c r="C92" i="31"/>
  <c r="C99" i="31"/>
  <c r="C89" i="31"/>
  <c r="K47" i="45"/>
  <c r="W47" i="45"/>
  <c r="C98" i="31"/>
  <c r="K36" i="45"/>
  <c r="W20" i="45"/>
  <c r="C90" i="31"/>
  <c r="C97" i="31"/>
  <c r="K37" i="45"/>
  <c r="C96" i="31"/>
  <c r="C91" i="31"/>
  <c r="C88" i="31"/>
  <c r="K21" i="45"/>
  <c r="W23" i="45"/>
  <c r="W4" i="45"/>
  <c r="C105" i="31"/>
  <c r="C119" i="31"/>
  <c r="C101" i="31"/>
  <c r="C100" i="31"/>
  <c r="W22" i="45"/>
  <c r="C104" i="31"/>
  <c r="C106" i="31"/>
  <c r="C116" i="31"/>
  <c r="C118" i="31"/>
  <c r="C117" i="31"/>
  <c r="C103" i="31"/>
  <c r="C126" i="31"/>
  <c r="C124" i="31"/>
  <c r="C115" i="31"/>
  <c r="C114" i="31"/>
  <c r="W12" i="45"/>
  <c r="K46" i="45"/>
  <c r="W46" i="45"/>
  <c r="W15" i="45"/>
  <c r="C102" i="31"/>
  <c r="C125" i="31"/>
  <c r="C127" i="31"/>
  <c r="C112" i="31"/>
  <c r="C113" i="31"/>
  <c r="K28" i="45"/>
  <c r="W37" i="45"/>
  <c r="W39" i="45"/>
  <c r="C107" i="31"/>
  <c r="BL65" i="3"/>
  <c r="BL64" i="3"/>
  <c r="BE58" i="3"/>
  <c r="BR58" i="3" s="1"/>
  <c r="BJ58" i="3"/>
  <c r="BL58" i="3" s="1"/>
  <c r="BE67" i="3"/>
  <c r="BR67" i="3" s="1"/>
  <c r="BK67" i="3"/>
  <c r="BL67" i="3" s="1"/>
  <c r="BK62" i="3"/>
  <c r="BL62" i="3" s="1"/>
  <c r="BE62" i="3"/>
  <c r="BR62" i="3" s="1"/>
  <c r="BL61" i="3"/>
  <c r="BL66" i="3"/>
  <c r="BL60" i="3"/>
  <c r="BL68" i="3"/>
  <c r="BL69" i="3"/>
  <c r="D127" i="3" l="1"/>
  <c r="D126" i="3"/>
  <c r="M134" i="3" s="1"/>
  <c r="AA134" i="3" s="1"/>
  <c r="D134" i="3" s="1"/>
  <c r="D124" i="3"/>
  <c r="C197" i="31"/>
  <c r="AE47" i="45"/>
  <c r="C196" i="31"/>
  <c r="AE40" i="45"/>
  <c r="C188" i="31"/>
  <c r="B206" i="31"/>
  <c r="AE46" i="45"/>
  <c r="B207" i="31"/>
  <c r="C207" i="31"/>
  <c r="C189" i="31"/>
  <c r="C206" i="31"/>
  <c r="AE41" i="45"/>
  <c r="AG127" i="3"/>
  <c r="N134" i="3"/>
  <c r="AF134" i="3" s="1"/>
  <c r="C186" i="31"/>
  <c r="AE16" i="45"/>
  <c r="B204" i="31"/>
  <c r="C194" i="31"/>
  <c r="AE17" i="45"/>
  <c r="C204" i="31"/>
  <c r="C195" i="31"/>
  <c r="AE23" i="45"/>
  <c r="AE35" i="45"/>
  <c r="C193" i="31"/>
  <c r="N121" i="3"/>
  <c r="AF120" i="3" s="1"/>
  <c r="D120" i="3" s="1"/>
  <c r="C191" i="31"/>
  <c r="AE5" i="45"/>
  <c r="AE29" i="45"/>
  <c r="C192" i="31"/>
  <c r="M131" i="3"/>
  <c r="AA131" i="3" s="1"/>
  <c r="D131" i="3" s="1"/>
  <c r="AG121" i="3"/>
  <c r="AE4" i="45"/>
  <c r="C201" i="31"/>
  <c r="C183" i="31"/>
  <c r="B201" i="31"/>
  <c r="AG122" i="3"/>
  <c r="M133" i="3"/>
  <c r="AA133" i="3" s="1"/>
  <c r="D133" i="3" s="1"/>
  <c r="C184" i="31"/>
  <c r="C202" i="31"/>
  <c r="B202" i="31"/>
  <c r="AE28" i="45"/>
  <c r="C182" i="31"/>
  <c r="AE10" i="45"/>
  <c r="BS63" i="3"/>
  <c r="BS68" i="3"/>
  <c r="BS66" i="3"/>
  <c r="BS65" i="3"/>
  <c r="BS58" i="3"/>
  <c r="BS69" i="3"/>
  <c r="BS60" i="3"/>
  <c r="BS64" i="3"/>
  <c r="BS67" i="3"/>
  <c r="BS62" i="3"/>
  <c r="BS61" i="3"/>
  <c r="BS59" i="3"/>
  <c r="AG134" i="3" l="1"/>
  <c r="N139" i="3"/>
  <c r="AF139" i="3" s="1"/>
  <c r="AI43" i="45"/>
  <c r="AG126" i="3"/>
  <c r="C213" i="31"/>
  <c r="AG124" i="3"/>
  <c r="M132" i="3"/>
  <c r="AA132" i="3" s="1"/>
  <c r="N131" i="3"/>
  <c r="AF131" i="3" s="1"/>
  <c r="AG120" i="3"/>
  <c r="AI44" i="45"/>
  <c r="C217" i="31"/>
  <c r="B223" i="31"/>
  <c r="C223" i="31"/>
  <c r="C200" i="31"/>
  <c r="C190" i="31"/>
  <c r="AE11" i="45"/>
  <c r="B200" i="31"/>
  <c r="M138" i="3"/>
  <c r="AA138" i="3" s="1"/>
  <c r="AG131" i="3"/>
  <c r="AI7" i="45"/>
  <c r="C210" i="31"/>
  <c r="AG133" i="3"/>
  <c r="M139" i="3"/>
  <c r="AA139" i="3" s="1"/>
  <c r="C212" i="31"/>
  <c r="AI31" i="45"/>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l="1"/>
  <c r="D139" i="3"/>
  <c r="AF143" i="3"/>
  <c r="H139" i="3"/>
  <c r="H138" i="3"/>
  <c r="AA143" i="3"/>
  <c r="AM38" i="45" a="1"/>
  <c r="C229" i="31"/>
  <c r="AI19" i="45"/>
  <c r="C211" i="31"/>
  <c r="D132" i="3"/>
  <c r="C220" i="31"/>
  <c r="AI8" i="45"/>
  <c r="C214" i="31"/>
  <c r="B220" i="31"/>
  <c r="AM13" i="45"/>
  <c r="C226" i="31"/>
  <c r="C227" i="31"/>
  <c r="AM37" i="45"/>
  <c r="C233" i="31"/>
  <c r="B233" i="31"/>
  <c r="BV61" i="3"/>
  <c r="BV60" i="3"/>
  <c r="BV66" i="3"/>
  <c r="BV69" i="3"/>
  <c r="BV65" i="3"/>
  <c r="BV68" i="3"/>
  <c r="BV62" i="3"/>
  <c r="BV59" i="3"/>
  <c r="BV64" i="3"/>
  <c r="BV58" i="3"/>
  <c r="BV67" i="3"/>
  <c r="BV63" i="3"/>
  <c r="AA151" i="3" l="1"/>
  <c r="H147" i="3"/>
  <c r="AA152" i="3"/>
  <c r="D143" i="3"/>
  <c r="AG143" i="3" s="1"/>
  <c r="AG139" i="3"/>
  <c r="N143" i="3"/>
  <c r="N147" i="3"/>
  <c r="AU26" i="45"/>
  <c r="C241" i="31"/>
  <c r="C237" i="31"/>
  <c r="AQ32" i="45"/>
  <c r="C236" i="31"/>
  <c r="C244" i="31"/>
  <c r="AQ31" i="45"/>
  <c r="B244" i="31"/>
  <c r="AG132" i="3"/>
  <c r="N138" i="3"/>
  <c r="AF138" i="3"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l="1"/>
  <c r="BB23" i="45"/>
  <c r="AG151" i="3"/>
  <c r="AZ25" i="45"/>
  <c r="AG152" i="3"/>
  <c r="C252" i="31"/>
  <c r="D138" i="3"/>
  <c r="AA147" i="3"/>
  <c r="B232" i="31"/>
  <c r="C232" i="31"/>
  <c r="AM14" i="45"/>
  <c r="C228" i="31"/>
  <c r="BY59" i="3"/>
  <c r="BY63" i="3"/>
  <c r="BY60" i="3"/>
  <c r="BY61" i="3"/>
  <c r="BY68" i="3"/>
  <c r="BY66" i="3"/>
  <c r="BY69" i="3"/>
  <c r="BY64" i="3"/>
  <c r="BY62" i="3"/>
  <c r="BY67" i="3"/>
  <c r="BY58" i="3"/>
  <c r="BY65" i="3"/>
  <c r="BN40" i="45" l="1"/>
  <c r="BN27" i="45"/>
  <c r="BN23" i="45"/>
  <c r="BN46" i="45"/>
  <c r="BN5" i="45"/>
  <c r="BN7" i="45"/>
  <c r="BN20" i="45"/>
  <c r="BN43" i="45"/>
  <c r="BN13" i="45"/>
  <c r="BN14" i="45"/>
  <c r="BN8" i="45"/>
  <c r="BN35" i="45"/>
  <c r="BN11" i="45"/>
  <c r="BN48" i="45"/>
  <c r="BN9" i="45"/>
  <c r="BN34" i="45"/>
  <c r="BN16" i="45"/>
  <c r="BN21" i="45"/>
  <c r="BN15" i="45"/>
  <c r="BN29" i="45"/>
  <c r="BN12" i="45"/>
  <c r="BN38" i="45"/>
  <c r="BN36" i="45"/>
  <c r="BN30" i="45"/>
  <c r="BN33" i="45"/>
  <c r="BN50" i="45"/>
  <c r="BN31" i="45"/>
  <c r="BN47" i="45"/>
  <c r="BN18" i="45"/>
  <c r="BN10" i="45"/>
  <c r="BN4" i="45"/>
  <c r="BN24" i="45"/>
  <c r="BN45" i="45"/>
  <c r="BN17" i="45"/>
  <c r="BN25" i="45"/>
  <c r="BN51" i="45"/>
  <c r="BN22" i="45"/>
  <c r="BN26" i="45"/>
  <c r="BN28" i="45"/>
  <c r="BN39" i="45"/>
  <c r="BN41" i="45"/>
  <c r="BN42" i="45"/>
  <c r="BN32" i="45"/>
  <c r="BN19" i="45"/>
  <c r="BN37" i="45"/>
  <c r="BN44" i="45"/>
  <c r="BN49" i="45"/>
  <c r="BN6" i="45"/>
  <c r="D147" i="3"/>
  <c r="AG147" i="3" s="1"/>
  <c r="AA150" i="3"/>
  <c r="BM48" i="45"/>
  <c r="BM28" i="45"/>
  <c r="BM43" i="45"/>
  <c r="BM35" i="45"/>
  <c r="BM13" i="45"/>
  <c r="BM20" i="45"/>
  <c r="BM27" i="45"/>
  <c r="BM29" i="45"/>
  <c r="BM10" i="45"/>
  <c r="BM19" i="45"/>
  <c r="BM4" i="45"/>
  <c r="BM12" i="45"/>
  <c r="BM17" i="45"/>
  <c r="BM31" i="45"/>
  <c r="BM5" i="45"/>
  <c r="BM26" i="45"/>
  <c r="BM51" i="45"/>
  <c r="BM22" i="45"/>
  <c r="BM15" i="45"/>
  <c r="BM50" i="45"/>
  <c r="BM14" i="45"/>
  <c r="BM8" i="45"/>
  <c r="BM40" i="45"/>
  <c r="BM11" i="45"/>
  <c r="BM45" i="45"/>
  <c r="BM42" i="45"/>
  <c r="BM21" i="45"/>
  <c r="BM18" i="45"/>
  <c r="BM37" i="45"/>
  <c r="BM44" i="45"/>
  <c r="BM46" i="45"/>
  <c r="BM16" i="45"/>
  <c r="BM23" i="45"/>
  <c r="BM49" i="45"/>
  <c r="BM47" i="45"/>
  <c r="BM7" i="45"/>
  <c r="BM41" i="45"/>
  <c r="BM33" i="45"/>
  <c r="BM34" i="45"/>
  <c r="BM36" i="45"/>
  <c r="BM25" i="45"/>
  <c r="BM6" i="45"/>
  <c r="BM38" i="45"/>
  <c r="BM32" i="45"/>
  <c r="BM39" i="45"/>
  <c r="BM9" i="45"/>
  <c r="BM30" i="45"/>
  <c r="BM24" i="45"/>
  <c r="M143" i="3"/>
  <c r="M147" i="3"/>
  <c r="AG138" i="3"/>
  <c r="AU25" i="45"/>
  <c r="B247" i="31"/>
  <c r="C247" i="31"/>
  <c r="C240" i="31"/>
  <c r="BZ65" i="3"/>
  <c r="CA65" i="3" s="1"/>
  <c r="BZ60" i="3"/>
  <c r="BZ64" i="3"/>
  <c r="BZ58" i="3"/>
  <c r="BZ59" i="3"/>
  <c r="CA59" i="3" s="1"/>
  <c r="BZ61" i="3"/>
  <c r="BZ68" i="3"/>
  <c r="BZ69" i="3"/>
  <c r="BZ67" i="3"/>
  <c r="BZ62" i="3"/>
  <c r="BZ63" i="3"/>
  <c r="BZ66" i="3"/>
  <c r="AG150" i="3" l="1"/>
  <c r="BA21" i="45"/>
  <c r="C250" i="31"/>
  <c r="CA69" i="3"/>
  <c r="CA68" i="3"/>
  <c r="CA61" i="3"/>
  <c r="CA66" i="3"/>
  <c r="CA58" i="3"/>
  <c r="CA64" i="3"/>
  <c r="CA67" i="3"/>
  <c r="CA63" i="3"/>
  <c r="CA62" i="3"/>
  <c r="CA60" i="3"/>
  <c r="BO39" i="45" l="1"/>
  <c r="BL39" i="45" s="1"/>
  <c r="BO48" i="45"/>
  <c r="BL48" i="45" s="1"/>
  <c r="BO51" i="45"/>
  <c r="BL51" i="45" s="1"/>
  <c r="BO18" i="45"/>
  <c r="BL18" i="45" s="1"/>
  <c r="BO38" i="45"/>
  <c r="BL38" i="45" s="1"/>
  <c r="BO10" i="45"/>
  <c r="BL10" i="45" s="1"/>
  <c r="BO32" i="45"/>
  <c r="BL32" i="45" s="1"/>
  <c r="BO45" i="45"/>
  <c r="BL45" i="45" s="1"/>
  <c r="BO28" i="45"/>
  <c r="BL28" i="45" s="1"/>
  <c r="BO6" i="45"/>
  <c r="BL6" i="45" s="1"/>
  <c r="BO17" i="45"/>
  <c r="BL17" i="45" s="1"/>
  <c r="BO26" i="45"/>
  <c r="BL26" i="45" s="1"/>
  <c r="BO50" i="45"/>
  <c r="BL50" i="45" s="1"/>
  <c r="BO7" i="45"/>
  <c r="BL7" i="45" s="1"/>
  <c r="BO46" i="45"/>
  <c r="BL46" i="45" s="1"/>
  <c r="BO9" i="45"/>
  <c r="BL9" i="45" s="1"/>
  <c r="BO30" i="45"/>
  <c r="BL30" i="45" s="1"/>
  <c r="BO22" i="45"/>
  <c r="BL22" i="45" s="1"/>
  <c r="BO36" i="45"/>
  <c r="BL36" i="45" s="1"/>
  <c r="BO49" i="45"/>
  <c r="BL49" i="45" s="1"/>
  <c r="BO41" i="45"/>
  <c r="BL41" i="45" s="1"/>
  <c r="BO23" i="45"/>
  <c r="BL23" i="45" s="1"/>
  <c r="BO33" i="45"/>
  <c r="BL33" i="45" s="1"/>
  <c r="BO16" i="45"/>
  <c r="BL16" i="45" s="1"/>
  <c r="BO25" i="45"/>
  <c r="BL25" i="45" s="1"/>
  <c r="BO31" i="45"/>
  <c r="BL31" i="45" s="1"/>
  <c r="BO4" i="45"/>
  <c r="BL4" i="45" s="1"/>
  <c r="BO47" i="45"/>
  <c r="BL47" i="45" s="1"/>
  <c r="BO15" i="45"/>
  <c r="BL15" i="45" s="1"/>
  <c r="BO19" i="45"/>
  <c r="BL19" i="45" s="1"/>
  <c r="BO5" i="45"/>
  <c r="BL5" i="45" s="1"/>
  <c r="BO37" i="45"/>
  <c r="BL37" i="45" s="1"/>
  <c r="BO29" i="45"/>
  <c r="BL29" i="45" s="1"/>
  <c r="BO24" i="45"/>
  <c r="BL24" i="45" s="1"/>
  <c r="BO42" i="45"/>
  <c r="BL42" i="45" s="1"/>
  <c r="BO21" i="45"/>
  <c r="BL21" i="45" s="1"/>
  <c r="BO12" i="45"/>
  <c r="BL12" i="45" s="1"/>
  <c r="BO44" i="45"/>
  <c r="BL44" i="45" s="1"/>
  <c r="BO40" i="45"/>
  <c r="BL40" i="45" s="1"/>
  <c r="BO11" i="45"/>
  <c r="BL11" i="45" s="1"/>
  <c r="BO35" i="45"/>
  <c r="BL35" i="45" s="1"/>
  <c r="BO8" i="45"/>
  <c r="BL8" i="45" s="1"/>
  <c r="BO14" i="45"/>
  <c r="BL14" i="45" s="1"/>
  <c r="BO34" i="45"/>
  <c r="BL34" i="45" s="1"/>
  <c r="BO13" i="45"/>
  <c r="BL13" i="45" s="1"/>
  <c r="BO43" i="45"/>
  <c r="BL43" i="45" s="1"/>
  <c r="BO27" i="45"/>
  <c r="BL27" i="45" s="1"/>
  <c r="BO20" i="45"/>
  <c r="BL20" i="45" s="1"/>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<sst xmlns="http://schemas.openxmlformats.org/spreadsheetml/2006/main" count="6764" uniqueCount="1520">
  <si>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</si>
  <si>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</si>
  <si>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</si>
  <si>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</si>
  <si>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</si>
  <si>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</si>
  <si>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</si>
  <si>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</si>
  <si>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</si>
  <si>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</si>
  <si>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</si>
  <si>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</si>
  <si>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</si>
  <si>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</si>
  <si>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</si>
  <si>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</si>
  <si>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</si>
  <si>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</si>
  <si>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</si>
  <si>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</si>
  <si>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</si>
  <si>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</si>
  <si>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</si>
  <si>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</si>
  <si>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</si>
  <si>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</si>
  <si>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</si>
  <si>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</si>
  <si>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</si>
  <si>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</si>
  <si>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</si>
  <si>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</si>
  <si>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</si>
  <si>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</si>
  <si>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</si>
  <si>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</si>
  <si>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</si>
  <si>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</si>
  <si>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</si>
  <si>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</si>
  <si>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</si>
  <si>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</si>
  <si>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</si>
  <si>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</si>
  <si>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</si>
  <si>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</si>
  <si>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</si>
  <si>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</si>
  <si>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</si>
  <si>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</si>
  <si>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</si>
  <si>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</si>
  <si>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</si>
  <si>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</si>
  <si>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</si>
  <si>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</si>
  <si>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</si>
  <si>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</si>
  <si>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</si>
  <si>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</si>
  <si>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</si>
  <si>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</si>
  <si>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</si>
  <si>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</si>
  <si>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</si>
  <si>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</si>
  <si>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</si>
  <si>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</si>
  <si>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</si>
  <si>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</si>
  <si>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</si>
  <si>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</si>
  <si>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</si>
  <si>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</si>
  <si>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</si>
  <si>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</si>
  <si>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</si>
  <si>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</si>
  <si>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</si>
  <si>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</si>
  <si>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</si>
  <si>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</si>
  <si>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</si>
  <si>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</si>
  <si>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</si>
  <si>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</si>
  <si>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</si>
  <si>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</si>
  <si>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</si>
  <si>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</si>
  <si>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</si>
  <si>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</si>
  <si>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</si>
  <si>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</si>
  <si>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</si>
  <si>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</si>
  <si>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</si>
  <si>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</si>
  <si>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</si>
  <si>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</si>
  <si>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</si>
  <si>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</si>
  <si>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</si>
  <si>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</si>
  <si>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</si>
  <si>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</si>
  <si>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</si>
  <si>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</si>
  <si>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</si>
  <si>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</si>
  <si>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</si>
  <si>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</si>
  <si>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</si>
  <si>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</si>
  <si>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</si>
  <si>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</si>
  <si>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</si>
  <si>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</si>
  <si>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</si>
  <si>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</si>
  <si>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</si>
  <si>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</si>
  <si>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</si>
  <si>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</si>
  <si>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</si>
  <si>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</si>
  <si>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</si>
  <si>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</si>
  <si>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</si>
  <si>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</si>
  <si>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</si>
  <si>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</si>
  <si>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</si>
  <si>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</si>
  <si>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</si>
  <si>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</si>
  <si>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</si>
  <si>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</si>
  <si>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</si>
  <si>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</si>
  <si>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</si>
  <si>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</si>
  <si>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</si>
  <si>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</si>
  <si>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</si>
  <si>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</si>
  <si>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</si>
  <si>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</si>
  <si>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</si>
  <si>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</si>
  <si>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</si>
  <si>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</si>
  <si>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</si>
  <si>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</si>
  <si>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</si>
  <si>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</si>
  <si>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</si>
  <si>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</si>
  <si>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</si>
  <si>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</si>
  <si>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</si>
  <si>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</si>
  <si>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</si>
  <si>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</si>
  <si>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</si>
  <si>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</si>
  <si>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</si>
  <si>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</si>
  <si>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</si>
  <si>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</si>
  <si>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</si>
  <si>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</si>
  <si>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</si>
  <si>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</si>
  <si>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</si>
  <si>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</si>
  <si>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</si>
  <si>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</si>
  <si>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</si>
  <si>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</si>
  <si>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</si>
  <si>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</si>
  <si>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</si>
  <si>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</si>
  <si>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</si>
  <si>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</si>
  <si>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</si>
  <si>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</si>
  <si>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</si>
  <si>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</si>
  <si>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</si>
  <si>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</si>
  <si>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</si>
  <si>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</si>
  <si>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</si>
  <si>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</si>
  <si>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</si>
  <si>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</si>
  <si>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</si>
  <si>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</si>
  <si>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</si>
  <si>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</si>
  <si>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</si>
  <si>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</si>
  <si>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</si>
  <si>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</si>
  <si>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</si>
  <si>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</si>
  <si>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</si>
  <si>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</si>
  <si>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</si>
  <si>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</si>
  <si>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</si>
  <si>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</si>
  <si>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</si>
  <si>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</si>
  <si>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</si>
  <si>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</si>
  <si>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</si>
  <si>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</si>
  <si>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</si>
  <si>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</si>
  <si>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</si>
  <si>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</si>
  <si>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</si>
  <si>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</si>
  <si>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</si>
  <si>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</si>
  <si>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</si>
  <si>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</si>
  <si>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</si>
  <si>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</si>
  <si>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</si>
  <si>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</si>
  <si>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</si>
  <si>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</si>
  <si>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</si>
  <si>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</si>
  <si>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</si>
  <si>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</si>
  <si>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</si>
  <si>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</si>
  <si>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</si>
  <si>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</si>
  <si>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</si>
  <si>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</si>
  <si>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</si>
  <si>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</si>
  <si>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</si>
  <si>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</si>
  <si>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</si>
  <si>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</si>
  <si>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</si>
  <si>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</si>
  <si>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</si>
  <si>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</si>
  <si>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</si>
  <si>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</si>
  <si>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</si>
  <si>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</si>
  <si>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</si>
  <si>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</si>
  <si>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</si>
  <si>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</si>
  <si>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</si>
  <si>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</si>
  <si>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</si>
  <si>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</si>
  <si>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</si>
  <si>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</si>
  <si>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</si>
  <si>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</si>
  <si>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</si>
  <si>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</si>
  <si>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</si>
  <si>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</si>
  <si>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</si>
  <si>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</si>
  <si>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</si>
  <si>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</si>
  <si>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</si>
  <si>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</si>
  <si>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</si>
  <si>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</si>
  <si>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</si>
  <si>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</si>
  <si>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</si>
  <si>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</si>
  <si>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</si>
  <si>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</si>
  <si>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</si>
  <si>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</si>
  <si>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</si>
  <si>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</si>
  <si>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</si>
  <si>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</si>
  <si>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</si>
  <si>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</si>
  <si>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</si>
  <si>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</si>
  <si>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</si>
  <si>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</si>
  <si>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</si>
  <si>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</si>
  <si>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</si>
  <si>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</si>
  <si>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</si>
  <si>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</si>
  <si>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</si>
  <si>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</si>
  <si>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</si>
  <si>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</si>
  <si>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</si>
  <si>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</si>
  <si>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</si>
  <si>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</si>
  <si>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</si>
  <si>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</si>
  <si>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</si>
  <si>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</si>
  <si>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</si>
  <si>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</si>
  <si>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</si>
  <si>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</si>
  <si>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</si>
  <si>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</si>
  <si>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</si>
  <si>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</si>
  <si>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</si>
  <si>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</si>
  <si>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</si>
  <si>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</si>
  <si>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</si>
  <si>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</si>
  <si>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</si>
  <si>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</si>
  <si>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</si>
  <si>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</si>
  <si>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</si>
  <si>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</si>
  <si>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</si>
  <si>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</si>
  <si>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</si>
  <si>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</si>
  <si>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</si>
  <si>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</si>
  <si>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</si>
  <si>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</si>
  <si>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</si>
  <si>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</si>
  <si>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</si>
  <si>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</si>
  <si>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</si>
  <si>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</si>
  <si>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</si>
  <si>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</si>
  <si>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</si>
  <si>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</si>
  <si>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</si>
  <si>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</si>
  <si>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</si>
  <si>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</si>
  <si>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</si>
  <si>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</si>
  <si>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</si>
  <si>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</si>
  <si>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</si>
  <si>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</si>
  <si>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</si>
  <si>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</si>
  <si>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</si>
  <si>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</si>
  <si>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</si>
  <si>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</si>
  <si>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</si>
  <si>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</si>
  <si>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</si>
  <si>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</si>
  <si>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</si>
  <si>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</si>
  <si>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</si>
  <si>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</si>
  <si>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</si>
  <si>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</si>
  <si>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</si>
  <si>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</si>
  <si>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</si>
  <si>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</si>
  <si>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</si>
  <si>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</si>
  <si>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</si>
  <si>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</si>
  <si>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</si>
  <si>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</si>
  <si>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</si>
  <si>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</si>
  <si>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</si>
  <si>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</si>
  <si>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</si>
  <si>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</si>
  <si>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</si>
  <si>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</si>
  <si>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</si>
  <si>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</si>
  <si>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</si>
  <si>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</si>
  <si>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</si>
  <si>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</si>
  <si>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</si>
  <si>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</si>
  <si>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</si>
  <si>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</si>
  <si>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</si>
  <si>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</si>
  <si>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</si>
  <si>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</si>
  <si>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</si>
  <si>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</si>
  <si>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</si>
  <si>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</si>
  <si>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</si>
  <si>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</si>
  <si>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</si>
  <si>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</si>
  <si>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</si>
  <si>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</si>
  <si>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</si>
  <si>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</si>
  <si>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</si>
  <si>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</si>
  <si>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</si>
  <si>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</si>
  <si>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</si>
  <si>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</si>
  <si>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</si>
  <si>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</si>
  <si>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</si>
  <si>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</si>
  <si>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</si>
  <si>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</si>
  <si>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</si>
  <si>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</si>
  <si>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</si>
  <si>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</si>
  <si>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</si>
  <si>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</si>
  <si>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</si>
  <si>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</si>
  <si>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</si>
  <si>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</si>
  <si>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</si>
  <si>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</si>
  <si>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</si>
  <si>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</si>
  <si>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</si>
  <si>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</si>
  <si>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</si>
  <si>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</si>
  <si>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</si>
  <si>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</si>
  <si>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</si>
  <si>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</si>
  <si>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</si>
  <si>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</si>
  <si>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</si>
  <si>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</si>
  <si>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</si>
  <si>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</si>
  <si>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</si>
  <si>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</si>
  <si>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</si>
  <si>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</si>
  <si>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</si>
  <si>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</si>
  <si>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</si>
  <si>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</si>
  <si>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</si>
  <si>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</si>
  <si>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</si>
  <si>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</si>
  <si>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</si>
  <si>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</si>
  <si>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</si>
  <si>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</si>
  <si>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</si>
  <si>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</si>
  <si>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</si>
  <si>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</si>
  <si>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</si>
  <si>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</si>
  <si>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</si>
  <si>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</si>
  <si>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</si>
  <si>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</si>
  <si>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</si>
  <si>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</si>
  <si>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</si>
  <si>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</si>
  <si>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</si>
  <si>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</si>
  <si>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</si>
  <si>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</si>
  <si>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</si>
  <si>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</si>
  <si>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</si>
  <si>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</si>
  <si>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</si>
  <si>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</si>
  <si>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</si>
  <si>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</si>
  <si>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</si>
  <si>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</si>
  <si>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</si>
  <si>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</si>
  <si>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</si>
  <si>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</si>
  <si>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</si>
  <si>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</si>
  <si>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</si>
  <si>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</si>
  <si>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</si>
  <si>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</si>
  <si>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</si>
  <si>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</si>
  <si>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</si>
  <si>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</si>
  <si>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</si>
  <si>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</si>
  <si>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</si>
  <si>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</si>
  <si>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</si>
  <si>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</si>
  <si>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</si>
  <si>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</si>
  <si>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</si>
  <si>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</si>
  <si>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</si>
  <si>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</si>
  <si>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</si>
  <si>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</si>
  <si>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</si>
  <si>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</si>
  <si>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</si>
  <si>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</si>
  <si>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</si>
  <si>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</si>
  <si>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</si>
  <si>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</si>
  <si>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</si>
  <si>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</si>
  <si>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</si>
  <si>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</si>
  <si>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</si>
  <si>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</si>
  <si>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</si>
  <si>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</si>
  <si>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</si>
  <si>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</si>
  <si>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</si>
  <si>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</si>
  <si>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</si>
  <si>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</si>
  <si>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</si>
  <si>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</si>
  <si>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</si>
  <si>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</si>
  <si>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</si>
  <si>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</si>
  <si>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</si>
  <si>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</si>
  <si>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</si>
  <si>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</si>
  <si>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</si>
  <si>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</si>
  <si>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</si>
  <si>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</si>
  <si>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</si>
  <si>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</si>
  <si>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</si>
  <si>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</si>
  <si>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</si>
  <si>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</si>
  <si>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</si>
  <si>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</si>
  <si>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</si>
  <si>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</si>
  <si>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</si>
  <si>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</si>
  <si>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</si>
  <si>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</si>
  <si>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</si>
  <si>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</si>
  <si>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</si>
  <si>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</si>
  <si>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</si>
  <si>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</si>
  <si>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</si>
  <si>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</si>
  <si>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</si>
  <si>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</si>
  <si>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</si>
  <si>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</si>
  <si>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</si>
  <si>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</si>
  <si>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</si>
  <si>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</si>
  <si>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</si>
  <si>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</si>
  <si>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</si>
  <si>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</si>
  <si>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</si>
  <si>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</si>
  <si>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</si>
  <si>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</si>
  <si>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</si>
  <si>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</si>
  <si>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</si>
  <si>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</si>
  <si>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</si>
  <si>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</si>
  <si>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</si>
  <si>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</si>
  <si>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</si>
  <si>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</si>
  <si>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</si>
  <si>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</si>
  <si>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</si>
  <si>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</si>
  <si>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</si>
  <si>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</si>
  <si>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</si>
  <si>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</si>
  <si>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</si>
  <si>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</si>
  <si>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</si>
  <si>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</si>
  <si>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</si>
  <si>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</si>
  <si>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</si>
  <si>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</si>
  <si>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</si>
  <si>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</si>
  <si>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</si>
  <si>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</si>
  <si>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</si>
  <si>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</si>
  <si>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</si>
  <si>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</si>
  <si>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</si>
  <si>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</si>
  <si>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</si>
  <si>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</si>
  <si>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</si>
  <si>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</si>
  <si>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</si>
  <si>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</si>
  <si>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</si>
  <si>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</si>
  <si>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</si>
  <si>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</si>
  <si>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</si>
  <si>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</si>
  <si>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</si>
  <si>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</si>
  <si>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</si>
  <si>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</si>
  <si>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</si>
  <si>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</si>
  <si>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</si>
  <si>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</si>
  <si>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</si>
  <si>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</si>
  <si>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</si>
  <si>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</si>
  <si>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</si>
  <si>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</si>
  <si>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</si>
  <si>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</si>
  <si>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</si>
  <si>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</si>
  <si>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</si>
  <si>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</si>
  <si>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</si>
  <si>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</si>
  <si>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</si>
  <si>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</si>
  <si>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</si>
  <si>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</si>
  <si>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</si>
  <si>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</si>
  <si>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</si>
  <si>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</si>
  <si>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</si>
  <si>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</si>
  <si>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</si>
  <si>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</si>
  <si>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</si>
  <si>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</si>
  <si>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</si>
  <si>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</si>
  <si>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</si>
  <si>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</si>
  <si>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</si>
  <si>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</si>
  <si>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</si>
  <si>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</si>
  <si>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</si>
  <si>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</si>
  <si>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</si>
  <si>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</si>
  <si>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</si>
  <si>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</si>
  <si>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</si>
  <si>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</si>
  <si>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</si>
  <si>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</si>
  <si>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</si>
  <si>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</si>
  <si>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</si>
  <si>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</si>
  <si>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</si>
  <si>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</si>
  <si>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</si>
  <si>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</si>
  <si>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</si>
  <si>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</si>
  <si>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</si>
  <si>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</si>
  <si>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</si>
  <si>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</si>
  <si>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</si>
  <si>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</si>
  <si>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</si>
  <si>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</si>
  <si>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</si>
  <si>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</si>
  <si>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</si>
  <si>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</si>
  <si>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</si>
  <si>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</si>
  <si>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</si>
  <si>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</si>
  <si>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</si>
  <si>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</si>
  <si>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</si>
  <si>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</si>
  <si>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</si>
  <si>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</si>
  <si>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</si>
  <si>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</si>
  <si>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</si>
  <si>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</si>
  <si>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</si>
  <si>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</si>
  <si>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</si>
  <si>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</si>
  <si>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</si>
  <si>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</si>
  <si>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</si>
  <si>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</si>
  <si>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</si>
  <si>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</si>
  <si>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</si>
  <si>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</si>
  <si>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</si>
  <si>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</si>
  <si>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</si>
  <si>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</si>
  <si>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</si>
  <si>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</si>
  <si>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</si>
  <si>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</si>
  <si>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</si>
  <si>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</si>
  <si>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</si>
  <si>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</si>
  <si>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</si>
  <si>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</si>
  <si>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</si>
  <si>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</si>
  <si>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</si>
  <si>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</si>
  <si>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</si>
  <si>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</si>
  <si>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</si>
  <si>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</si>
  <si>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</si>
  <si>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</si>
  <si>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</si>
  <si>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</si>
  <si>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</si>
  <si>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</si>
  <si>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</si>
  <si>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</si>
  <si>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</si>
  <si>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</si>
  <si>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</si>
  <si>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</si>
  <si>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</si>
  <si>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</si>
  <si>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</si>
  <si>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</si>
  <si>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</si>
  <si>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</si>
  <si>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</si>
  <si>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</si>
  <si>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</si>
  <si>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</si>
  <si>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</si>
  <si>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</si>
  <si>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</si>
  <si>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</si>
  <si>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</si>
  <si>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</si>
  <si>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</si>
  <si>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</si>
  <si>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</si>
  <si>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</si>
  <si>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</si>
  <si>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</si>
  <si>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</si>
  <si>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</si>
  <si>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</si>
  <si>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</si>
  <si>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</si>
  <si>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</si>
  <si>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</si>
  <si>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</si>
  <si>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</si>
  <si>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</si>
  <si>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</si>
  <si>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</si>
  <si>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</si>
  <si>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</si>
  <si>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</si>
  <si>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</si>
  <si>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</si>
  <si>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</si>
  <si>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</si>
  <si>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</si>
  <si>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</si>
  <si>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</si>
  <si>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</si>
  <si>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</si>
  <si>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</si>
  <si>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</si>
  <si>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</si>
  <si>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</si>
  <si>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</si>
  <si>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</si>
  <si>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</si>
  <si>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</si>
  <si>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</si>
  <si>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</si>
  <si>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</si>
  <si>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</si>
  <si>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</si>
  <si>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</si>
  <si>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</si>
  <si>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</si>
  <si>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</si>
  <si>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</si>
  <si>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</si>
  <si>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</si>
  <si>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</si>
  <si>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</si>
  <si>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</si>
  <si>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</si>
  <si>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</si>
  <si>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</si>
  <si>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</si>
  <si>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</si>
  <si>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</si>
  <si>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</si>
  <si>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</si>
  <si>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</si>
  <si>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</si>
  <si>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</si>
  <si>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</si>
  <si>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</si>
  <si>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</si>
  <si>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</si>
  <si>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</si>
  <si>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</si>
  <si>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</si>
  <si>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</si>
  <si>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</si>
  <si>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</si>
  <si>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</si>
  <si>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</si>
  <si>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</si>
  <si>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</si>
  <si>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</si>
  <si>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</si>
  <si>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</si>
  <si>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</si>
  <si>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</si>
  <si>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</si>
  <si>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</si>
  <si>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</si>
  <si>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</si>
  <si>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</si>
  <si>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</si>
  <si>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</si>
  <si>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</si>
  <si>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</si>
  <si>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</si>
  <si>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</si>
  <si>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</si>
  <si>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</si>
  <si>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</si>
  <si>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</si>
  <si>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</si>
  <si>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</si>
  <si>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</si>
  <si>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</si>
  <si>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</si>
  <si>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</si>
  <si>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</si>
  <si>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</si>
  <si>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</si>
  <si>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</si>
  <si>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</si>
  <si>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</si>
  <si>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</si>
  <si>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</si>
  <si>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</si>
  <si>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</si>
  <si>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</si>
  <si>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</si>
  <si>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</si>
  <si>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</si>
  <si>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</si>
  <si>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</si>
  <si>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</si>
  <si>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</si>
  <si>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</si>
  <si>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</si>
  <si>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</si>
  <si>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</si>
  <si>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</si>
  <si>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</si>
  <si>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</si>
  <si>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</si>
  <si>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</si>
  <si>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</si>
  <si>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</si>
  <si>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</si>
  <si>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</si>
  <si>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</si>
  <si>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</si>
  <si>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</si>
  <si>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</si>
  <si>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</si>
  <si>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</si>
  <si>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</si>
  <si>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</si>
  <si>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</si>
  <si>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</si>
  <si>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</si>
  <si>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</si>
  <si>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</si>
  <si>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</si>
  <si>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</si>
  <si>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</si>
  <si>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</si>
  <si>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</si>
  <si>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</si>
  <si>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</si>
  <si>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</si>
  <si>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</si>
  <si>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</si>
  <si>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</si>
  <si>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</si>
  <si>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</si>
  <si>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</si>
  <si>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</si>
  <si>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</si>
  <si>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</si>
  <si>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</si>
  <si>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</si>
  <si>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</si>
  <si>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</si>
  <si>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</si>
  <si>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</si>
  <si>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</si>
  <si>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</si>
  <si>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</si>
  <si>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</si>
  <si>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</si>
  <si>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</si>
  <si>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</si>
  <si>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</si>
  <si>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</si>
  <si>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</si>
  <si>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</si>
  <si>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</si>
  <si>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</si>
  <si>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</si>
  <si>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</si>
  <si>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</si>
  <si>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</si>
  <si>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</si>
  <si>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</si>
  <si>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</si>
  <si>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</si>
  <si>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</si>
  <si>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</si>
  <si>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</si>
  <si>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</si>
  <si>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</si>
  <si>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</si>
  <si>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</si>
  <si>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</si>
  <si>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</si>
  <si>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</si>
  <si>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</si>
  <si>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</si>
  <si>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</si>
  <si>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</si>
  <si>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</si>
  <si>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</si>
  <si>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</si>
  <si>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</si>
  <si>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</si>
  <si>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</si>
  <si>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</si>
  <si>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</si>
  <si>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</si>
  <si>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</si>
  <si>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</si>
  <si>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</si>
  <si>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</si>
  <si>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</si>
  <si>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</si>
  <si>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</si>
  <si>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</si>
  <si>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</si>
  <si>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</si>
  <si>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</si>
  <si>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</si>
  <si>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</si>
  <si>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</si>
  <si>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</si>
  <si>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</si>
  <si>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</si>
  <si>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</si>
  <si>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</si>
  <si>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</si>
  <si>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</si>
  <si>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</si>
  <si>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</si>
  <si>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</si>
  <si>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</si>
  <si>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</si>
  <si>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</si>
  <si>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</si>
  <si>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</si>
  <si>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</si>
  <si>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</si>
  <si>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</si>
  <si>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</si>
  <si>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</si>
  <si>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</si>
  <si>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</si>
  <si>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</si>
  <si>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</si>
  <si>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</si>
  <si>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</si>
  <si>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</si>
  <si>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</si>
  <si>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</si>
  <si>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</si>
  <si>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</si>
  <si>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</si>
  <si>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</si>
  <si>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</si>
  <si>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</si>
  <si>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</si>
  <si>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</si>
  <si>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</si>
  <si>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</si>
  <si>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</si>
  <si>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</si>
  <si>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</si>
  <si>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</si>
  <si>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</si>
  <si>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</si>
  <si>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</si>
  <si>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</si>
  <si>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</si>
  <si>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</si>
  <si>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</si>
  <si>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</si>
  <si>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</si>
  <si>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</si>
  <si>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</si>
  <si>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</si>
  <si>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</si>
  <si>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</si>
  <si>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</si>
  <si>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</si>
  <si>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</si>
  <si>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</si>
  <si>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</si>
  <si>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</si>
  <si>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</si>
  <si>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</si>
  <si>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</si>
  <si>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</si>
  <si>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</si>
  <si>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</si>
  <si>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</si>
  <si>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</si>
  <si>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</si>
  <si>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</si>
  <si>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</si>
  <si>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</si>
  <si>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</si>
  <si>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</si>
  <si>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</si>
  <si>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</si>
  <si>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</si>
  <si>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</si>
  <si>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</si>
  <si>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</si>
  <si>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</si>
  <si>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</si>
  <si>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</si>
  <si>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</si>
  <si>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</si>
  <si>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</si>
  <si>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</si>
  <si>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</si>
  <si>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</si>
  <si>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</si>
  <si>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</si>
  <si>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</si>
  <si>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</si>
  <si>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</si>
  <si>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</si>
  <si>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</si>
  <si>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</si>
  <si>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</si>
  <si>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</si>
  <si>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</si>
  <si>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</si>
  <si>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</si>
  <si>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</si>
  <si>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</si>
  <si>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</si>
  <si>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</si>
  <si>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</si>
  <si>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</si>
  <si>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</si>
  <si>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</si>
  <si>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</si>
  <si>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</si>
  <si>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</si>
  <si>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</si>
  <si>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</si>
  <si>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</si>
  <si>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</si>
  <si>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</si>
  <si>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</si>
  <si>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</si>
  <si>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</si>
  <si>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</si>
  <si>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</si>
  <si>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</si>
  <si>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</si>
  <si>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</si>
  <si>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</si>
  <si>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</si>
  <si>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</si>
  <si>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</si>
  <si>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</si>
  <si>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</si>
  <si>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</si>
  <si>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</si>
  <si>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</si>
  <si>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</si>
  <si>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</si>
  <si>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</si>
  <si>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</si>
  <si>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</si>
  <si>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</si>
  <si>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</si>
  <si>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</si>
  <si>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</si>
  <si>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</si>
  <si>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</si>
  <si>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</si>
  <si>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</si>
  <si>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</si>
  <si>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</si>
  <si>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</si>
  <si>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</si>
  <si>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</si>
  <si>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</si>
  <si>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</si>
  <si>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</si>
  <si>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</si>
  <si>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</si>
  <si>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</si>
  <si>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</si>
  <si>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</si>
  <si>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</si>
  <si>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</si>
  <si>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</si>
  <si>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</si>
  <si>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</si>
  <si>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</si>
  <si>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</si>
  <si>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</si>
  <si>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</si>
  <si>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</si>
  <si>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</si>
  <si>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</si>
  <si>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</si>
  <si>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</si>
  <si>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</si>
  <si>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</si>
  <si>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</si>
  <si>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</si>
  <si>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</si>
  <si>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</si>
  <si>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</si>
  <si>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</si>
  <si>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</si>
  <si>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</si>
  <si>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</si>
  <si>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</si>
  <si>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</si>
  <si>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</si>
  <si>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</si>
  <si>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</si>
  <si>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</si>
  <si>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</si>
  <si>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</si>
  <si>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</si>
  <si>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</si>
  <si>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</si>
  <si>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</si>
  <si>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</si>
  <si>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</si>
  <si>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</si>
  <si>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</si>
  <si>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</si>
  <si>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</si>
  <si>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</si>
  <si>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</si>
  <si>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</si>
  <si>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</si>
  <si>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</si>
  <si>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</si>
  <si>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</si>
  <si>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</si>
  <si>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</si>
  <si>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</si>
  <si>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</si>
  <si>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</si>
  <si>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</si>
  <si>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</si>
  <si>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</si>
  <si>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</si>
  <si>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</si>
  <si>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</si>
  <si>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</si>
  <si>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</si>
  <si>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</si>
  <si>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</si>
  <si>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</si>
  <si>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</si>
  <si>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</si>
  <si>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</si>
  <si>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</si>
  <si>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</si>
  <si>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</si>
  <si>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</si>
  <si>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</si>
  <si>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</si>
  <si>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</si>
  <si>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</si>
  <si>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</si>
  <si>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</si>
  <si>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</si>
  <si>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</si>
  <si>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</si>
  <si>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</si>
  <si>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</si>
  <si>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</si>
  <si>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</si>
  <si>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</si>
  <si>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</si>
  <si>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</si>
  <si>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</si>
  <si>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</si>
  <si>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</si>
  <si>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</si>
  <si>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</si>
  <si>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</si>
  <si>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</si>
  <si>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</si>
  <si>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</si>
  <si>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</si>
  <si>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</si>
  <si>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</si>
  <si>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</si>
  <si>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</si>
  <si>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</si>
  <si>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</si>
  <si>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</si>
  <si>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</si>
  <si>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</si>
  <si>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</si>
  <si>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</si>
  <si>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</si>
  <si>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</si>
  <si>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</si>
  <si>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</si>
  <si>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</si>
  <si>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</si>
  <si>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</si>
  <si>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</si>
  <si>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</si>
  <si>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</si>
  <si>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</si>
  <si>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</si>
  <si>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</si>
  <si>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</si>
  <si>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</si>
  <si>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</si>
  <si>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</si>
  <si>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</si>
  <si>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</si>
  <si>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</si>
  <si>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</si>
  <si>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</si>
  <si>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</si>
  <si>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</si>
  <si>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</si>
  <si>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</si>
  <si>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</si>
  <si>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</si>
  <si>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</si>
  <si>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</si>
  <si>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</si>
  <si>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</si>
  <si>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</si>
  <si>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</si>
  <si>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</si>
  <si>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</si>
  <si>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</si>
  <si>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</si>
  <si>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</si>
  <si>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</si>
  <si>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</si>
  <si>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</si>
  <si>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</si>
  <si>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</si>
  <si>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</si>
  <si>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</si>
  <si>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</si>
  <si>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</si>
  <si>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</si>
  <si>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</si>
  <si>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</si>
  <si>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</si>
  <si>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</si>
  <si>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</si>
  <si>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</si>
  <si>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</si>
  <si>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</si>
  <si>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</si>
  <si>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</si>
  <si>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</si>
  <si>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</si>
  <si>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</si>
  <si>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</si>
  <si>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</si>
  <si>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</si>
  <si>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</si>
  <si>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</si>
  <si>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</si>
  <si>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</si>
  <si>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</si>
  <si>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</si>
  <si>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</si>
  <si>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</si>
  <si>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</si>
  <si>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</si>
  <si>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</si>
  <si>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</si>
  <si>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</si>
  <si>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</si>
  <si>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</si>
  <si>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</si>
  <si>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</si>
  <si>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</si>
  <si>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</si>
  <si>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</si>
  <si>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</si>
  <si>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</si>
  <si>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</si>
  <si>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</si>
  <si>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</si>
  <si>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</si>
  <si>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</si>
  <si>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</si>
  <si>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</si>
  <si>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</si>
  <si>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</si>
  <si>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</si>
  <si>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</si>
  <si>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</si>
  <si>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</si>
  <si>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</si>
  <si>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</si>
  <si>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</si>
  <si>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</si>
  <si>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</si>
  <si>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</si>
  <si>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</si>
  <si>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</si>
  <si>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</si>
  <si>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</si>
  <si>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</si>
  <si>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</si>
  <si>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</si>
  <si>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</si>
  <si>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</si>
  <si>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</si>
  <si>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</si>
  <si>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</si>
  <si>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</si>
  <si>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</si>
  <si>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</si>
  <si>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</si>
  <si>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</si>
  <si>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</si>
  <si>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</si>
  <si>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</si>
  <si>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</si>
  <si>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</si>
  <si>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</si>
  <si>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</si>
  <si>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</si>
  <si>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</si>
  <si>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</si>
  <si>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</si>
  <si>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</si>
  <si>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</si>
  <si>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</si>
  <si>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</si>
  <si>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</si>
  <si>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</si>
  <si>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</si>
  <si>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</si>
  <si>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</si>
  <si>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</si>
  <si>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</si>
  <si>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</si>
  <si>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</si>
  <si>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</si>
  <si>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</si>
  <si>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</si>
  <si>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</si>
  <si>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</si>
  <si>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</si>
  <si>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</si>
  <si>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</si>
  <si>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</si>
  <si>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</si>
  <si>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</si>
  <si>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</si>
  <si>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</si>
  <si>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</si>
  <si>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</si>
  <si>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</si>
  <si>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</si>
  <si>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</si>
  <si>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</si>
  <si>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</si>
  <si>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</si>
  <si>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</si>
  <si>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</si>
  <si>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</si>
  <si>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</si>
  <si>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</si>
  <si>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</si>
  <si>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</si>
  <si>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</si>
  <si>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</si>
  <si>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</si>
  <si>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</si>
  <si>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</si>
  <si>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</si>
  <si>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</si>
  <si>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</si>
  <si>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</si>
  <si>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</si>
  <si>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</si>
  <si>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</si>
  <si>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</si>
  <si>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</si>
  <si>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</si>
  <si>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</si>
  <si>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</si>
  <si>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</si>
  <si>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</si>
  <si>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</si>
  <si>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</si>
  <si>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</si>
  <si>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</si>
  <si>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</si>
  <si>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Aquiles Castro FC</t>
  </si>
  <si>
    <t>Lamine Yamal</t>
  </si>
  <si>
    <t>Mbappe</t>
  </si>
  <si>
    <t>Neymar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</si>
</sst>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6">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47" fillId="2" borderId="139" xfId="0" applyFont="1" applyFill="1" applyBorder="1" applyAlignment="1" applyProtection="1">
      <alignment horizontal="left" vertical="center" wrapText="1"/>
      <protection locked="0" hidden="1"/>
    </xf>
  </cellXfs>
  <cellStyles count="95">
    <cellStyle name="Enllaç" xfId="1" builtinId="8" hidden="1"/>
    <cellStyle name="Enllaç" xfId="3" builtinId="8" hidden="1"/>
    <cellStyle name="Enllaç" xfId="5" builtinId="8" hidden="1"/>
    <cellStyle name="Enllaç" xfId="7" builtinId="8" hidden="1"/>
    <cellStyle name="Enllaç" xfId="9" builtinId="8" hidden="1"/>
    <cellStyle name="Enllaç" xfId="11" builtinId="8" hidden="1"/>
    <cellStyle name="Enllaç" xfId="13" builtinId="8" hidden="1"/>
    <cellStyle name="Enllaç" xfId="15" builtinId="8" hidden="1"/>
    <cellStyle name="Enllaç" xfId="17" builtinId="8" hidden="1"/>
    <cellStyle name="Enllaç" xfId="19" builtinId="8" hidden="1"/>
    <cellStyle name="Enllaç" xfId="21" builtinId="8" hidden="1"/>
    <cellStyle name="Enllaç" xfId="23" builtinId="8" hidden="1"/>
    <cellStyle name="Enllaç" xfId="25" builtinId="8" hidden="1"/>
    <cellStyle name="Enllaç" xfId="27" builtinId="8"/>
    <cellStyle name="Enllaç visitat" xfId="2" builtinId="9" hidden="1"/>
    <cellStyle name="Enllaç visitat" xfId="4" builtinId="9" hidden="1"/>
    <cellStyle name="Enllaç visitat" xfId="6" builtinId="9" hidden="1"/>
    <cellStyle name="Enllaç visitat" xfId="8" builtinId="9" hidden="1"/>
    <cellStyle name="Enllaç visitat" xfId="10" builtinId="9" hidden="1"/>
    <cellStyle name="Enllaç visitat" xfId="12" builtinId="9" hidden="1"/>
    <cellStyle name="Enllaç visitat" xfId="14" builtinId="9" hidden="1"/>
    <cellStyle name="Enllaç visitat" xfId="16" builtinId="9" hidden="1"/>
    <cellStyle name="Enllaç visitat" xfId="18" builtinId="9" hidden="1"/>
    <cellStyle name="Enllaç visitat" xfId="20" builtinId="9" hidden="1"/>
    <cellStyle name="Enllaç visitat" xfId="22" builtinId="9" hidden="1"/>
    <cellStyle name="Enllaç visitat" xfId="24" builtinId="9" hidden="1"/>
    <cellStyle name="Enllaç visitat" xfId="26" builtinId="9" hidden="1"/>
    <cellStyle name="Enllaç visitat" xfId="28" builtinId="9" hidden="1"/>
    <cellStyle name="Enllaç visitat" xfId="29" builtinId="9" hidden="1"/>
    <cellStyle name="Enllaç visitat" xfId="30" builtinId="9" hidden="1"/>
    <cellStyle name="Enllaç visitat" xfId="31" builtinId="9" hidden="1"/>
    <cellStyle name="Enllaç visitat" xfId="32" builtinId="9" hidden="1"/>
    <cellStyle name="Enllaç visitat" xfId="33" builtinId="9" hidden="1"/>
    <cellStyle name="Enllaç visitat" xfId="34" builtinId="9" hidden="1"/>
    <cellStyle name="Enllaç visitat" xfId="35" builtinId="9" hidden="1"/>
    <cellStyle name="Enllaç visitat" xfId="36" builtinId="9" hidden="1"/>
    <cellStyle name="Enllaç visitat" xfId="37" builtinId="9" hidden="1"/>
    <cellStyle name="Enllaç visitat" xfId="38" builtinId="9" hidden="1"/>
    <cellStyle name="Enllaç visitat" xfId="39" builtinId="9" hidden="1"/>
    <cellStyle name="Enllaç visitat" xfId="40" builtinId="9" hidden="1"/>
    <cellStyle name="Enllaç visitat" xfId="41" builtinId="9" hidden="1"/>
    <cellStyle name="Enllaç visitat" xfId="42" builtinId="9" hidden="1"/>
    <cellStyle name="Enllaç visitat" xfId="43" builtinId="9" hidden="1"/>
    <cellStyle name="Enllaç visitat" xfId="44" builtinId="9" hidden="1"/>
    <cellStyle name="Enllaç visitat" xfId="45" builtinId="9" hidden="1"/>
    <cellStyle name="Enllaç visitat" xfId="46" builtinId="9" hidden="1"/>
    <cellStyle name="Enllaç visitat" xfId="47" builtinId="9" hidden="1"/>
    <cellStyle name="Enllaç visitat" xfId="48" builtinId="9" hidden="1"/>
    <cellStyle name="Enllaç visitat" xfId="49" builtinId="9" hidden="1"/>
    <cellStyle name="Enllaç visitat" xfId="50" builtinId="9" hidden="1"/>
    <cellStyle name="Enllaç visitat" xfId="51" builtinId="9" hidden="1"/>
    <cellStyle name="Enllaç visitat" xfId="52" builtinId="9" hidden="1"/>
    <cellStyle name="Enllaç visitat" xfId="53" builtinId="9" hidden="1"/>
    <cellStyle name="Enllaç visitat" xfId="54" builtinId="9" hidden="1"/>
    <cellStyle name="Enllaç visitat" xfId="55" builtinId="9" hidden="1"/>
    <cellStyle name="Enllaç visitat" xfId="56" builtinId="9" hidden="1"/>
    <cellStyle name="Enllaç visitat" xfId="57" builtinId="9" hidden="1"/>
    <cellStyle name="Enllaç visitat" xfId="58" builtinId="9" hidden="1"/>
    <cellStyle name="Enllaç visitat" xfId="59" builtinId="9" hidden="1"/>
    <cellStyle name="Enllaç visitat" xfId="60" builtinId="9" hidden="1"/>
    <cellStyle name="Enllaç visitat" xfId="61" builtinId="9" hidden="1"/>
    <cellStyle name="Enllaç visitat" xfId="62" builtinId="9" hidden="1"/>
    <cellStyle name="Enllaç visitat" xfId="63" builtinId="9" hidden="1"/>
    <cellStyle name="Enllaç visitat" xfId="64" builtinId="9" hidden="1"/>
    <cellStyle name="Enllaç visitat" xfId="65" builtinId="9" hidden="1"/>
    <cellStyle name="Enllaç visitat" xfId="66" builtinId="9" hidden="1"/>
    <cellStyle name="Enllaç visitat" xfId="67" builtinId="9" hidden="1"/>
    <cellStyle name="Enllaç visitat" xfId="68" builtinId="9" hidden="1"/>
    <cellStyle name="Enllaç visitat" xfId="69" builtinId="9" hidden="1"/>
    <cellStyle name="Enllaç visitat" xfId="70" builtinId="9" hidden="1"/>
    <cellStyle name="Enllaç visitat" xfId="71" builtinId="9" hidden="1"/>
    <cellStyle name="Enllaç visitat" xfId="72" builtinId="9" hidden="1"/>
    <cellStyle name="Enllaç visitat" xfId="73" builtinId="9" hidden="1"/>
    <cellStyle name="Enllaç visitat" xfId="74" builtinId="9" hidden="1"/>
    <cellStyle name="Enllaç visitat" xfId="75" builtinId="9" hidden="1"/>
    <cellStyle name="Enllaç visitat" xfId="76" builtinId="9" hidden="1"/>
    <cellStyle name="Enllaç visitat" xfId="77" builtinId="9" hidden="1"/>
    <cellStyle name="Enllaç visitat" xfId="78" builtinId="9" hidden="1"/>
    <cellStyle name="Enllaç visitat" xfId="79" builtinId="9" hidden="1"/>
    <cellStyle name="Enllaç visitat" xfId="80" builtinId="9" hidden="1"/>
    <cellStyle name="Enllaç visitat" xfId="81" builtinId="9" hidden="1"/>
    <cellStyle name="Enllaç visitat" xfId="82" builtinId="9" hidden="1"/>
    <cellStyle name="Enllaç visitat" xfId="83" builtinId="9" hidden="1"/>
    <cellStyle name="Enllaç visitat" xfId="84" builtinId="9" hidden="1"/>
    <cellStyle name="Enllaç visitat" xfId="85" builtinId="9" hidden="1"/>
    <cellStyle name="Enllaç visitat" xfId="86" builtinId="9" hidden="1"/>
    <cellStyle name="Enllaç visitat" xfId="87" builtinId="9" hidden="1"/>
    <cellStyle name="Enllaç visitat" xfId="88" builtinId="9" hidden="1"/>
    <cellStyle name="Enllaç visitat" xfId="89" builtinId="9" hidden="1"/>
    <cellStyle name="Hipervínculo 2" xfId="94" xr:uid="{008C30FC-4EBF-9B4A-9B7C-80AE025592FE}"/>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1">
    <v>0</v>
    <v>8</v>
    <v>1</v>
    <v>1</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725"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9" zoomScaleNormal="100" workbookViewId="0">
      <selection activeCell="AA162" sqref="AA162"/>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P.3 (2)</v>
      </c>
      <c r="G4" s="16"/>
      <c r="H4" s="16" t="str">
        <f t="shared" ref="H4:H9" ca="1" si="3">IF(D4="Pendiente","-",INDEX($BZ$6:$BZ$53,MATCH($AA4,$BD$6:$BD$53,0)))</f>
        <v>-</v>
      </c>
      <c r="I4" s="16" t="str">
        <f t="shared" ref="I4:I9" ca="1" si="4">IF(D4="Pendiente","-",INDEX($BZ$6:$BZ$53,MATCH($AF4,$BD$6:$BD$53,0)))</f>
        <v>P.3 (2)</v>
      </c>
      <c r="J4" s="16"/>
      <c r="K4" s="16" t="str">
        <f t="shared" ref="K4:K9" ca="1" si="5">IF(D4="Pendiente","-",INDEX($CE$6:$CE$53,MATCH($AA4,$BD$6:$BD$53,0)))</f>
        <v>-</v>
      </c>
      <c r="L4" s="16" t="str">
        <f t="shared" ref="L4:L9" ca="1" si="6">IF(D4="Pendiente","-",INDEX($CE$6:$CE$53,MATCH($AF4,$BD$6:$BD$53,0)))</f>
        <v>P.3 (2)</v>
      </c>
      <c r="M4" s="16"/>
      <c r="N4" s="16" t="str">
        <f t="shared" ref="N4:N9" ca="1" si="7">IF(D4="Pendiente","-",INDEX($CH$6:$CH$53,MATCH($AA4,$BD$6:$BD$53,0)))</f>
        <v>-</v>
      </c>
      <c r="O4" s="16" t="str">
        <f t="shared" ref="O4:O9" ca="1" si="8">IF(D4="Pendiente","-",INDEX($CH$6:$CH$53,MATCH($AF4,$BD$6:$BD$53,0)))</f>
        <v>P.3 (2)</v>
      </c>
      <c r="P4" s="16"/>
      <c r="Q4" s="16" t="str">
        <f t="shared" ref="Q4:Q9" ca="1" si="9">IF(D4="Pendiente","-",INDEX($CN$6:$CN$53,MATCH($AA4,$BD$6:$BD$53,0)))</f>
        <v>-</v>
      </c>
      <c r="R4" s="16" t="str">
        <f t="shared" ref="R4:R9" ca="1" si="10">IF(D4="Pendiente","-",INDEX($CN$6:$CN$53,MATCH($AF4,$BD$6:$BD$53,0)))</f>
        <v>P.3 (2)</v>
      </c>
      <c r="S4" s="16"/>
      <c r="T4" s="16" t="str">
        <f t="shared" ref="T4:T9" ca="1" si="11">IF(D4="Pendiente","-",INDEX($CS$6:$CS$53,MATCH($AA4,$BD$6:$BD$53,0)))</f>
        <v>-</v>
      </c>
      <c r="U4" s="16" t="str">
        <f t="shared" ref="U4:U9" ca="1" si="12">IF(D4="Pendiente","-",INDEX($CS$6:$CS$53,MATCH($AF4,$BD$6:$BD$53,0)))</f>
        <v>P.3 (2)</v>
      </c>
      <c r="V4" s="17"/>
      <c r="W4" s="668" t="s">
        <v>0</v>
      </c>
      <c r="X4" s="24">
        <f ca="1">Horarios!C4</f>
        <v>46184.875</v>
      </c>
      <c r="Y4" s="25">
        <f ca="1">Horarios!C4</f>
        <v>46184.875</v>
      </c>
      <c r="Z4" s="26" t="str">
        <f>Idiomas!D61</f>
        <v>J1</v>
      </c>
      <c r="AA4" s="27" t="str">
        <f ca="1">+A5</f>
        <v>México</v>
      </c>
      <c r="AB4" s="49" t="e" cm="1" vm="1">
        <f t="array" aca="1" ref="AB4" ca="1">Ver_flag_local</f>
        <v>#VALUE!</v>
      </c>
      <c r="AC4" s="50">
        <v>2</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P.3 (2)</v>
      </c>
      <c r="G5" s="16"/>
      <c r="H5" s="16" t="str">
        <f t="shared" ca="1" si="3"/>
        <v>-</v>
      </c>
      <c r="I5" s="16" t="str">
        <f t="shared" ca="1" si="4"/>
        <v>P.3 (2)</v>
      </c>
      <c r="J5" s="16"/>
      <c r="K5" s="16" t="str">
        <f t="shared" ca="1" si="5"/>
        <v>-</v>
      </c>
      <c r="L5" s="16" t="str">
        <f t="shared" ca="1" si="6"/>
        <v>P.3 (2)</v>
      </c>
      <c r="M5" s="16"/>
      <c r="N5" s="16" t="str">
        <f t="shared" ca="1" si="7"/>
        <v>-</v>
      </c>
      <c r="O5" s="16" t="str">
        <f t="shared" ca="1" si="8"/>
        <v>P.3 (2)</v>
      </c>
      <c r="P5" s="16"/>
      <c r="Q5" s="16" t="str">
        <f t="shared" ca="1" si="9"/>
        <v>-</v>
      </c>
      <c r="R5" s="16" t="str">
        <f t="shared" ca="1" si="10"/>
        <v>P.3 (2)</v>
      </c>
      <c r="S5" s="16"/>
      <c r="T5" s="16" t="str">
        <f t="shared" ca="1" si="11"/>
        <v>-</v>
      </c>
      <c r="U5" s="16" t="str">
        <f t="shared" ca="1" si="12"/>
        <v>P.3 (2)</v>
      </c>
      <c r="V5" s="17"/>
      <c r="W5" s="668"/>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68"/>
      <c r="X6" s="24">
        <f ca="1">Horarios!C6</f>
        <v>46191.75</v>
      </c>
      <c r="Y6" s="25">
        <f ca="1">Horarios!C6</f>
        <v>46191.75</v>
      </c>
      <c r="Z6" s="26" t="str">
        <f>Idiomas!D62</f>
        <v>J2</v>
      </c>
      <c r="AA6" s="27" t="str">
        <f ca="1">A8</f>
        <v>República Checa</v>
      </c>
      <c r="AB6" s="49" t="e" cm="1" vm="4">
        <f t="array" aca="1" ref="AB6" ca="1">Ver_flag_local</f>
        <v>#VALUE!</v>
      </c>
      <c r="AC6" s="50">
        <v>0</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2</v>
      </c>
      <c r="AT6" s="41">
        <f t="shared" ca="1" si="15"/>
        <v>4</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2</v>
      </c>
      <c r="BL6" s="16">
        <f ca="1">+BJ6-BK6</f>
        <v>4</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5.9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6</v>
      </c>
      <c r="AN7" s="39">
        <f t="shared" ca="1" si="15"/>
        <v>3</v>
      </c>
      <c r="AO7" s="39">
        <f t="shared" ca="1" si="15"/>
        <v>2</v>
      </c>
      <c r="AP7" s="39">
        <f t="shared" ca="1" si="15"/>
        <v>0</v>
      </c>
      <c r="AQ7" s="39">
        <f t="shared" ca="1" si="15"/>
        <v>1</v>
      </c>
      <c r="AR7" s="39">
        <f t="shared" ca="1" si="15"/>
        <v>5</v>
      </c>
      <c r="AS7" s="39">
        <f t="shared" ca="1" si="15"/>
        <v>3</v>
      </c>
      <c r="AT7" s="43">
        <f t="shared" ca="1" si="15"/>
        <v>2</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0</v>
      </c>
      <c r="BK7" s="16">
        <f t="shared" ca="1" si="21"/>
        <v>4</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0</v>
      </c>
      <c r="CB7" s="16">
        <f t="shared" ca="1" si="28"/>
        <v>0</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0</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0</v>
      </c>
      <c r="CP7" s="16">
        <f t="shared" ca="1" si="34"/>
        <v>0</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0</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-4</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Corea del Sur</v>
      </c>
    </row>
    <row r="8" spans="1:121" ht="15.95" customHeight="1">
      <c r="A8" s="16" t="str">
        <f ca="1">+Equipos!B5</f>
        <v>República Checa</v>
      </c>
      <c r="B8" s="16"/>
      <c r="C8" s="16"/>
      <c r="D8" s="16" t="str">
        <f t="shared" si="0"/>
        <v>Visitante</v>
      </c>
      <c r="E8" s="16" t="str">
        <f t="shared" ca="1" si="1"/>
        <v>P.3 (2)</v>
      </c>
      <c r="F8" s="16" t="str">
        <f t="shared" ca="1" si="2"/>
        <v>-</v>
      </c>
      <c r="G8" s="16"/>
      <c r="H8" s="16" t="str">
        <f t="shared" ca="1" si="3"/>
        <v>P.3 (2)</v>
      </c>
      <c r="I8" s="16" t="str">
        <f t="shared" ca="1" si="4"/>
        <v>-</v>
      </c>
      <c r="J8" s="16"/>
      <c r="K8" s="16" t="str">
        <f t="shared" ca="1" si="5"/>
        <v>P.3 (2)</v>
      </c>
      <c r="L8" s="16" t="str">
        <f t="shared" ca="1" si="6"/>
        <v>-</v>
      </c>
      <c r="M8" s="16"/>
      <c r="N8" s="16" t="str">
        <f t="shared" ca="1" si="7"/>
        <v>P.3 (2)</v>
      </c>
      <c r="O8" s="16" t="str">
        <f t="shared" ca="1" si="8"/>
        <v>-</v>
      </c>
      <c r="P8" s="16"/>
      <c r="Q8" s="16" t="str">
        <f t="shared" ca="1" si="9"/>
        <v>P.3 (2)</v>
      </c>
      <c r="R8" s="16" t="str">
        <f t="shared" ca="1" si="10"/>
        <v>-</v>
      </c>
      <c r="S8" s="16"/>
      <c r="T8" s="16" t="str">
        <f t="shared" ca="1" si="11"/>
        <v>P.3 (2)</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2</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2</v>
      </c>
      <c r="AS8" s="39">
        <f t="shared" ca="1" si="15"/>
        <v>4</v>
      </c>
      <c r="AT8" s="43">
        <f t="shared" ca="1" si="15"/>
        <v>-2</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5</v>
      </c>
      <c r="BK8" s="16">
        <f t="shared" ca="1" si="21"/>
        <v>3</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5.95" customHeight="1" thickBot="1">
      <c r="A9" s="16"/>
      <c r="B9" s="16"/>
      <c r="C9" s="16"/>
      <c r="D9" s="16" t="str">
        <f t="shared" si="0"/>
        <v>Visitante</v>
      </c>
      <c r="E9" s="16" t="str">
        <f t="shared" ca="1" si="1"/>
        <v>P.3 (2)</v>
      </c>
      <c r="F9" s="16" t="str">
        <f t="shared" ca="1" si="2"/>
        <v>-</v>
      </c>
      <c r="G9" s="16"/>
      <c r="H9" s="16" t="str">
        <f t="shared" ca="1" si="3"/>
        <v>P.3 (2)</v>
      </c>
      <c r="I9" s="16" t="str">
        <f t="shared" ca="1" si="4"/>
        <v>-</v>
      </c>
      <c r="J9" s="16"/>
      <c r="K9" s="16" t="str">
        <f t="shared" ca="1" si="5"/>
        <v>P.3 (2)</v>
      </c>
      <c r="L9" s="16" t="str">
        <f t="shared" ca="1" si="6"/>
        <v>-</v>
      </c>
      <c r="M9" s="16"/>
      <c r="N9" s="16" t="str">
        <f t="shared" ca="1" si="7"/>
        <v>P.3 (2)</v>
      </c>
      <c r="O9" s="16" t="str">
        <f t="shared" ca="1" si="8"/>
        <v>-</v>
      </c>
      <c r="P9" s="16"/>
      <c r="Q9" s="16" t="str">
        <f t="shared" ca="1" si="9"/>
        <v>P.3 (2)</v>
      </c>
      <c r="R9" s="16" t="str">
        <f t="shared" ca="1" si="10"/>
        <v>-</v>
      </c>
      <c r="S9" s="16"/>
      <c r="T9" s="16" t="str">
        <f t="shared" ca="1" si="11"/>
        <v>P.3 (2)</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0</v>
      </c>
      <c r="AS9" s="47">
        <f t="shared" ca="1" si="15"/>
        <v>4</v>
      </c>
      <c r="AT9" s="48">
        <f t="shared" ca="1" si="15"/>
        <v>-4</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4</v>
      </c>
      <c r="BL9" s="16">
        <f t="shared" ca="1" si="42"/>
        <v>-2</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0</v>
      </c>
      <c r="CB9" s="16">
        <f t="shared" ca="1" si="28"/>
        <v>0</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0</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0</v>
      </c>
      <c r="CP9" s="16">
        <f t="shared" ca="1" si="34"/>
        <v>0</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0</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-2</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1</v>
      </c>
      <c r="BK10" s="16">
        <f t="shared" ca="1" si="21"/>
        <v>1</v>
      </c>
      <c r="BL10" s="16">
        <f t="shared" ca="1" si="42"/>
        <v>0</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e" cm="1" vm="5">
        <f t="array" aca="1" ref="AB12" ca="1">Ver_flag_local</f>
        <v>#VALUE!</v>
      </c>
      <c r="AC12" s="50">
        <v>1</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0</v>
      </c>
      <c r="BK12" s="16">
        <f t="shared" ca="1" si="21"/>
        <v>3</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5</v>
      </c>
      <c r="BK13" s="16">
        <f t="shared" ca="1" si="21"/>
        <v>1</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2</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5</v>
      </c>
      <c r="AS14" s="36">
        <f t="shared" ca="1" si="69"/>
        <v>1</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6</v>
      </c>
      <c r="BK14" s="16">
        <f t="shared" ca="1" si="21"/>
        <v>1</v>
      </c>
      <c r="BL14" s="16">
        <f t="shared" ca="1" si="42"/>
        <v>5</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0</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1</v>
      </c>
      <c r="AS15" s="39">
        <f t="shared" ca="1" si="69"/>
        <v>1</v>
      </c>
      <c r="AT15" s="74">
        <f t="shared" ca="1" si="69"/>
        <v>0</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1</v>
      </c>
      <c r="AD16" s="51">
        <v>0</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2</v>
      </c>
      <c r="AS16" s="39">
        <f t="shared" ca="1" si="69"/>
        <v>3</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5</v>
      </c>
      <c r="BL16" s="16">
        <f t="shared" ca="1" si="42"/>
        <v>-5</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0</v>
      </c>
      <c r="AS17" s="78">
        <f t="shared" ca="1" si="69"/>
        <v>3</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2</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2</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9" t="s">
        <v>2</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4</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2</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9"/>
      <c r="X22" s="24">
        <f ca="1">Horarios!C22</f>
        <v>46193</v>
      </c>
      <c r="Y22" s="25">
        <f ca="1">Horarios!C22</f>
        <v>46193</v>
      </c>
      <c r="Z22" s="26" t="str">
        <f>$Z$6</f>
        <v>J2</v>
      </c>
      <c r="AA22" s="27" t="str">
        <f ca="1">A24</f>
        <v>Escocia</v>
      </c>
      <c r="AB22" s="49" t="e" cm="1" vm="12">
        <f t="array" aca="1" ref="AB22" ca="1">Ver_flag_local</f>
        <v>#VALUE!</v>
      </c>
      <c r="AC22" s="50">
        <v>0</v>
      </c>
      <c r="AD22" s="51">
        <v>2</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6</v>
      </c>
      <c r="AS22" s="36">
        <f t="shared" ca="1" si="87"/>
        <v>1</v>
      </c>
      <c r="AT22" s="41">
        <f t="shared" ca="1" si="87"/>
        <v>5</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1</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2</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2</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6</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9"/>
      <c r="X24" s="24">
        <f ca="1">Horarios!C24</f>
        <v>46198</v>
      </c>
      <c r="Y24" s="25">
        <f ca="1">Horarios!C24</f>
        <v>46198</v>
      </c>
      <c r="Z24" s="26" t="str">
        <f>$Z$8</f>
        <v>J3</v>
      </c>
      <c r="AA24" s="27" t="str">
        <f ca="1">A24</f>
        <v>Escocia</v>
      </c>
      <c r="AB24" s="49" t="e" cm="1" vm="12">
        <f t="array" aca="1" ref="AB24" ca="1">Ver_flag_local</f>
        <v>#VALUE!</v>
      </c>
      <c r="AC24" s="50">
        <v>0</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1</v>
      </c>
      <c r="BK24" s="16">
        <f t="shared" ca="1" si="21"/>
        <v>3</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5</v>
      </c>
      <c r="AT25" s="48">
        <f t="shared" ca="1" si="87"/>
        <v>-5</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4</v>
      </c>
      <c r="BK25" s="16">
        <f t="shared" ca="1" si="21"/>
        <v>2</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4</v>
      </c>
      <c r="BK26" s="16">
        <f t="shared" ca="1" si="21"/>
        <v>0</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6</v>
      </c>
      <c r="BF27" s="16">
        <f t="shared" ca="1" si="41"/>
        <v>3</v>
      </c>
      <c r="BG27" s="16">
        <f t="shared" ca="1" si="17"/>
        <v>2</v>
      </c>
      <c r="BH27" s="16">
        <f t="shared" ca="1" si="18"/>
        <v>0</v>
      </c>
      <c r="BI27" s="16">
        <f t="shared" ca="1" si="19"/>
        <v>1</v>
      </c>
      <c r="BJ27" s="16">
        <f t="shared" ca="1" si="20"/>
        <v>3</v>
      </c>
      <c r="BK27" s="16">
        <f t="shared" ca="1" si="21"/>
        <v>1</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6</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e" cm="1" vm="13">
        <f t="array" aca="1" ref="AB28" ca="1">Ver_flag_local</f>
        <v>#VALUE!</v>
      </c>
      <c r="AC28" s="50">
        <v>1</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41"/>
        <v>3</v>
      </c>
      <c r="BG28" s="16">
        <f t="shared" ca="1" si="17"/>
        <v>1</v>
      </c>
      <c r="BH28" s="16">
        <f t="shared" ca="1" si="18"/>
        <v>0</v>
      </c>
      <c r="BI28" s="16">
        <f t="shared" ca="1" si="19"/>
        <v>2</v>
      </c>
      <c r="BJ28" s="16">
        <f t="shared" ca="1" si="20"/>
        <v>1</v>
      </c>
      <c r="BK28" s="16">
        <f t="shared" ca="1" si="21"/>
        <v>2</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e" cm="1" vm="15">
        <f t="array" aca="1" ref="AB29" ca="1">Ver_flag_local</f>
        <v>#VALUE!</v>
      </c>
      <c r="AC29" s="50">
        <v>0</v>
      </c>
      <c r="AD29" s="51">
        <v>2</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5</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e" cm="1" vm="13">
        <f t="array" aca="1" ref="AB30" ca="1">Ver_flag_local</f>
        <v>#VALUE!</v>
      </c>
      <c r="AC30" s="50">
        <v>1</v>
      </c>
      <c r="AD30" s="51">
        <v>0</v>
      </c>
      <c r="AE30" s="595" t="e" cm="1" vm="15">
        <f t="array" aca="1" ref="AE30" ca="1">Ver_flag_visit</f>
        <v>#VALUE!</v>
      </c>
      <c r="AF30" s="32" t="str">
        <f ca="1">A31</f>
        <v>Australia</v>
      </c>
      <c r="AG30" s="323">
        <f t="shared" si="104"/>
        <v>1</v>
      </c>
      <c r="AH30" s="195">
        <v>32</v>
      </c>
      <c r="AI30" s="181" t="str">
        <f>AJ30&amp;$B$28</f>
        <v>1D</v>
      </c>
      <c r="AJ30" s="40">
        <v>1</v>
      </c>
      <c r="AK30" s="601" t="e" cm="1" vm="13">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2</v>
      </c>
      <c r="AT30" s="41">
        <f t="shared" ca="1" si="107"/>
        <v>2</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4</v>
      </c>
      <c r="BK30" s="16">
        <f t="shared" ca="1" si="21"/>
        <v>0</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e" cm="1" vm="16">
        <f t="array" aca="1" ref="AB31" ca="1">Ver_flag_local</f>
        <v>#VALUE!</v>
      </c>
      <c r="AC31" s="50">
        <v>1</v>
      </c>
      <c r="AD31" s="51">
        <v>0</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4</v>
      </c>
      <c r="AS31" s="39">
        <f t="shared" ca="1" si="107"/>
        <v>2</v>
      </c>
      <c r="AT31" s="43">
        <f t="shared" ca="1" si="107"/>
        <v>2</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1</v>
      </c>
      <c r="BK31" s="16">
        <f t="shared" ca="1" si="21"/>
        <v>1</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5.95" customHeight="1">
      <c r="A32" s="16" t="str">
        <f ca="1">+Equipos!B17</f>
        <v>Turquía</v>
      </c>
      <c r="B32" s="16"/>
      <c r="C32" s="16"/>
      <c r="D32" s="16" t="str">
        <f t="shared" si="91"/>
        <v>Visitante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e" cm="1" vm="16">
        <f t="array" aca="1" ref="AB32" ca="1">Ver_flag_local</f>
        <v>#VALUE!</v>
      </c>
      <c r="AC32" s="50">
        <v>1</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2</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0</v>
      </c>
      <c r="BK32" s="16">
        <f t="shared" ca="1" si="21"/>
        <v>1</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e" cm="1" vm="14">
        <f t="array" aca="1" ref="AB33" ca="1">Ver_flag_local</f>
        <v>#VALUE!</v>
      </c>
      <c r="AC33" s="53">
        <v>1</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4</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0</v>
      </c>
      <c r="BK33" s="16">
        <f t="shared" ca="1" si="21"/>
        <v>3</v>
      </c>
      <c r="BL33" s="16">
        <f t="shared" ca="1" si="42"/>
        <v>-3</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6</v>
      </c>
      <c r="BK34" s="16">
        <f t="shared" ca="1" si="21"/>
        <v>0</v>
      </c>
      <c r="BL34" s="16">
        <f t="shared" ca="1" si="42"/>
        <v>6</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6</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3</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83"/>
      <c r="X37" s="24">
        <f ca="1">Horarios!C37</f>
        <v>46188.041666666664</v>
      </c>
      <c r="Y37" s="25">
        <f ca="1">Horarios!C37</f>
        <v>46188.041666666664</v>
      </c>
      <c r="Z37" s="26" t="str">
        <f>$Z$4</f>
        <v>J1</v>
      </c>
      <c r="AA37" s="27" t="str">
        <f ca="1">A39</f>
        <v>Costa de Marfil</v>
      </c>
      <c r="AB37" s="49" t="e" cm="1" vm="19">
        <f t="array" aca="1" ref="AB37" ca="1">Ver_flag_local</f>
        <v>#VALUE!</v>
      </c>
      <c r="AC37" s="50">
        <v>0</v>
      </c>
      <c r="AD37" s="51">
        <v>1</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3</v>
      </c>
      <c r="BK37" s="16">
        <f t="shared" ca="1" si="21"/>
        <v>1</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83"/>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1</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5</v>
      </c>
      <c r="BK38" s="16">
        <f t="shared" ca="1" si="21"/>
        <v>0</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1</v>
      </c>
      <c r="BF39" s="16">
        <f t="shared" ca="1" si="41"/>
        <v>3</v>
      </c>
      <c r="BG39" s="16">
        <f t="shared" ca="1" si="17"/>
        <v>0</v>
      </c>
      <c r="BH39" s="16">
        <f t="shared" ca="1" si="18"/>
        <v>1</v>
      </c>
      <c r="BI39" s="16">
        <f t="shared" ca="1" si="19"/>
        <v>2</v>
      </c>
      <c r="BJ39" s="16">
        <f t="shared" ca="1" si="20"/>
        <v>0</v>
      </c>
      <c r="BK39" s="16">
        <f t="shared" ca="1" si="21"/>
        <v>3</v>
      </c>
      <c r="BL39" s="16">
        <f t="shared" ca="1" si="42"/>
        <v>-3</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1</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P.3 (2)</v>
      </c>
      <c r="BU39" s="16">
        <f t="shared" ca="1" si="24"/>
        <v>0</v>
      </c>
      <c r="BV39" s="16">
        <f t="shared" ca="1" si="25"/>
        <v>1</v>
      </c>
      <c r="BW39" s="16">
        <f t="shared" ca="1" si="26"/>
        <v>0</v>
      </c>
      <c r="BX39" s="16">
        <f t="shared" ca="1" si="48"/>
        <v>1</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P.3 (2)</v>
      </c>
      <c r="CA39" s="16">
        <f t="shared" ca="1" si="27"/>
        <v>0</v>
      </c>
      <c r="CB39" s="16">
        <f t="shared" ca="1" si="28"/>
        <v>0</v>
      </c>
      <c r="CC39" s="16">
        <f t="shared" ca="1" si="49"/>
        <v>0</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P.3 (2)</v>
      </c>
      <c r="CF39" s="16">
        <f t="shared" ca="1" si="29"/>
        <v>0</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P.3 (2)</v>
      </c>
      <c r="CI39" s="16">
        <f t="shared" ca="1" si="30"/>
        <v>0</v>
      </c>
      <c r="CJ39" s="16">
        <f t="shared" ca="1" si="31"/>
        <v>1</v>
      </c>
      <c r="CK39" s="16">
        <f t="shared" ca="1" si="32"/>
        <v>0</v>
      </c>
      <c r="CL39" s="16">
        <f t="shared" ca="1" si="50"/>
        <v>1</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P.3 (2)</v>
      </c>
      <c r="CO39" s="16">
        <f t="shared" ca="1" si="33"/>
        <v>0</v>
      </c>
      <c r="CP39" s="16">
        <f t="shared" ca="1" si="34"/>
        <v>0</v>
      </c>
      <c r="CQ39" s="16">
        <f t="shared" ca="1" si="51"/>
        <v>0</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P.3 (2)</v>
      </c>
      <c r="CT39" s="16">
        <f t="shared" ca="1" si="35"/>
        <v>0</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P.3 (2)</v>
      </c>
      <c r="CW39" s="16">
        <f t="shared" ca="1" si="36"/>
        <v>-3</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P.3 (2)</v>
      </c>
      <c r="CZ39" s="16">
        <f t="shared" ca="1" si="37"/>
        <v>0</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P.3 (2)</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3</v>
      </c>
      <c r="DE39" s="16"/>
      <c r="DF39" s="16">
        <f t="shared" ca="1" si="52"/>
        <v>3.0030000000000001</v>
      </c>
      <c r="DG39" s="16">
        <f ca="1">IF(DB39="-","-",COUNTIFS(DF$6:DF$53,"&lt;"&amp;DF39,$BC$6:$BC$53,INDEX(T_Equipos[Grupo],MATCH(BD39,T_Equipos[NombreEquipo],0))))</f>
        <v>2</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83"/>
      <c r="X40" s="24">
        <f ca="1">Horarios!C40</f>
        <v>46198.916666666664</v>
      </c>
      <c r="Y40" s="25">
        <f ca="1">Horarios!C40</f>
        <v>46198.916666666664</v>
      </c>
      <c r="Z40" s="26" t="str">
        <f>$Z$8</f>
        <v>J3</v>
      </c>
      <c r="AA40" s="27" t="str">
        <f ca="1">A38</f>
        <v>Curazao</v>
      </c>
      <c r="AB40" s="49" t="e" cm="1" vm="18">
        <f t="array" aca="1" ref="AB40" ca="1">Ver_flag_local</f>
        <v>#VALUE!</v>
      </c>
      <c r="AC40" s="50">
        <v>0</v>
      </c>
      <c r="AD40" s="51">
        <v>1</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1</v>
      </c>
      <c r="AS40" s="39">
        <f t="shared" ca="1" si="127"/>
        <v>3</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1</v>
      </c>
      <c r="BF40" s="16">
        <f t="shared" ca="1" si="41"/>
        <v>3</v>
      </c>
      <c r="BG40" s="16">
        <f t="shared" ca="1" si="17"/>
        <v>0</v>
      </c>
      <c r="BH40" s="16">
        <f t="shared" ca="1" si="18"/>
        <v>1</v>
      </c>
      <c r="BI40" s="16">
        <f t="shared" ca="1" si="19"/>
        <v>2</v>
      </c>
      <c r="BJ40" s="16">
        <f t="shared" ca="1" si="20"/>
        <v>0</v>
      </c>
      <c r="BK40" s="16">
        <f t="shared" ca="1" si="21"/>
        <v>3</v>
      </c>
      <c r="BL40" s="16">
        <f t="shared" ca="1" si="42"/>
        <v>-3</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1</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P.3 (2)</v>
      </c>
      <c r="BU40" s="16">
        <f t="shared" ca="1" si="24"/>
        <v>0</v>
      </c>
      <c r="BV40" s="16">
        <f t="shared" ca="1" si="25"/>
        <v>1</v>
      </c>
      <c r="BW40" s="16">
        <f t="shared" ca="1" si="26"/>
        <v>0</v>
      </c>
      <c r="BX40" s="16">
        <f t="shared" ca="1" si="48"/>
        <v>1</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P.3 (2)</v>
      </c>
      <c r="CA40" s="16">
        <f t="shared" ca="1" si="27"/>
        <v>0</v>
      </c>
      <c r="CB40" s="16">
        <f t="shared" ca="1" si="28"/>
        <v>0</v>
      </c>
      <c r="CC40" s="16">
        <f t="shared" ca="1" si="49"/>
        <v>0</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P.3 (2)</v>
      </c>
      <c r="CF40" s="16">
        <f t="shared" ca="1" si="29"/>
        <v>0</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P.3 (2)</v>
      </c>
      <c r="CI40" s="16">
        <f t="shared" ca="1" si="30"/>
        <v>0</v>
      </c>
      <c r="CJ40" s="16">
        <f t="shared" ca="1" si="31"/>
        <v>1</v>
      </c>
      <c r="CK40" s="16">
        <f t="shared" ca="1" si="32"/>
        <v>0</v>
      </c>
      <c r="CL40" s="16">
        <f t="shared" ca="1" si="50"/>
        <v>1</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P.3 (2)</v>
      </c>
      <c r="CO40" s="16">
        <f t="shared" ca="1" si="33"/>
        <v>0</v>
      </c>
      <c r="CP40" s="16">
        <f t="shared" ca="1" si="34"/>
        <v>0</v>
      </c>
      <c r="CQ40" s="16">
        <f t="shared" ca="1" si="51"/>
        <v>0</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P.3 (2)</v>
      </c>
      <c r="CT40" s="16">
        <f t="shared" ca="1" si="35"/>
        <v>0</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P.3 (2)</v>
      </c>
      <c r="CW40" s="16">
        <f t="shared" ca="1" si="36"/>
        <v>-3</v>
      </c>
      <c r="CX40" s="16">
        <f ca="1">CU40+COUNTIFS($CV$6:$CV$53,CV40,$CW$6:CW$53,"&gt;"&amp;CW40,$BC$6:$BC$53,INDEX(T_Equipos[Grupo],MATCH(BD40,T_Equipos[NombreEquipo],0)))</f>
        <v>3</v>
      </c>
      <c r="CY40" s="16" t="str">
        <f ca="1">IF(COUNTIFS($CX$6:$CX$53,CX40,$BC$6:$BC$53,INDEX(T_Equipos[Grupo],MATCH(BD40,T_Equipos[NombreEquipo],0)))=1,"-","P."&amp;CX40&amp;" ("&amp;COUNTIFS($CX$6:$CX$53,CX40,$BC$6:$BC$53,INDEX(T_Equipos[Grupo],MATCH(BD40,T_Equipos[NombreEquipo],0)))&amp;")")</f>
        <v>P.3 (2)</v>
      </c>
      <c r="CZ40" s="16">
        <f t="shared" ca="1" si="37"/>
        <v>0</v>
      </c>
      <c r="DA40" s="16">
        <f ca="1">CX40+COUNTIFS($CY$6:$CY$53,CY40,$CZ$6:CZ$53,"&gt;"&amp;CZ40,$BC$6:$BC$53,INDEX(T_Equipos[Grupo],MATCH(BD40,T_Equipos[NombreEquipo],0)))</f>
        <v>3</v>
      </c>
      <c r="DB40" s="16" t="str">
        <f ca="1">IF(COUNTIFS($DA$6:$DA$53,DA40,$BC$6:$BC$53,INDEX(T_Equipos[Grupo],MATCH(BD40,T_Equipos[NombreEquipo],0)))=1,"-","P."&amp;DA40&amp;" ("&amp;COUNTIFS($DA$6:$DA$53,DA40,$BC$6:$BC$53,INDEX(T_Equipos[Grupo],MATCH(BD40,T_Equipos[NombreEquipo],0)))&amp;")")</f>
        <v>P.3 (2)</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4</v>
      </c>
      <c r="DE40" s="16"/>
      <c r="DF40" s="16">
        <f t="shared" ca="1" si="52"/>
        <v>4.0039999999999996</v>
      </c>
      <c r="DG40" s="16">
        <f ca="1">IF(DB40="-","-",COUNTIFS(DF$6:DF$53,"&lt;"&amp;DF40,$BC$6:$BC$53,INDEX(T_Equipos[Grupo],MATCH(BD40,T_Equipos[NombreEquipo],0))))</f>
        <v>3</v>
      </c>
      <c r="DH40" s="16">
        <f ca="1">DA40+COUNTIFS(DB$6:DB$53,DB40,DG$6:DG$53,"&lt;"&amp;DG40,$BC$6:$BC$53,INDEX(T_Equipos[Grupo],MATCH(BD40,T_Equipos[NombreEquipo],0)))</f>
        <v>4</v>
      </c>
      <c r="DI40" s="16"/>
      <c r="DJ40" s="16">
        <f t="shared" ca="1" si="38"/>
        <v>3</v>
      </c>
      <c r="DK40" s="16">
        <f t="shared" ca="1" si="39"/>
        <v>12</v>
      </c>
      <c r="DL40" s="16">
        <f t="shared" ca="1" si="40"/>
        <v>2</v>
      </c>
      <c r="DM40" s="16" t="str">
        <f t="shared" ca="1" si="46"/>
        <v>3.2</v>
      </c>
      <c r="DN40" s="16" t="e" cm="1" vm="21">
        <f t="array" aca="1" ref="DN40" ca="1">OFFSET(Horarios!$P$3,DJ40-1,0,DL40,1)</f>
        <v>#VALUE!</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84"/>
      <c r="X41" s="28">
        <f ca="1">Horarios!C41</f>
        <v>46198.916666666664</v>
      </c>
      <c r="Y41" s="29">
        <f ca="1">Horarios!C41</f>
        <v>46198.916666666664</v>
      </c>
      <c r="Z41" s="30" t="str">
        <f>$Z$8</f>
        <v>J3</v>
      </c>
      <c r="AA41" s="31" t="str">
        <f ca="1">A40</f>
        <v>Ecuador</v>
      </c>
      <c r="AB41" s="52" t="e" cm="1" vm="20">
        <f t="array" aca="1" ref="AB41" ca="1">Ver_flag_local</f>
        <v>#VALUE!</v>
      </c>
      <c r="AC41" s="53">
        <v>1</v>
      </c>
      <c r="AD41" s="54">
        <v>2</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6</v>
      </c>
      <c r="AT41" s="48">
        <f t="shared" ca="1" si="127"/>
        <v>-6</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2</v>
      </c>
      <c r="BK41" s="16">
        <f t="shared" ca="1" si="21"/>
        <v>1</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3</v>
      </c>
      <c r="DK41" s="16">
        <f t="shared" ca="1" si="39"/>
        <v>12</v>
      </c>
      <c r="DL41" s="16">
        <f t="shared" ca="1" si="40"/>
        <v>2</v>
      </c>
      <c r="DM41" s="16" t="str">
        <f t="shared" ca="1" si="46"/>
        <v>3.2</v>
      </c>
      <c r="DN41" s="16" t="e" cm="1" vm="21">
        <f t="array" aca="1" ref="DN41" ca="1">OFFSET(Horarios!$P$3,DJ41-1,0,DL41,1)</f>
        <v>#VALUE!</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5</v>
      </c>
      <c r="BK42" s="16">
        <f t="shared" ca="1" si="21"/>
        <v>0</v>
      </c>
      <c r="BL42" s="16">
        <f t="shared" ca="1" si="42"/>
        <v>5</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2</v>
      </c>
      <c r="BF43" s="16">
        <f t="shared" ca="1" si="41"/>
        <v>3</v>
      </c>
      <c r="BG43" s="16">
        <f t="shared" ca="1" si="17"/>
        <v>0</v>
      </c>
      <c r="BH43" s="16">
        <f t="shared" ca="1" si="18"/>
        <v>2</v>
      </c>
      <c r="BI43" s="16">
        <f t="shared" ca="1" si="19"/>
        <v>1</v>
      </c>
      <c r="BJ43" s="16">
        <f t="shared" ca="1" si="20"/>
        <v>0</v>
      </c>
      <c r="BK43" s="16">
        <f t="shared" ca="1" si="21"/>
        <v>2</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2</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46"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0</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1</v>
      </c>
      <c r="BK44" s="16">
        <f t="shared" ca="1" si="21"/>
        <v>1</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1</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0</v>
      </c>
      <c r="BK45" s="16">
        <f t="shared" ca="1" si="21"/>
        <v>3</v>
      </c>
      <c r="BL45" s="16">
        <f t="shared" ca="1" si="42"/>
        <v>-3</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4</v>
      </c>
      <c r="AS46" s="36">
        <f t="shared" ca="1" si="147"/>
        <v>0</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5</v>
      </c>
      <c r="BK46" s="16">
        <f t="shared" ca="1" si="21"/>
        <v>0</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46"/>
      <c r="X47" s="24">
        <f ca="1">Horarios!C47</f>
        <v>46194.25</v>
      </c>
      <c r="Y47" s="25">
        <f ca="1">Horarios!C47</f>
        <v>46194.25</v>
      </c>
      <c r="Z47" s="26" t="str">
        <f>$Z$6</f>
        <v>J2</v>
      </c>
      <c r="AA47" s="27" t="str">
        <f ca="1">A48</f>
        <v>Túnez</v>
      </c>
      <c r="AB47" s="49" t="e" cm="1" vm="25">
        <f t="array" aca="1" ref="AB47" ca="1">Ver_flag_local</f>
        <v>#VALUE!</v>
      </c>
      <c r="AC47" s="50">
        <v>0</v>
      </c>
      <c r="AD47" s="51">
        <v>2</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6</v>
      </c>
      <c r="AN47" s="39">
        <f t="shared" ca="1" si="147"/>
        <v>3</v>
      </c>
      <c r="AO47" s="39">
        <f t="shared" ca="1" si="147"/>
        <v>2</v>
      </c>
      <c r="AP47" s="39">
        <f t="shared" ca="1" si="147"/>
        <v>0</v>
      </c>
      <c r="AQ47" s="39">
        <f t="shared" ca="1" si="147"/>
        <v>1</v>
      </c>
      <c r="AR47" s="39">
        <f t="shared" ca="1" si="147"/>
        <v>3</v>
      </c>
      <c r="AS47" s="39">
        <f t="shared" ca="1" si="147"/>
        <v>1</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0</v>
      </c>
      <c r="BK47" s="16">
        <f t="shared" ca="1" si="21"/>
        <v>3</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0</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P.3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3</v>
      </c>
      <c r="DE47" s="16"/>
      <c r="DF47" s="16">
        <f t="shared" ca="1" si="52"/>
        <v>3.0030000000000001</v>
      </c>
      <c r="DG47" s="16">
        <f ca="1">IF(DB47="-","-",COUNTIFS(DF$6:DF$53,"&lt;"&amp;DF47,$BC$6:$BC$53,INDEX(T_Equipos[Grupo],MATCH(BD47,T_Equipos[NombreEquipo],0))))</f>
        <v>2</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Local</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0</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3</v>
      </c>
      <c r="AN48" s="39">
        <f t="shared" ca="1" si="147"/>
        <v>3</v>
      </c>
      <c r="AO48" s="39">
        <f t="shared" ca="1" si="147"/>
        <v>1</v>
      </c>
      <c r="AP48" s="39">
        <f t="shared" ca="1" si="147"/>
        <v>0</v>
      </c>
      <c r="AQ48" s="39">
        <f t="shared" ca="1" si="147"/>
        <v>2</v>
      </c>
      <c r="AR48" s="39">
        <f t="shared" ca="1" si="147"/>
        <v>1</v>
      </c>
      <c r="AS48" s="39">
        <f t="shared" ca="1" si="147"/>
        <v>2</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0</v>
      </c>
      <c r="BK48" s="16">
        <f t="shared" ca="1" si="21"/>
        <v>3</v>
      </c>
      <c r="BL48" s="16">
        <f t="shared" ca="1" si="42"/>
        <v>-3</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-3</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0</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P.3 (2)</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4</v>
      </c>
      <c r="DE48" s="16"/>
      <c r="DF48" s="16">
        <f t="shared" ca="1" si="52"/>
        <v>4.0039999999999996</v>
      </c>
      <c r="DG48" s="16">
        <f ca="1">IF(DB48="-","-",COUNTIFS(DF$6:DF$53,"&lt;"&amp;DF48,$BC$6:$BC$53,INDEX(T_Equipos[Grupo],MATCH(BD48,T_Equipos[NombreEquipo],0))))</f>
        <v>3</v>
      </c>
      <c r="DH48" s="16">
        <f ca="1">DA48+COUNTIFS(DB$6:DB$53,DB48,DG$6:DG$53,"&lt;"&amp;DG48,$BC$6:$BC$53,INDEX(T_Equipos[Grupo],MATCH(BD48,T_Equipos[NombreEquipo],0)))</f>
        <v>4</v>
      </c>
      <c r="DI48" s="16"/>
      <c r="DJ48" s="16">
        <f t="shared" ca="1" si="38"/>
        <v>3</v>
      </c>
      <c r="DK48" s="16">
        <f t="shared" ca="1" si="39"/>
        <v>12</v>
      </c>
      <c r="DL48" s="16">
        <f t="shared" ca="1" si="40"/>
        <v>2</v>
      </c>
      <c r="DM48" s="16" t="str">
        <f t="shared" ca="1" si="46"/>
        <v>3.2</v>
      </c>
      <c r="DN48" s="16" t="e" cm="1" vm="21">
        <f t="array" aca="1" ref="DN48" ca="1">OFFSET(Horarios!$P$3,DJ48-1,0,DL48,1)</f>
        <v>#VALUE!</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0</v>
      </c>
      <c r="AD49" s="54">
        <v>2</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5</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2</v>
      </c>
      <c r="BK49" s="16">
        <f t="shared" ca="1" si="21"/>
        <v>1</v>
      </c>
      <c r="BL49" s="16">
        <f t="shared" ca="1" si="42"/>
        <v>1</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3</v>
      </c>
      <c r="DK49" s="16">
        <f t="shared" ca="1" si="39"/>
        <v>12</v>
      </c>
      <c r="DL49" s="16">
        <f t="shared" ca="1" si="40"/>
        <v>2</v>
      </c>
      <c r="DM49" s="16" t="str">
        <f t="shared" ca="1" si="46"/>
        <v>3.2</v>
      </c>
      <c r="DN49" s="16" t="e" cm="1" vm="21">
        <f t="array" aca="1" ref="DN49" ca="1">OFFSET(Horarios!$P$3,DJ49-1,0,DL49,1)</f>
        <v>#VALUE!</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3</v>
      </c>
      <c r="BK50" s="16">
        <f t="shared" ca="1" si="21"/>
        <v>1</v>
      </c>
      <c r="BL50" s="16">
        <f t="shared" ca="1" si="42"/>
        <v>2</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2</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37"/>
        <v>3</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(2)</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52"/>
        <v>1.0009999999999999</v>
      </c>
      <c r="DG50" s="16">
        <f ca="1">IF(DB50="-","-",COUNTIFS(DF$6:DF$53,"&lt;"&amp;DF50,$BC$6:$BC$53,INDEX(T_Equipos[Grupo],MATCH(BD50,T_Equipos[NombreEquipo],0))))</f>
        <v>0</v>
      </c>
      <c r="DH50" s="16">
        <f ca="1">DA50+COUNTIFS(DB$6:DB$53,DB50,DG$6:DG$53,"&lt;"&amp;DG50,$BC$6:$BC$53,INDEX(T_Equipos[Grupo],MATCH(BD50,T_Equipos[NombreEquipo],0)))</f>
        <v>1</v>
      </c>
      <c r="DI50" s="16"/>
      <c r="DJ50" s="16">
        <f t="shared" ca="1" si="38"/>
        <v>1</v>
      </c>
      <c r="DK50" s="16">
        <f t="shared" ca="1" si="39"/>
        <v>12</v>
      </c>
      <c r="DL50" s="16">
        <f t="shared" ca="1" si="40"/>
        <v>2</v>
      </c>
      <c r="DM50" s="16" t="str">
        <f t="shared" ca="1" si="46"/>
        <v>1.2</v>
      </c>
      <c r="DN50" s="16" t="e" cm="1" vm="21">
        <f t="array" aca="1" ref="DN50" ca="1">OFFSET(Horarios!$P$3,DJ50-1,0,DL50,1)</f>
        <v>#VALUE!</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3</v>
      </c>
      <c r="BK51" s="16">
        <f t="shared" ca="1" si="21"/>
        <v>1</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2</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37"/>
        <v>3</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(2)</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52"/>
        <v>2.0019999999999998</v>
      </c>
      <c r="DG51" s="16">
        <f ca="1">IF(DB51="-","-",COUNTIFS(DF$6:DF$53,"&lt;"&amp;DF51,$BC$6:$BC$53,INDEX(T_Equipos[Grupo],MATCH(BD51,T_Equipos[NombreEquipo],0))))</f>
        <v>1</v>
      </c>
      <c r="DH51" s="16">
        <f ca="1">DA51+COUNTIFS(DB$6:DB$53,DB51,DG$6:DG$53,"&lt;"&amp;DG51,$BC$6:$BC$53,INDEX(T_Equipos[Grupo],MATCH(BD51,T_Equipos[NombreEquipo],0)))</f>
        <v>2</v>
      </c>
      <c r="DI51" s="16"/>
      <c r="DJ51" s="16">
        <f t="shared" ca="1" si="38"/>
        <v>1</v>
      </c>
      <c r="DK51" s="16">
        <f t="shared" ca="1" si="39"/>
        <v>12</v>
      </c>
      <c r="DL51" s="16">
        <f t="shared" ca="1" si="40"/>
        <v>2</v>
      </c>
      <c r="DM51" s="16" t="str">
        <f t="shared" ca="1" si="46"/>
        <v>1.2</v>
      </c>
      <c r="DN51" s="16" t="e" cm="1" vm="21">
        <f t="array" aca="1" ref="DN51" ca="1">OFFSET(Horarios!$P$3,DJ51-1,0,DL51,1)</f>
        <v>#VALUE!</v>
      </c>
      <c r="DO51" s="16"/>
      <c r="DP51" s="16" t="s">
        <v>694</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6</v>
      </c>
      <c r="X52" s="24">
        <f ca="1">Horarios!C52</f>
        <v>46188.875</v>
      </c>
      <c r="Y52" s="25">
        <f ca="1">Horarios!C52</f>
        <v>46188.875</v>
      </c>
      <c r="Z52" s="26" t="str">
        <f>$Z$4</f>
        <v>J1</v>
      </c>
      <c r="AA52" s="27" t="str">
        <f ca="1">A53</f>
        <v>Bélgica</v>
      </c>
      <c r="AB52" s="49" t="e" cm="1" vm="26">
        <f t="array" aca="1" ref="AB52" ca="1">Ver_flag_local</f>
        <v>#VALUE!</v>
      </c>
      <c r="AC52" s="50">
        <v>1</v>
      </c>
      <c r="AD52" s="51">
        <v>0</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1</v>
      </c>
      <c r="BK52" s="16">
        <f t="shared" ca="1" si="21"/>
        <v>2</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66"/>
      <c r="X53" s="24">
        <f ca="1">Horarios!C53</f>
        <v>46189.125</v>
      </c>
      <c r="Y53" s="25">
        <f ca="1">Horarios!C53</f>
        <v>46189.125</v>
      </c>
      <c r="Z53" s="26" t="str">
        <f>$Z$4</f>
        <v>J1</v>
      </c>
      <c r="AA53" s="27" t="str">
        <f ca="1">A55</f>
        <v>Irán</v>
      </c>
      <c r="AB53" s="49" t="e" cm="1" vm="28">
        <f t="array" aca="1" ref="AB53" ca="1">Ver_flag_local</f>
        <v>#VALUE!</v>
      </c>
      <c r="AC53" s="50">
        <v>0</v>
      </c>
      <c r="AD53" s="51">
        <v>0</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3</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66"/>
      <c r="X54" s="24">
        <f ca="1">Horarios!C54</f>
        <v>46194.875</v>
      </c>
      <c r="Y54" s="25">
        <f ca="1">Horarios!C54</f>
        <v>46194.875</v>
      </c>
      <c r="Z54" s="26" t="str">
        <f>$Z$6</f>
        <v>J2</v>
      </c>
      <c r="AA54" s="27" t="str">
        <f ca="1">A53</f>
        <v>Bélgica</v>
      </c>
      <c r="AB54" s="49" t="e" cm="1" vm="26">
        <f t="array" aca="1" ref="AB54" ca="1">Ver_flag_local</f>
        <v>#VALUE!</v>
      </c>
      <c r="AC54" s="50">
        <v>1</v>
      </c>
      <c r="AD54" s="51">
        <v>0</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4</v>
      </c>
      <c r="AS54" s="36">
        <f t="shared" ca="1" si="165"/>
        <v>0</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1</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1</v>
      </c>
      <c r="AS55" s="39">
        <f t="shared" ca="1" si="165"/>
        <v>1</v>
      </c>
      <c r="AT55" s="43">
        <f t="shared" ca="1" si="165"/>
        <v>0</v>
      </c>
      <c r="AU55" s="330">
        <f ca="1">INDEX($DL$6:$DL$53,MATCH(AI55,$DP$6:$DP$53,0))</f>
        <v>1</v>
      </c>
      <c r="AV55" s="182" t="str">
        <f ca="1">INDEX($BD$6:$BD$53,MATCH(AI55,$BM$6:$BM$53,0))</f>
        <v>Egipto</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0</v>
      </c>
      <c r="AD56" s="51">
        <v>0</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0</v>
      </c>
      <c r="AS56" s="39">
        <f t="shared" ca="1" si="165"/>
        <v>1</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0</v>
      </c>
      <c r="AS57" s="47">
        <f t="shared" ca="1" si="165"/>
        <v>3</v>
      </c>
      <c r="AT57" s="48">
        <f t="shared" ca="1" si="165"/>
        <v>-3</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-2</v>
      </c>
      <c r="BM58" s="16">
        <f ca="1">CB58</f>
        <v>10</v>
      </c>
      <c r="BN58" s="16">
        <f ca="1">CF58</f>
        <v>10</v>
      </c>
      <c r="BO58" s="16" t="str">
        <f t="shared" ref="BO58:BO69" si="174">"4"&amp;BC58</f>
        <v>4A</v>
      </c>
      <c r="BP58" s="16"/>
      <c r="BQ58" s="16"/>
      <c r="BR58" s="16">
        <f t="shared" ref="BR58:BR69" ca="1" si="175">+BE58</f>
        <v>1</v>
      </c>
      <c r="BS58" s="16">
        <f ca="1">COUNTIFS(BR$58:BR$69,"&gt;"&amp;BR58)+1</f>
        <v>10</v>
      </c>
      <c r="BT58" s="16" t="str">
        <f ca="1">IF(COUNTIF(BS$58:BS$69,BS58)=1,"-","Pos. "&amp;BS58&amp;" ("&amp;COUNTIF(BS$58:BS$69,BS58)&amp;")")</f>
        <v>Pos. 10 (3)</v>
      </c>
      <c r="BU58" s="16">
        <f t="shared" ref="BU58:BU69" ca="1" si="176">IF(BT58="-","-",BL58)</f>
        <v>-2</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Paraguay</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2</v>
      </c>
      <c r="BK59" s="16">
        <f t="shared" ca="1" si="173"/>
        <v>3</v>
      </c>
      <c r="BL59" s="16">
        <f t="shared" ref="BL59:BL69" ca="1" si="190">+BJ59-BK59</f>
        <v>-1</v>
      </c>
      <c r="BM59" s="16">
        <f t="shared" ref="BM59:BM69" ca="1" si="191">CB59</f>
        <v>2</v>
      </c>
      <c r="BN59" s="16">
        <f t="shared" ref="BN59:BN69" ca="1" si="192">CF59</f>
        <v>2</v>
      </c>
      <c r="BO59" s="16" t="str">
        <f t="shared" si="174"/>
        <v>4B</v>
      </c>
      <c r="BP59" s="16"/>
      <c r="BQ59" s="16"/>
      <c r="BR59" s="16">
        <f t="shared" ca="1" si="175"/>
        <v>3</v>
      </c>
      <c r="BS59" s="16">
        <f t="shared" ref="BS59:BS69" ca="1" si="193">COUNTIFS(BR$58:BR$69,"&gt;"&amp;BR59)+1</f>
        <v>2</v>
      </c>
      <c r="BT59" s="16" t="str">
        <f t="shared" ref="BT59:BT69" ca="1" si="194">IF(COUNTIF(BS$58:BS$69,BS59)=1,"-","Pos. "&amp;BS59&amp;" ("&amp;COUNTIF(BS$58:BS$69,BS59)&amp;")")</f>
        <v>Pos. 2 (6)</v>
      </c>
      <c r="BU59" s="16">
        <f t="shared" ca="1" si="176"/>
        <v>-1</v>
      </c>
      <c r="BV59" s="16">
        <f t="shared" ca="1" si="177"/>
        <v>2</v>
      </c>
      <c r="BW59" s="16" t="str">
        <f t="shared" ca="1" si="178"/>
        <v>Pos. 2 (3)</v>
      </c>
      <c r="BX59" s="16">
        <f t="shared" ca="1" si="179"/>
        <v>2</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Bosnia y Herzegovina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7</v>
      </c>
      <c r="BN60" s="16">
        <f t="shared" ca="1" si="192"/>
        <v>7</v>
      </c>
      <c r="BO60" s="16" t="str">
        <f t="shared" si="174"/>
        <v>4C</v>
      </c>
      <c r="BP60" s="16"/>
      <c r="BQ60" s="16"/>
      <c r="BR60" s="16">
        <f t="shared" ca="1" si="175"/>
        <v>3</v>
      </c>
      <c r="BS60" s="16">
        <f t="shared" ca="1" si="193"/>
        <v>2</v>
      </c>
      <c r="BT60" s="16" t="str">
        <f t="shared" ca="1" si="194"/>
        <v>Pos. 2 (6)</v>
      </c>
      <c r="BU60" s="16">
        <f t="shared" ca="1" si="176"/>
        <v>-3</v>
      </c>
      <c r="BV60" s="16">
        <f t="shared" ca="1" si="177"/>
        <v>7</v>
      </c>
      <c r="BW60" s="16" t="str">
        <f t="shared" ca="1" si="178"/>
        <v>-</v>
      </c>
      <c r="BX60" s="16" t="str">
        <f t="shared" ca="1" si="179"/>
        <v>-</v>
      </c>
      <c r="BY60" s="16">
        <f t="shared" ca="1" si="180"/>
        <v>7</v>
      </c>
      <c r="BZ60" s="16" t="str">
        <f t="shared" ca="1" si="181"/>
        <v>-</v>
      </c>
      <c r="CA60" s="16" t="str">
        <f t="shared" ca="1" si="182"/>
        <v>-</v>
      </c>
      <c r="CB60" s="16">
        <f t="shared" ca="1" si="195"/>
        <v>7</v>
      </c>
      <c r="CC60" s="16"/>
      <c r="CD60" s="16">
        <f t="shared" ca="1" si="183"/>
        <v>7</v>
      </c>
      <c r="CE60" s="16" t="str">
        <f t="shared" ca="1" si="196"/>
        <v>-</v>
      </c>
      <c r="CF60" s="16">
        <f t="shared" ca="1" si="197"/>
        <v>7</v>
      </c>
      <c r="DJ60" s="16">
        <f t="shared" ca="1" si="184"/>
        <v>3</v>
      </c>
      <c r="DK60" s="16"/>
      <c r="DL60" s="16">
        <f t="shared" ca="1" si="185"/>
        <v>2</v>
      </c>
      <c r="DM60" s="16" t="str">
        <f t="shared" ca="1" si="186"/>
        <v>3.2</v>
      </c>
      <c r="DN60" s="16" t="e" cm="1" vm="21">
        <f t="array" aca="1" ref="DN60" ca="1">OFFSET(Horarios!$P$3,DJ60-1,0,DL60,1)</f>
        <v>#VALUE!</v>
      </c>
      <c r="DO60" s="16"/>
      <c r="DP60" s="16">
        <v>3</v>
      </c>
      <c r="DQ60" s="16" t="str">
        <f t="shared" ca="1" si="198"/>
        <v>Ghana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e" cm="1" vm="32">
        <f t="array" aca="1" ref="AB61" ca="1">Ver_flag_local</f>
        <v>#VALUE!</v>
      </c>
      <c r="AC61" s="50">
        <v>0</v>
      </c>
      <c r="AD61" s="51">
        <v>1</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2</v>
      </c>
      <c r="BL61" s="16">
        <f t="shared" ca="1" si="190"/>
        <v>0</v>
      </c>
      <c r="BM61" s="16">
        <f t="shared" ca="1" si="191"/>
        <v>1</v>
      </c>
      <c r="BN61" s="16">
        <f t="shared" ca="1" si="192"/>
        <v>1</v>
      </c>
      <c r="BO61" s="16" t="str">
        <f t="shared" si="174"/>
        <v>4D</v>
      </c>
      <c r="BP61" s="16"/>
      <c r="BQ61" s="16"/>
      <c r="BR61" s="16">
        <f t="shared" ca="1" si="175"/>
        <v>4</v>
      </c>
      <c r="BS61" s="16">
        <f t="shared" ca="1" si="193"/>
        <v>1</v>
      </c>
      <c r="BT61" s="16" t="str">
        <f t="shared" ca="1" si="194"/>
        <v>-</v>
      </c>
      <c r="BU61" s="16" t="str">
        <f t="shared" ca="1" si="176"/>
        <v>-</v>
      </c>
      <c r="BV61" s="16">
        <f t="shared" ca="1" si="177"/>
        <v>1</v>
      </c>
      <c r="BW61" s="16" t="str">
        <f t="shared" ca="1" si="178"/>
        <v>-</v>
      </c>
      <c r="BX61" s="16" t="str">
        <f t="shared" ca="1" si="179"/>
        <v>-</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3</v>
      </c>
      <c r="DK61" s="16"/>
      <c r="DL61" s="16">
        <f t="shared" ca="1" si="185"/>
        <v>2</v>
      </c>
      <c r="DM61" s="16" t="str">
        <f t="shared" ca="1" si="186"/>
        <v>3.2</v>
      </c>
      <c r="DN61" s="16" t="e" cm="1" vm="21">
        <f t="array" aca="1" ref="DN61" ca="1">OFFSET(Horarios!$P$3,DJ61-1,0,DL61,1)</f>
        <v>#VALUE!</v>
      </c>
      <c r="DO61" s="16"/>
      <c r="DP61" s="16">
        <v>4</v>
      </c>
      <c r="DQ61" s="16" t="str">
        <f t="shared" ca="1" si="198"/>
        <v>Suecia</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6</v>
      </c>
      <c r="AS62" s="36">
        <f t="shared" ca="1" si="215"/>
        <v>0</v>
      </c>
      <c r="AT62" s="41">
        <f t="shared" ca="1" si="215"/>
        <v>6</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1</v>
      </c>
      <c r="BK62" s="16">
        <f t="shared" ca="1" si="173"/>
        <v>3</v>
      </c>
      <c r="BL62" s="16">
        <f t="shared" ca="1" si="190"/>
        <v>-2</v>
      </c>
      <c r="BM62" s="16">
        <f t="shared" ca="1" si="191"/>
        <v>6</v>
      </c>
      <c r="BN62" s="16">
        <f t="shared" ca="1" si="192"/>
        <v>5</v>
      </c>
      <c r="BO62" s="16" t="str">
        <f t="shared" si="174"/>
        <v>4E</v>
      </c>
      <c r="BP62" s="16"/>
      <c r="BQ62" s="16"/>
      <c r="BR62" s="16">
        <f t="shared" ca="1" si="175"/>
        <v>3</v>
      </c>
      <c r="BS62" s="16">
        <f t="shared" ca="1" si="193"/>
        <v>2</v>
      </c>
      <c r="BT62" s="16" t="str">
        <f t="shared" ca="1" si="194"/>
        <v>Pos. 2 (6)</v>
      </c>
      <c r="BU62" s="16">
        <f t="shared" ca="1" si="176"/>
        <v>-2</v>
      </c>
      <c r="BV62" s="16">
        <f t="shared" ca="1" si="177"/>
        <v>5</v>
      </c>
      <c r="BW62" s="16" t="str">
        <f t="shared" ca="1" si="178"/>
        <v>Pos. 5 (2)</v>
      </c>
      <c r="BX62" s="16">
        <f t="shared" ca="1" si="179"/>
        <v>1</v>
      </c>
      <c r="BY62" s="16">
        <f t="shared" ca="1" si="180"/>
        <v>5</v>
      </c>
      <c r="BZ62" s="16" t="str">
        <f t="shared" ca="1" si="181"/>
        <v>Pos. 5 (2)</v>
      </c>
      <c r="CA62" s="16">
        <f t="shared" ca="1" si="182"/>
        <v>8</v>
      </c>
      <c r="CB62" s="16">
        <f t="shared" ca="1" si="195"/>
        <v>6</v>
      </c>
      <c r="CC62" s="16"/>
      <c r="CD62" s="16">
        <f t="shared" ca="1" si="183"/>
        <v>5.0060000000000002</v>
      </c>
      <c r="CE62" s="16">
        <f t="shared" ca="1" si="196"/>
        <v>4</v>
      </c>
      <c r="CF62" s="16">
        <f t="shared" ca="1" si="197"/>
        <v>5</v>
      </c>
      <c r="DJ62" s="16">
        <f t="shared" ca="1" si="184"/>
        <v>5</v>
      </c>
      <c r="DK62" s="16"/>
      <c r="DL62" s="16">
        <f t="shared" ca="1" si="185"/>
        <v>2</v>
      </c>
      <c r="DM62" s="16" t="str">
        <f t="shared" ca="1" si="186"/>
        <v>5.2</v>
      </c>
      <c r="DN62" s="16" t="e" cm="1" vm="21">
        <f t="array" aca="1" ref="DN62" ca="1">OFFSET(Horarios!$P$3,DJ62-1,0,DL62,1)</f>
        <v>#VALUE!</v>
      </c>
      <c r="DO62" s="16"/>
      <c r="DP62" s="16">
        <v>5</v>
      </c>
      <c r="DQ62" s="16" t="str">
        <f t="shared" ca="1" si="198"/>
        <v>Arabia Saudita</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2</v>
      </c>
      <c r="AD63" s="51">
        <v>0</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3</v>
      </c>
      <c r="AS63" s="39">
        <f t="shared" ca="1" si="215"/>
        <v>1</v>
      </c>
      <c r="AT63" s="43">
        <f t="shared" ca="1" si="215"/>
        <v>2</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3</v>
      </c>
      <c r="BF63" s="16">
        <f t="shared" ca="1" si="189"/>
        <v>3</v>
      </c>
      <c r="BG63" s="16">
        <f t="shared" ca="1" si="169"/>
        <v>1</v>
      </c>
      <c r="BH63" s="16">
        <f t="shared" ca="1" si="170"/>
        <v>0</v>
      </c>
      <c r="BI63" s="16">
        <f t="shared" ca="1" si="171"/>
        <v>2</v>
      </c>
      <c r="BJ63" s="16">
        <f t="shared" ca="1" si="172"/>
        <v>1</v>
      </c>
      <c r="BK63" s="16">
        <f t="shared" ca="1" si="173"/>
        <v>2</v>
      </c>
      <c r="BL63" s="16">
        <f t="shared" ca="1" si="190"/>
        <v>-1</v>
      </c>
      <c r="BM63" s="16">
        <f t="shared" ca="1" si="191"/>
        <v>4</v>
      </c>
      <c r="BN63" s="16">
        <f t="shared" ca="1" si="192"/>
        <v>3</v>
      </c>
      <c r="BO63" s="16" t="str">
        <f t="shared" si="174"/>
        <v>4F</v>
      </c>
      <c r="BP63" s="16"/>
      <c r="BQ63" s="16"/>
      <c r="BR63" s="16">
        <f t="shared" ca="1" si="175"/>
        <v>3</v>
      </c>
      <c r="BS63" s="16">
        <f t="shared" ca="1" si="193"/>
        <v>2</v>
      </c>
      <c r="BT63" s="16" t="str">
        <f t="shared" ca="1" si="194"/>
        <v>Pos. 2 (6)</v>
      </c>
      <c r="BU63" s="16">
        <f t="shared" ca="1" si="176"/>
        <v>-1</v>
      </c>
      <c r="BV63" s="16">
        <f t="shared" ca="1" si="177"/>
        <v>2</v>
      </c>
      <c r="BW63" s="16" t="str">
        <f t="shared" ca="1" si="178"/>
        <v>Pos. 2 (3)</v>
      </c>
      <c r="BX63" s="16">
        <f t="shared" ca="1" si="179"/>
        <v>1</v>
      </c>
      <c r="BY63" s="16">
        <f t="shared" ca="1" si="180"/>
        <v>3</v>
      </c>
      <c r="BZ63" s="16" t="str">
        <f t="shared" ca="1" si="181"/>
        <v>Pos. 3 (2)</v>
      </c>
      <c r="CA63" s="16">
        <f t="shared" ca="1" si="182"/>
        <v>0</v>
      </c>
      <c r="CB63" s="16">
        <f t="shared" ca="1" si="195"/>
        <v>4</v>
      </c>
      <c r="CC63" s="16"/>
      <c r="CD63" s="16">
        <f t="shared" ca="1" si="183"/>
        <v>3.004</v>
      </c>
      <c r="CE63" s="16">
        <f t="shared" ca="1" si="196"/>
        <v>2</v>
      </c>
      <c r="CF63" s="16">
        <f t="shared" ca="1" si="197"/>
        <v>3</v>
      </c>
      <c r="DJ63" s="16">
        <f t="shared" ca="1" si="184"/>
        <v>5</v>
      </c>
      <c r="DK63" s="16"/>
      <c r="DL63" s="16">
        <f t="shared" ca="1" si="185"/>
        <v>2</v>
      </c>
      <c r="DM63" s="16" t="str">
        <f t="shared" ca="1" si="186"/>
        <v>5.2</v>
      </c>
      <c r="DN63" s="16" t="e" cm="1" vm="21">
        <f t="array" aca="1" ref="DN63" ca="1">OFFSET(Horarios!$P$3,DJ63-1,0,DL63,1)</f>
        <v>#VALUE!</v>
      </c>
      <c r="DO63" s="16"/>
      <c r="DP63" s="16">
        <v>6</v>
      </c>
      <c r="DQ63" s="16" t="str">
        <f t="shared" ca="1" si="198"/>
        <v>Costa de Marfil</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3</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2</v>
      </c>
      <c r="BF64" s="16">
        <f t="shared" ca="1" si="189"/>
        <v>3</v>
      </c>
      <c r="BG64" s="16">
        <f t="shared" ca="1" si="169"/>
        <v>0</v>
      </c>
      <c r="BH64" s="16">
        <f t="shared" ca="1" si="170"/>
        <v>2</v>
      </c>
      <c r="BI64" s="16">
        <f t="shared" ca="1" si="171"/>
        <v>1</v>
      </c>
      <c r="BJ64" s="16">
        <f t="shared" ca="1" si="172"/>
        <v>0</v>
      </c>
      <c r="BK64" s="16">
        <f t="shared" ca="1" si="173"/>
        <v>1</v>
      </c>
      <c r="BL64" s="16">
        <f t="shared" ca="1" si="190"/>
        <v>-1</v>
      </c>
      <c r="BM64" s="16">
        <f t="shared" ca="1" si="191"/>
        <v>8</v>
      </c>
      <c r="BN64" s="16">
        <f t="shared" ca="1" si="192"/>
        <v>8</v>
      </c>
      <c r="BO64" s="16" t="str">
        <f t="shared" si="174"/>
        <v>4G</v>
      </c>
      <c r="BP64" s="16"/>
      <c r="BQ64" s="16"/>
      <c r="BR64" s="16">
        <f t="shared" ca="1" si="175"/>
        <v>2</v>
      </c>
      <c r="BS64" s="16">
        <f t="shared" ca="1" si="193"/>
        <v>8</v>
      </c>
      <c r="BT64" s="16" t="str">
        <f t="shared" ca="1" si="194"/>
        <v>Pos. 8 (2)</v>
      </c>
      <c r="BU64" s="16">
        <f t="shared" ca="1" si="176"/>
        <v>-1</v>
      </c>
      <c r="BV64" s="16">
        <f t="shared" ca="1" si="177"/>
        <v>8</v>
      </c>
      <c r="BW64" s="16" t="str">
        <f t="shared" ca="1" si="178"/>
        <v>-</v>
      </c>
      <c r="BX64" s="16" t="str">
        <f t="shared" ca="1" si="179"/>
        <v>-</v>
      </c>
      <c r="BY64" s="16">
        <f t="shared" ca="1" si="180"/>
        <v>8</v>
      </c>
      <c r="BZ64" s="16" t="str">
        <f t="shared" ca="1" si="181"/>
        <v>-</v>
      </c>
      <c r="CA64" s="16" t="str">
        <f t="shared" ca="1" si="182"/>
        <v>-</v>
      </c>
      <c r="CB64" s="16">
        <f t="shared" ca="1" si="195"/>
        <v>8</v>
      </c>
      <c r="CC64" s="16"/>
      <c r="CD64" s="16">
        <f t="shared" ca="1" si="183"/>
        <v>8</v>
      </c>
      <c r="CE64" s="16" t="str">
        <f t="shared" ca="1" si="196"/>
        <v>-</v>
      </c>
      <c r="CF64" s="16">
        <f t="shared" ca="1" si="197"/>
        <v>8</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Escocia</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0</v>
      </c>
      <c r="AD65" s="54">
        <v>1</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6</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3</v>
      </c>
      <c r="BL65" s="16">
        <f t="shared" ca="1" si="190"/>
        <v>-2</v>
      </c>
      <c r="BM65" s="16">
        <f t="shared" ca="1" si="191"/>
        <v>5</v>
      </c>
      <c r="BN65" s="16">
        <f t="shared" ca="1" si="192"/>
        <v>6</v>
      </c>
      <c r="BO65" s="16" t="str">
        <f t="shared" si="174"/>
        <v>4H</v>
      </c>
      <c r="BP65" s="16"/>
      <c r="BQ65" s="16"/>
      <c r="BR65" s="16">
        <f t="shared" ca="1" si="175"/>
        <v>3</v>
      </c>
      <c r="BS65" s="16">
        <f t="shared" ca="1" si="193"/>
        <v>2</v>
      </c>
      <c r="BT65" s="16" t="str">
        <f t="shared" ca="1" si="194"/>
        <v>Pos. 2 (6)</v>
      </c>
      <c r="BU65" s="16">
        <f t="shared" ca="1" si="176"/>
        <v>-2</v>
      </c>
      <c r="BV65" s="16">
        <f t="shared" ca="1" si="177"/>
        <v>5</v>
      </c>
      <c r="BW65" s="16" t="str">
        <f t="shared" ca="1" si="178"/>
        <v>Pos. 5 (2)</v>
      </c>
      <c r="BX65" s="16">
        <f t="shared" ca="1" si="179"/>
        <v>1</v>
      </c>
      <c r="BY65" s="16">
        <f t="shared" ca="1" si="180"/>
        <v>5</v>
      </c>
      <c r="BZ65" s="16" t="str">
        <f t="shared" ca="1" si="181"/>
        <v>Pos. 5 (2)</v>
      </c>
      <c r="CA65" s="16">
        <f t="shared" ca="1" si="182"/>
        <v>11</v>
      </c>
      <c r="CB65" s="16">
        <f t="shared" ca="1" si="195"/>
        <v>5</v>
      </c>
      <c r="CC65" s="16"/>
      <c r="CD65" s="16">
        <f t="shared" ca="1" si="183"/>
        <v>6.0049999999999999</v>
      </c>
      <c r="CE65" s="16">
        <f t="shared" ca="1" si="196"/>
        <v>5</v>
      </c>
      <c r="CF65" s="16">
        <f t="shared" ca="1" si="197"/>
        <v>6</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Irán</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1</v>
      </c>
      <c r="BF66" s="16">
        <f t="shared" ca="1" si="189"/>
        <v>3</v>
      </c>
      <c r="BG66" s="16">
        <f t="shared" ca="1" si="169"/>
        <v>0</v>
      </c>
      <c r="BH66" s="16">
        <f t="shared" ca="1" si="170"/>
        <v>1</v>
      </c>
      <c r="BI66" s="16">
        <f t="shared" ca="1" si="171"/>
        <v>2</v>
      </c>
      <c r="BJ66" s="16">
        <f t="shared" ca="1" si="172"/>
        <v>0</v>
      </c>
      <c r="BK66" s="16">
        <f t="shared" ca="1" si="173"/>
        <v>3</v>
      </c>
      <c r="BL66" s="16">
        <f t="shared" ca="1" si="190"/>
        <v>-3</v>
      </c>
      <c r="BM66" s="16">
        <f t="shared" ca="1" si="191"/>
        <v>12</v>
      </c>
      <c r="BN66" s="16">
        <f t="shared" ca="1" si="192"/>
        <v>11</v>
      </c>
      <c r="BO66" s="16" t="str">
        <f t="shared" si="174"/>
        <v>4I</v>
      </c>
      <c r="BP66" s="16"/>
      <c r="BQ66" s="16"/>
      <c r="BR66" s="16">
        <f t="shared" ca="1" si="175"/>
        <v>1</v>
      </c>
      <c r="BS66" s="16">
        <f t="shared" ca="1" si="193"/>
        <v>10</v>
      </c>
      <c r="BT66" s="16" t="str">
        <f t="shared" ca="1" si="194"/>
        <v>Pos. 10 (3)</v>
      </c>
      <c r="BU66" s="16">
        <f t="shared" ca="1" si="176"/>
        <v>-3</v>
      </c>
      <c r="BV66" s="16">
        <f t="shared" ca="1" si="177"/>
        <v>11</v>
      </c>
      <c r="BW66" s="16" t="str">
        <f t="shared" ca="1" si="178"/>
        <v>Pos. 11 (2)</v>
      </c>
      <c r="BX66" s="16">
        <f t="shared" ca="1" si="179"/>
        <v>0</v>
      </c>
      <c r="BY66" s="16">
        <f t="shared" ca="1" si="180"/>
        <v>11</v>
      </c>
      <c r="BZ66" s="16" t="str">
        <f t="shared" ca="1" si="181"/>
        <v>Pos. 11 (2)</v>
      </c>
      <c r="CA66" s="16">
        <f t="shared" ca="1" si="182"/>
        <v>1</v>
      </c>
      <c r="CB66" s="16">
        <f t="shared" ca="1" si="195"/>
        <v>12</v>
      </c>
      <c r="CC66" s="16"/>
      <c r="CD66" s="16">
        <f t="shared" ca="1" si="183"/>
        <v>11.012</v>
      </c>
      <c r="CE66" s="16">
        <f t="shared" ca="1" si="196"/>
        <v>10</v>
      </c>
      <c r="CF66" s="16">
        <f t="shared" ca="1" si="197"/>
        <v>11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Argelia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2</v>
      </c>
      <c r="BF67" s="16">
        <f t="shared" ca="1" si="189"/>
        <v>3</v>
      </c>
      <c r="BG67" s="16">
        <f t="shared" ca="1" si="169"/>
        <v>0</v>
      </c>
      <c r="BH67" s="16">
        <f t="shared" ca="1" si="170"/>
        <v>2</v>
      </c>
      <c r="BI67" s="16">
        <f t="shared" ca="1" si="171"/>
        <v>1</v>
      </c>
      <c r="BJ67" s="16">
        <f t="shared" ca="1" si="172"/>
        <v>0</v>
      </c>
      <c r="BK67" s="16">
        <f t="shared" ca="1" si="173"/>
        <v>2</v>
      </c>
      <c r="BL67" s="16">
        <f t="shared" ca="1" si="190"/>
        <v>-2</v>
      </c>
      <c r="BM67" s="16">
        <f t="shared" ca="1" si="191"/>
        <v>9</v>
      </c>
      <c r="BN67" s="16">
        <f t="shared" ca="1" si="192"/>
        <v>9</v>
      </c>
      <c r="BO67" s="16" t="str">
        <f t="shared" si="174"/>
        <v>4J</v>
      </c>
      <c r="BP67" s="16"/>
      <c r="BQ67" s="16"/>
      <c r="BR67" s="16">
        <f t="shared" ca="1" si="175"/>
        <v>2</v>
      </c>
      <c r="BS67" s="16">
        <f t="shared" ca="1" si="193"/>
        <v>8</v>
      </c>
      <c r="BT67" s="16" t="str">
        <f t="shared" ca="1" si="194"/>
        <v>Pos. 8 (2)</v>
      </c>
      <c r="BU67" s="16">
        <f t="shared" ca="1" si="176"/>
        <v>-2</v>
      </c>
      <c r="BV67" s="16">
        <f t="shared" ca="1" si="177"/>
        <v>9</v>
      </c>
      <c r="BW67" s="16" t="str">
        <f t="shared" ca="1" si="178"/>
        <v>-</v>
      </c>
      <c r="BX67" s="16" t="str">
        <f t="shared" ca="1" si="179"/>
        <v>-</v>
      </c>
      <c r="BY67" s="16">
        <f t="shared" ca="1" si="180"/>
        <v>9</v>
      </c>
      <c r="BZ67" s="16" t="str">
        <f t="shared" ca="1" si="181"/>
        <v>-</v>
      </c>
      <c r="CA67" s="16" t="str">
        <f t="shared" ca="1" si="182"/>
        <v>-</v>
      </c>
      <c r="CB67" s="16">
        <f t="shared" ca="1" si="195"/>
        <v>9</v>
      </c>
      <c r="CC67" s="16"/>
      <c r="CD67" s="16">
        <f t="shared" ca="1" si="183"/>
        <v>9</v>
      </c>
      <c r="CE67" s="16" t="str">
        <f t="shared" ca="1" si="196"/>
        <v>-</v>
      </c>
      <c r="CF67" s="16">
        <f t="shared" ca="1" si="197"/>
        <v>9</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República Checa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P.3 (2)</v>
      </c>
      <c r="G68" s="16"/>
      <c r="H68" s="16" t="str">
        <f t="shared" ref="H68:H73" ca="1" si="220">IF(D68="Pendiente","-",INDEX($BZ$6:$BZ$53,MATCH($AA68,$BD$6:$BD$53,0)))</f>
        <v>-</v>
      </c>
      <c r="I68" s="16" t="str">
        <f t="shared" ref="I68:I73" ca="1" si="221">IF(D68="Pendiente","-",INDEX($BZ$6:$BZ$53,MATCH($AF68,$BD$6:$BD$53,0)))</f>
        <v>P.3 (2)</v>
      </c>
      <c r="J68" s="16"/>
      <c r="K68" s="16" t="str">
        <f t="shared" ref="K68:K73" ca="1" si="222">IF(D68="Pendiente","-",INDEX($CE$6:$CE$53,MATCH($AA68,$BD$6:$BD$53,0)))</f>
        <v>-</v>
      </c>
      <c r="L68" s="16" t="str">
        <f t="shared" ref="L68:L73" ca="1" si="223">IF(D68="Pendiente","-",INDEX($CE$6:$CE$53,MATCH($AF68,$BD$6:$BD$53,0)))</f>
        <v>P.3 (2)</v>
      </c>
      <c r="M68" s="16"/>
      <c r="N68" s="16" t="str">
        <f t="shared" ref="N68:N73" ca="1" si="224">IF(D68="Pendiente","-",INDEX($CH$6:$CH$53,MATCH($AA68,$BD$6:$BD$53,0)))</f>
        <v>-</v>
      </c>
      <c r="O68" s="16" t="str">
        <f t="shared" ref="O68:O73" ca="1" si="225">IF(D68="Pendiente","-",INDEX($CH$6:$CH$53,MATCH($AF68,$BD$6:$BD$53,0)))</f>
        <v>P.3 (2)</v>
      </c>
      <c r="P68" s="16"/>
      <c r="Q68" s="16" t="str">
        <f t="shared" ref="Q68:Q73" ca="1" si="226">IF(D68="Pendiente","-",INDEX($CN$6:$CN$53,MATCH($AA68,$BD$6:$BD$53,0)))</f>
        <v>-</v>
      </c>
      <c r="R68" s="16" t="str">
        <f t="shared" ref="R68:R73" ca="1" si="227">IF(D68="Pendiente","-",INDEX($CN$6:$CN$53,MATCH($AF68,$BD$6:$BD$53,0)))</f>
        <v>P.3 (2)</v>
      </c>
      <c r="S68" s="16"/>
      <c r="T68" s="16" t="str">
        <f t="shared" ref="T68:T73" ca="1" si="228">IF(D68="Pendiente","-",INDEX($CS$6:$CS$53,MATCH($AA68,$BD$6:$BD$53,0)))</f>
        <v>-</v>
      </c>
      <c r="U68" s="16" t="str">
        <f t="shared" ref="U68:U73" ca="1" si="229">IF(D68="Pendiente","-",INDEX($CS$6:$CS$53,MATCH($AF68,$BD$6:$BD$53,0)))</f>
        <v>P.3 (2)</v>
      </c>
      <c r="V68" s="17"/>
      <c r="W68" s="654"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¡EMPATE! Puedes seleccionar el orden de los empatados.</v>
      </c>
      <c r="AW68" s="167"/>
      <c r="AX68" s="167"/>
      <c r="AY68" s="154"/>
      <c r="AZ68" s="155"/>
      <c r="BA68" s="17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0</v>
      </c>
      <c r="BK68" s="16">
        <f t="shared" ca="1" si="173"/>
        <v>3</v>
      </c>
      <c r="BL68" s="16">
        <f t="shared" ca="1" si="190"/>
        <v>-3</v>
      </c>
      <c r="BM68" s="16">
        <f t="shared" ca="1" si="191"/>
        <v>11</v>
      </c>
      <c r="BN68" s="16">
        <f t="shared" ca="1" si="192"/>
        <v>12</v>
      </c>
      <c r="BO68" s="16" t="str">
        <f t="shared" si="174"/>
        <v>4K</v>
      </c>
      <c r="BP68" s="16"/>
      <c r="BQ68" s="16"/>
      <c r="BR68" s="16">
        <f t="shared" ca="1" si="175"/>
        <v>1</v>
      </c>
      <c r="BS68" s="16">
        <f t="shared" ca="1" si="193"/>
        <v>10</v>
      </c>
      <c r="BT68" s="16" t="str">
        <f t="shared" ca="1" si="194"/>
        <v>Pos. 10 (3)</v>
      </c>
      <c r="BU68" s="16">
        <f t="shared" ca="1" si="176"/>
        <v>-3</v>
      </c>
      <c r="BV68" s="16">
        <f t="shared" ca="1" si="177"/>
        <v>11</v>
      </c>
      <c r="BW68" s="16" t="str">
        <f t="shared" ca="1" si="178"/>
        <v>Pos. 11 (2)</v>
      </c>
      <c r="BX68" s="16">
        <f t="shared" ca="1" si="179"/>
        <v>0</v>
      </c>
      <c r="BY68" s="16">
        <f t="shared" ca="1" si="180"/>
        <v>11</v>
      </c>
      <c r="BZ68" s="16" t="str">
        <f t="shared" ca="1" si="181"/>
        <v>Pos. 11 (2)</v>
      </c>
      <c r="CA68" s="16">
        <f t="shared" ca="1" si="182"/>
        <v>3</v>
      </c>
      <c r="CB68" s="16">
        <f t="shared" ca="1" si="195"/>
        <v>11</v>
      </c>
      <c r="CC68" s="16"/>
      <c r="CD68" s="16">
        <f t="shared" ca="1" si="183"/>
        <v>12.010999999999999</v>
      </c>
      <c r="CE68" s="16">
        <f t="shared" ca="1" si="196"/>
        <v>11</v>
      </c>
      <c r="CF68" s="16">
        <f t="shared" ca="1" si="197"/>
        <v>12</v>
      </c>
      <c r="DJ68" s="16">
        <f t="shared" ca="1" si="184"/>
        <v>11</v>
      </c>
      <c r="DK68" s="16"/>
      <c r="DL68" s="16">
        <f t="shared" ca="1" si="185"/>
        <v>2</v>
      </c>
      <c r="DM68" s="16" t="str">
        <f t="shared" ca="1" si="186"/>
        <v>11.2</v>
      </c>
      <c r="DN68" s="16" t="e" cm="1" vm="21">
        <f t="array" aca="1" ref="DN68" ca="1">OFFSET(Horarios!$P$3,DJ68-1,0,DL68,1)</f>
        <v>#VALUE!</v>
      </c>
      <c r="DO68" s="16"/>
      <c r="DP68" s="16">
        <v>11</v>
      </c>
      <c r="DQ68" s="16" t="str">
        <f t="shared" ca="1" si="198"/>
        <v>RD Congo</v>
      </c>
    </row>
    <row r="69" spans="1:121" ht="15.95" customHeight="1">
      <c r="A69" s="16" t="str">
        <f ca="1">+Equipos!B34</f>
        <v>Francia</v>
      </c>
      <c r="B69" s="16"/>
      <c r="C69" s="16"/>
      <c r="D69" s="16" t="str">
        <f t="shared" si="217"/>
        <v>Visitante</v>
      </c>
      <c r="E69" s="16" t="str">
        <f t="shared" ca="1" si="218"/>
        <v>P.3 (2)</v>
      </c>
      <c r="F69" s="16" t="str">
        <f t="shared" ca="1" si="219"/>
        <v>-</v>
      </c>
      <c r="G69" s="16"/>
      <c r="H69" s="16" t="str">
        <f t="shared" ca="1" si="220"/>
        <v>P.3 (2)</v>
      </c>
      <c r="I69" s="16" t="str">
        <f t="shared" ca="1" si="221"/>
        <v>-</v>
      </c>
      <c r="J69" s="16"/>
      <c r="K69" s="16" t="str">
        <f t="shared" ca="1" si="222"/>
        <v>P.3 (2)</v>
      </c>
      <c r="L69" s="16" t="str">
        <f t="shared" ca="1" si="223"/>
        <v>-</v>
      </c>
      <c r="M69" s="16"/>
      <c r="N69" s="16" t="str">
        <f t="shared" ca="1" si="224"/>
        <v>P.3 (2)</v>
      </c>
      <c r="O69" s="16" t="str">
        <f t="shared" ca="1" si="225"/>
        <v>-</v>
      </c>
      <c r="P69" s="16"/>
      <c r="Q69" s="16" t="str">
        <f t="shared" ca="1" si="226"/>
        <v>P.3 (2)</v>
      </c>
      <c r="R69" s="16" t="str">
        <f t="shared" ca="1" si="227"/>
        <v>-</v>
      </c>
      <c r="S69" s="16"/>
      <c r="T69" s="16" t="str">
        <f t="shared" ca="1" si="228"/>
        <v>P.3 (2)</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1</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2</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1</v>
      </c>
      <c r="BK69" s="16">
        <f t="shared" ca="1" si="173"/>
        <v>2</v>
      </c>
      <c r="BL69" s="16">
        <f t="shared" ca="1" si="190"/>
        <v>-1</v>
      </c>
      <c r="BM69" s="16">
        <f t="shared" ca="1" si="191"/>
        <v>3</v>
      </c>
      <c r="BN69" s="16">
        <f t="shared" ca="1" si="192"/>
        <v>4</v>
      </c>
      <c r="BO69" s="16" t="str">
        <f t="shared" si="174"/>
        <v>4L</v>
      </c>
      <c r="BP69" s="16"/>
      <c r="BQ69" s="16"/>
      <c r="BR69" s="16">
        <f t="shared" ca="1" si="175"/>
        <v>3</v>
      </c>
      <c r="BS69" s="16">
        <f t="shared" ca="1" si="193"/>
        <v>2</v>
      </c>
      <c r="BT69" s="16" t="str">
        <f t="shared" ca="1" si="194"/>
        <v>Pos. 2 (6)</v>
      </c>
      <c r="BU69" s="16">
        <f t="shared" ca="1" si="176"/>
        <v>-1</v>
      </c>
      <c r="BV69" s="16">
        <f t="shared" ca="1" si="177"/>
        <v>2</v>
      </c>
      <c r="BW69" s="16" t="str">
        <f t="shared" ca="1" si="178"/>
        <v>Pos. 2 (3)</v>
      </c>
      <c r="BX69" s="16">
        <f t="shared" ca="1" si="179"/>
        <v>1</v>
      </c>
      <c r="BY69" s="16">
        <f t="shared" ca="1" si="180"/>
        <v>3</v>
      </c>
      <c r="BZ69" s="16" t="str">
        <f t="shared" ca="1" si="181"/>
        <v>Pos. 3 (2)</v>
      </c>
      <c r="CA69" s="16">
        <f t="shared" ca="1" si="182"/>
        <v>6</v>
      </c>
      <c r="CB69" s="16">
        <f ca="1">BY69+COUNTIFS(BZ$58:BZ$69,BZ69,CA$58:CA$69,"&gt;"&amp;CA69)</f>
        <v>3</v>
      </c>
      <c r="CC69" s="16"/>
      <c r="CD69" s="16">
        <f t="shared" ca="1" si="183"/>
        <v>4.0030000000000001</v>
      </c>
      <c r="CE69" s="16">
        <f t="shared" ca="1" si="196"/>
        <v>3</v>
      </c>
      <c r="CF69" s="16">
        <f t="shared" ca="1" si="197"/>
        <v>4</v>
      </c>
      <c r="DJ69" s="16">
        <f t="shared" ca="1" si="184"/>
        <v>11</v>
      </c>
      <c r="DK69" s="16"/>
      <c r="DL69" s="16">
        <f t="shared" ca="1" si="185"/>
        <v>2</v>
      </c>
      <c r="DM69" s="16" t="str">
        <f t="shared" ca="1" si="186"/>
        <v>11.2</v>
      </c>
      <c r="DN69" s="16" cm="1">
        <f t="array" aca="1" ref="DN69:DN70" ca="1">OFFSET(Horarios!$P$3,DJ69-1,0,DL69,1)</f>
        <v>11</v>
      </c>
      <c r="DO69" s="16"/>
      <c r="DP69" s="16">
        <v>12</v>
      </c>
      <c r="DQ69" s="16" t="str">
        <f t="shared" ca="1" si="198"/>
        <v>Senegal</v>
      </c>
    </row>
    <row r="70" spans="1:121" ht="15.95" customHeight="1">
      <c r="A70" s="16" t="str">
        <f ca="1">+Equipos!B35</f>
        <v>Senegal</v>
      </c>
      <c r="B70" s="16"/>
      <c r="C70" s="16"/>
      <c r="D70" s="16" t="str">
        <f t="shared" si="217"/>
        <v>Local</v>
      </c>
      <c r="E70" s="16" t="str">
        <f t="shared" ca="1" si="218"/>
        <v>-</v>
      </c>
      <c r="F70" s="16" t="str">
        <f t="shared" ca="1" si="219"/>
        <v>P.3 (2)</v>
      </c>
      <c r="G70" s="16"/>
      <c r="H70" s="16" t="str">
        <f t="shared" ca="1" si="220"/>
        <v>-</v>
      </c>
      <c r="I70" s="16" t="str">
        <f t="shared" ca="1" si="221"/>
        <v>P.3 (2)</v>
      </c>
      <c r="J70" s="16"/>
      <c r="K70" s="16" t="str">
        <f t="shared" ca="1" si="222"/>
        <v>-</v>
      </c>
      <c r="L70" s="16" t="str">
        <f t="shared" ca="1" si="223"/>
        <v>P.3 (2)</v>
      </c>
      <c r="M70" s="16"/>
      <c r="N70" s="16" t="str">
        <f t="shared" ca="1" si="224"/>
        <v>-</v>
      </c>
      <c r="O70" s="16" t="str">
        <f t="shared" ca="1" si="225"/>
        <v>P.3 (2)</v>
      </c>
      <c r="P70" s="16"/>
      <c r="Q70" s="16" t="str">
        <f t="shared" ca="1" si="226"/>
        <v>-</v>
      </c>
      <c r="R70" s="16" t="str">
        <f t="shared" ca="1" si="227"/>
        <v>P.3 (2)</v>
      </c>
      <c r="S70" s="16"/>
      <c r="T70" s="16" t="str">
        <f t="shared" ca="1" si="228"/>
        <v>-</v>
      </c>
      <c r="U70" s="16" t="str">
        <f t="shared" ca="1" si="229"/>
        <v>P.3 (2)</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2</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5</v>
      </c>
      <c r="AS70" s="36">
        <f t="shared" ca="1" si="233"/>
        <v>0</v>
      </c>
      <c r="AT70" s="41">
        <f t="shared" ca="1" si="233"/>
        <v>5</v>
      </c>
      <c r="AU70" s="330">
        <f ca="1">INDEX($DL$6:$DL$53,MATCH(AI70,$DP$6:$DP$53,0))</f>
        <v>1</v>
      </c>
      <c r="AV70" s="182" t="str">
        <f ca="1">INDEX($BD$6:$BD$53,MATCH(AI70,$BM$6:$BM$53,0))</f>
        <v>Francia</v>
      </c>
      <c r="AW70" s="210"/>
      <c r="AX70" s="171"/>
      <c r="AY70" s="201" t="str">
        <f ca="1">+A69</f>
        <v>Francia</v>
      </c>
      <c r="AZ70" s="202"/>
      <c r="BA70" s="176"/>
      <c r="DN70" s="16">
        <f ca="1"/>
        <v>12</v>
      </c>
    </row>
    <row r="71" spans="1:121" ht="15.95" customHeight="1">
      <c r="A71" s="16" t="str">
        <f ca="1">+Equipos!B36</f>
        <v>Irak</v>
      </c>
      <c r="B71" s="16"/>
      <c r="C71" s="16"/>
      <c r="D71" s="16" t="str">
        <f t="shared" si="217"/>
        <v>Local</v>
      </c>
      <c r="E71" s="16" t="str">
        <f t="shared" ca="1" si="218"/>
        <v>-</v>
      </c>
      <c r="F71" s="16" t="str">
        <f t="shared" ca="1" si="219"/>
        <v>P.3 (2)</v>
      </c>
      <c r="G71" s="16"/>
      <c r="H71" s="16" t="str">
        <f t="shared" ca="1" si="220"/>
        <v>-</v>
      </c>
      <c r="I71" s="16" t="str">
        <f t="shared" ca="1" si="221"/>
        <v>P.3 (2)</v>
      </c>
      <c r="J71" s="16"/>
      <c r="K71" s="16" t="str">
        <f t="shared" ca="1" si="222"/>
        <v>-</v>
      </c>
      <c r="L71" s="16" t="str">
        <f t="shared" ca="1" si="223"/>
        <v>P.3 (2)</v>
      </c>
      <c r="M71" s="16"/>
      <c r="N71" s="16" t="str">
        <f t="shared" ca="1" si="224"/>
        <v>-</v>
      </c>
      <c r="O71" s="16" t="str">
        <f t="shared" ca="1" si="225"/>
        <v>P.3 (2)</v>
      </c>
      <c r="P71" s="16"/>
      <c r="Q71" s="16" t="str">
        <f t="shared" ca="1" si="226"/>
        <v>-</v>
      </c>
      <c r="R71" s="16" t="str">
        <f t="shared" ca="1" si="227"/>
        <v>P.3 (2)</v>
      </c>
      <c r="S71" s="16"/>
      <c r="T71" s="16" t="str">
        <f t="shared" ca="1" si="228"/>
        <v>-</v>
      </c>
      <c r="U71" s="16" t="str">
        <f t="shared" ca="1" si="229"/>
        <v>P.3 (2)</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0</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2</v>
      </c>
      <c r="AS71" s="39">
        <f t="shared" ca="1" si="233"/>
        <v>1</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0</v>
      </c>
      <c r="AD72" s="51">
        <v>1</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1</v>
      </c>
      <c r="AN72" s="39">
        <f t="shared" ca="1" si="233"/>
        <v>3</v>
      </c>
      <c r="AO72" s="39">
        <f t="shared" ca="1" si="233"/>
        <v>0</v>
      </c>
      <c r="AP72" s="39">
        <f t="shared" ca="1" si="233"/>
        <v>1</v>
      </c>
      <c r="AQ72" s="39">
        <f t="shared" ca="1" si="233"/>
        <v>2</v>
      </c>
      <c r="AR72" s="39">
        <f t="shared" ca="1" si="233"/>
        <v>0</v>
      </c>
      <c r="AS72" s="39">
        <f t="shared" ca="1" si="233"/>
        <v>3</v>
      </c>
      <c r="AT72" s="43">
        <f t="shared" ca="1" si="233"/>
        <v>-3</v>
      </c>
      <c r="AU72" s="330">
        <f ca="1">INDEX($DL$6:$DL$53,MATCH(AI72,$DP$6:$DP$53,0))</f>
        <v>2</v>
      </c>
      <c r="AV72" s="182" t="str">
        <f ca="1">INDEX($BD$6:$BD$53,MATCH(AI72,$BM$6:$BM$53,0))</f>
        <v>Senegal</v>
      </c>
      <c r="AW72" s="210">
        <v>3</v>
      </c>
      <c r="AX72" s="171"/>
      <c r="AY72" s="201" t="str">
        <f ca="1">+A71</f>
        <v>Irak</v>
      </c>
      <c r="AZ72" s="202"/>
      <c r="BA72" s="176"/>
      <c r="DN72" s="16"/>
    </row>
    <row r="73" spans="1:121" ht="15.95" customHeight="1" thickBot="1">
      <c r="A73" s="16"/>
      <c r="B73" s="16"/>
      <c r="C73" s="16"/>
      <c r="D73" s="16" t="str">
        <f t="shared" si="217"/>
        <v>Empate</v>
      </c>
      <c r="E73" s="16" t="str">
        <f t="shared" ca="1" si="218"/>
        <v>P.3 (2)</v>
      </c>
      <c r="F73" s="16" t="str">
        <f t="shared" ca="1" si="219"/>
        <v>P.3 (2)</v>
      </c>
      <c r="G73" s="16"/>
      <c r="H73" s="16" t="str">
        <f t="shared" ca="1" si="220"/>
        <v>P.3 (2)</v>
      </c>
      <c r="I73" s="16" t="str">
        <f t="shared" ca="1" si="221"/>
        <v>P.3 (2)</v>
      </c>
      <c r="J73" s="16"/>
      <c r="K73" s="16" t="str">
        <f t="shared" ca="1" si="222"/>
        <v>P.3 (2)</v>
      </c>
      <c r="L73" s="16" t="str">
        <f t="shared" ca="1" si="223"/>
        <v>P.3 (2)</v>
      </c>
      <c r="M73" s="16"/>
      <c r="N73" s="16" t="str">
        <f t="shared" ca="1" si="224"/>
        <v>P.3 (2)</v>
      </c>
      <c r="O73" s="16" t="str">
        <f t="shared" ca="1" si="225"/>
        <v>P.3 (2)</v>
      </c>
      <c r="P73" s="16"/>
      <c r="Q73" s="16" t="str">
        <f t="shared" ca="1" si="226"/>
        <v>P.3 (2)</v>
      </c>
      <c r="R73" s="16" t="str">
        <f t="shared" ca="1" si="227"/>
        <v>P.3 (2)</v>
      </c>
      <c r="S73" s="16"/>
      <c r="T73" s="16" t="str">
        <f t="shared" ca="1" si="228"/>
        <v>P.3 (2)</v>
      </c>
      <c r="U73" s="16" t="str">
        <f t="shared" ca="1" si="229"/>
        <v>P.3 (2)</v>
      </c>
      <c r="V73" s="17"/>
      <c r="W73" s="655"/>
      <c r="X73" s="28">
        <f ca="1">Horarios!C73</f>
        <v>46199.875</v>
      </c>
      <c r="Y73" s="29">
        <f ca="1">Horarios!C73</f>
        <v>46199.875</v>
      </c>
      <c r="Z73" s="30" t="str">
        <f>$Z$8</f>
        <v>J3</v>
      </c>
      <c r="AA73" s="31" t="str">
        <f ca="1">A70</f>
        <v>Senegal</v>
      </c>
      <c r="AB73" s="52" t="e" cm="1" vm="35">
        <f t="array" aca="1" ref="AB73" ca="1">Ver_flag_local</f>
        <v>#VALUE!</v>
      </c>
      <c r="AC73" s="53">
        <v>0</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1</v>
      </c>
      <c r="AN73" s="47">
        <f t="shared" ca="1" si="233"/>
        <v>3</v>
      </c>
      <c r="AO73" s="47">
        <f t="shared" ca="1" si="233"/>
        <v>0</v>
      </c>
      <c r="AP73" s="47">
        <f t="shared" ca="1" si="233"/>
        <v>1</v>
      </c>
      <c r="AQ73" s="47">
        <f t="shared" ca="1" si="233"/>
        <v>2</v>
      </c>
      <c r="AR73" s="47">
        <f t="shared" ca="1" si="233"/>
        <v>0</v>
      </c>
      <c r="AS73" s="47">
        <f t="shared" ca="1" si="233"/>
        <v>3</v>
      </c>
      <c r="AT73" s="48">
        <f t="shared" ca="1" si="233"/>
        <v>-3</v>
      </c>
      <c r="AU73" s="330">
        <f ca="1">INDEX($DL$6:$DL$53,MATCH(AI73,$DP$6:$DP$53,0))</f>
        <v>2</v>
      </c>
      <c r="AV73" s="182" t="str">
        <f ca="1">INDEX($BD$6:$BD$53,MATCH(AI73,$BM$6:$BM$53,0))</f>
        <v>Irak</v>
      </c>
      <c r="AW73" s="210">
        <v>4</v>
      </c>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50"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50"/>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1</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5</v>
      </c>
      <c r="AS78" s="36">
        <f t="shared" ca="1" si="251"/>
        <v>0</v>
      </c>
      <c r="AT78" s="41">
        <f t="shared" ca="1" si="251"/>
        <v>5</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Empate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0</v>
      </c>
      <c r="AD79" s="51">
        <v>0</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1</v>
      </c>
      <c r="AS79" s="39">
        <f t="shared" ca="1" si="251"/>
        <v>1</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0</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2</v>
      </c>
      <c r="AN80" s="39">
        <f t="shared" ca="1" si="251"/>
        <v>3</v>
      </c>
      <c r="AO80" s="39">
        <f t="shared" ca="1" si="251"/>
        <v>0</v>
      </c>
      <c r="AP80" s="39">
        <f t="shared" ca="1" si="251"/>
        <v>2</v>
      </c>
      <c r="AQ80" s="39">
        <f t="shared" ca="1" si="251"/>
        <v>1</v>
      </c>
      <c r="AR80" s="39">
        <f t="shared" ca="1" si="251"/>
        <v>0</v>
      </c>
      <c r="AS80" s="39">
        <f t="shared" ca="1" si="251"/>
        <v>2</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0</v>
      </c>
      <c r="AS81" s="47">
        <f t="shared" ca="1" si="251"/>
        <v>3</v>
      </c>
      <c r="AT81" s="48">
        <f t="shared" ca="1" si="251"/>
        <v>-3</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56"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¡EMPATE! Puedes seleccionar el orden de los empatados.</v>
      </c>
      <c r="AW84" s="167"/>
      <c r="AX84" s="167"/>
      <c r="AY84" s="154"/>
      <c r="AZ84" s="155"/>
      <c r="BA84" s="176"/>
      <c r="DN84" s="16"/>
    </row>
    <row r="85" spans="1:118" ht="15.9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1</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2</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5</v>
      </c>
      <c r="AS86" s="36">
        <f t="shared" ca="1" si="269"/>
        <v>0</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1</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2</v>
      </c>
      <c r="AS87" s="39">
        <f t="shared" ca="1" si="269"/>
        <v>1</v>
      </c>
      <c r="AT87" s="43">
        <f t="shared" ca="1" si="269"/>
        <v>1</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e" cm="1" vm="45">
        <f t="array" aca="1" ref="AB88" ca="1">Ver_flag_local</f>
        <v>#VALUE!</v>
      </c>
      <c r="AC88" s="50">
        <v>0</v>
      </c>
      <c r="AD88" s="51">
        <v>1</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0</v>
      </c>
      <c r="AS88" s="39">
        <f t="shared" ca="1" si="269"/>
        <v>3</v>
      </c>
      <c r="AT88" s="43">
        <f t="shared" ca="1" si="269"/>
        <v>-3</v>
      </c>
      <c r="AU88" s="330">
        <f ca="1">INDEX($DL$6:$DL$53,MATCH(AI88,$DP$6:$DP$53,0))</f>
        <v>2</v>
      </c>
      <c r="AV88" s="182" t="str">
        <f ca="1">INDEX($BD$6:$BD$53,MATCH(AI88,$BM$6:$BM$53,0))</f>
        <v>RD Congo</v>
      </c>
      <c r="AW88" s="210">
        <v>3</v>
      </c>
      <c r="AX88" s="171"/>
      <c r="AY88" s="201" t="str">
        <f ca="1">+A87</f>
        <v>Uzbekistán</v>
      </c>
      <c r="AZ88" s="202"/>
      <c r="BA88" s="17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e" cm="1" vm="43">
        <f t="array" aca="1" ref="AB89" ca="1">Ver_flag_local</f>
        <v>#VALUE!</v>
      </c>
      <c r="AC89" s="53">
        <v>0</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0</v>
      </c>
      <c r="AS89" s="47">
        <f t="shared" ca="1" si="269"/>
        <v>3</v>
      </c>
      <c r="AT89" s="48">
        <f t="shared" ca="1" si="269"/>
        <v>-3</v>
      </c>
      <c r="AU89" s="330">
        <f ca="1">INDEX($DL$6:$DL$53,MATCH(AI89,$DP$6:$DP$53,0))</f>
        <v>2</v>
      </c>
      <c r="AV89" s="182" t="str">
        <f ca="1">INDEX($BD$6:$BD$53,MATCH(AI89,$BM$6:$BM$53,0))</f>
        <v>Uzbekistán</v>
      </c>
      <c r="AW89" s="210">
        <v>4</v>
      </c>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52"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¡EMPATE! Puedes seleccionar el orden de los empatados.</v>
      </c>
      <c r="AW92" s="167"/>
      <c r="AX92" s="167"/>
      <c r="AY92" s="154"/>
      <c r="AZ92" s="155"/>
      <c r="BA92" s="17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1</v>
      </c>
      <c r="AD93" s="51">
        <v>0</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2</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3</v>
      </c>
      <c r="AS94" s="36">
        <f t="shared" ca="1" si="287"/>
        <v>1</v>
      </c>
      <c r="AT94" s="41">
        <f t="shared" ca="1" si="287"/>
        <v>2</v>
      </c>
      <c r="AU94" s="330">
        <f ca="1">INDEX($DL$6:$DL$53,MATCH(AI94,$DP$6:$DP$53,0))</f>
        <v>2</v>
      </c>
      <c r="AV94" s="182" t="str">
        <f ca="1">INDEX($BD$6:$BD$53,MATCH(AI94,$BM$6:$BM$53,0))</f>
        <v>Inglaterra</v>
      </c>
      <c r="AW94" s="210">
        <v>1</v>
      </c>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3</v>
      </c>
      <c r="AS95" s="39">
        <f t="shared" ca="1" si="287"/>
        <v>1</v>
      </c>
      <c r="AT95" s="43">
        <f t="shared" ca="1" si="287"/>
        <v>2</v>
      </c>
      <c r="AU95" s="330">
        <f ca="1">INDEX($DL$6:$DL$53,MATCH(AI95,$DP$6:$DP$53,0))</f>
        <v>2</v>
      </c>
      <c r="AV95" s="182" t="str">
        <f ca="1">INDEX($BD$6:$BD$53,MATCH(AI95,$BM$6:$BM$53,0))</f>
        <v>Croacia</v>
      </c>
      <c r="AW95" s="210">
        <v>2</v>
      </c>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1</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1</v>
      </c>
      <c r="AS96" s="39">
        <f t="shared" ca="1" si="287"/>
        <v>2</v>
      </c>
      <c r="AT96" s="43">
        <f t="shared" ca="1" si="287"/>
        <v>-1</v>
      </c>
      <c r="AU96" s="330">
        <f ca="1">INDEX($DL$6:$DL$53,MATCH(AI96,$DP$6:$DP$53,0))</f>
        <v>1</v>
      </c>
      <c r="AV96" s="182" t="str">
        <f ca="1">INDEX($BD$6:$BD$53,MATCH(AI96,$BM$6:$BM$53,0))</f>
        <v>Ghana</v>
      </c>
      <c r="AW96" s="210"/>
      <c r="AX96" s="171"/>
      <c r="AY96" s="201" t="str">
        <f ca="1">+A95</f>
        <v>Ghana</v>
      </c>
      <c r="AZ96" s="202"/>
      <c r="BA96" s="176"/>
    </row>
    <row r="97" spans="1:62" ht="15.9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1</v>
      </c>
      <c r="AD97" s="54">
        <v>0</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3</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Corea del Sur</v>
      </c>
      <c r="AB101" s="89"/>
      <c r="AC101" s="51">
        <v>1</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6</v>
      </c>
      <c r="AV101" s="188"/>
      <c r="AW101" s="214"/>
      <c r="AX101" s="214"/>
      <c r="AY101" s="335" t="str">
        <f ca="1">+IF(OR($H$113&gt;=48,$AJ$99=144),Idiomas!D68,"")</f>
        <v xml:space="preserve">Grupos mejores 3ºs: </v>
      </c>
      <c r="AZ101" s="336" t="str">
        <f ca="1">+IF(OR($H$113&gt;=48,$AJ$99=144),BI112,"")</f>
        <v>BCDEFGHL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e" cm="1" vm="14">
        <f t="array" aca="1" ref="AK102" ca="1">Ver_flag_visit</f>
        <v>#VALUE!</v>
      </c>
      <c r="AL102" s="81" t="str">
        <f t="shared" ref="AL102:AL113" ca="1" si="297">+IF($H$113&gt;=48,INDEX($BD$58:$BD$69,MATCH(AI102,$BN$58:$BN$69,0)),BB58)</f>
        <v>Paraguay</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2</v>
      </c>
      <c r="AS102" s="83">
        <f t="shared" ca="1" si="298"/>
        <v>2</v>
      </c>
      <c r="AT102" s="84">
        <f t="shared" ca="1" si="298"/>
        <v>0</v>
      </c>
      <c r="AU102" s="330">
        <f t="shared" ref="AU102:AU113" ca="1" si="299">IF($H$113=144,INDEX($DL$58:$DL$69,MATCH(AI102,$DP$58:$DP$69,0)),"")</f>
        <v>1</v>
      </c>
      <c r="AV102" s="182" t="str">
        <f t="shared" ref="AV102:AV113" ca="1" si="300">INDEX($BD$58:$BD$69,MATCH(AI102,$BM$58:$BM$69,0))</f>
        <v>Paraguay</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e" cm="1" vm="6">
        <f t="array" aca="1" ref="AK103" ca="1">Ver_flag_visit</f>
        <v>#VALUE!</v>
      </c>
      <c r="AL103" s="85" t="str">
        <f t="shared" ca="1" si="297"/>
        <v>Bosnia y Herzegovina</v>
      </c>
      <c r="AM103" s="589">
        <f t="shared" ref="AM103:AM113" ca="1" si="301">+IF($H$113&gt;=48,INDEX($BE$58:$BN$69,MATCH($AL103,$BD$58:$BD$69,0),MATCH(AM$5,$BE$57:$BN$57,0)),$BB59)</f>
        <v>3</v>
      </c>
      <c r="AN103" s="86">
        <f t="shared" ref="AN103:AT103" ca="1" si="302">+IF($H$113&gt;=48,INDEX($BE$58:$BN$69,MATCH($AL103,$BD$58:$BD$69,0),MATCH(AN$5,$BE$57:$BN$57,0)),$BB59)</f>
        <v>3</v>
      </c>
      <c r="AO103" s="86">
        <f t="shared" ca="1" si="302"/>
        <v>1</v>
      </c>
      <c r="AP103" s="86">
        <f t="shared" ca="1" si="302"/>
        <v>0</v>
      </c>
      <c r="AQ103" s="86">
        <f t="shared" ca="1" si="302"/>
        <v>2</v>
      </c>
      <c r="AR103" s="86">
        <f t="shared" ca="1" si="302"/>
        <v>2</v>
      </c>
      <c r="AS103" s="86">
        <f t="shared" ca="1" si="302"/>
        <v>3</v>
      </c>
      <c r="AT103" s="87">
        <f t="shared" ca="1" si="302"/>
        <v>-1</v>
      </c>
      <c r="AU103" s="330">
        <f t="shared" ca="1" si="299"/>
        <v>1</v>
      </c>
      <c r="AV103" s="182" t="str">
        <f t="shared" ca="1" si="300"/>
        <v>Bosnia y Herzegovina</v>
      </c>
      <c r="AW103" s="215"/>
      <c r="AX103" s="170"/>
      <c r="AY103" s="276"/>
      <c r="AZ103" s="279" t="str">
        <f t="shared" ref="AZ103:AZ110" ca="1" si="303">+IF(OR($H$113&gt;=48,$AJ$99=144),BF117&amp;" - "&amp;BG117,"")</f>
        <v>1A - 3C</v>
      </c>
      <c r="BA103" s="176"/>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5.9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v>4</v>
      </c>
      <c r="AC104" s="92">
        <v>1</v>
      </c>
      <c r="AD104" s="92">
        <v>1</v>
      </c>
      <c r="AE104" s="89">
        <v>5</v>
      </c>
      <c r="AF104" s="91" t="str">
        <f t="shared" ca="1" si="293"/>
        <v>Marruecos</v>
      </c>
      <c r="AG104" s="327">
        <f t="shared" ca="1" si="294"/>
        <v>1</v>
      </c>
      <c r="AH104" s="195">
        <v>75</v>
      </c>
      <c r="AI104" s="182">
        <v>3</v>
      </c>
      <c r="AJ104" s="42">
        <v>3</v>
      </c>
      <c r="AK104" s="602" t="e" cm="1" vm="24">
        <f t="array" aca="1" ref="AK104" ca="1">Ver_flag_visit</f>
        <v>#VALUE!</v>
      </c>
      <c r="AL104" s="85" t="str">
        <f t="shared" ca="1" si="297"/>
        <v>Suecia</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1</v>
      </c>
      <c r="AS104" s="86">
        <f t="shared" ca="1" si="307"/>
        <v>2</v>
      </c>
      <c r="AT104" s="87">
        <f t="shared" ca="1" si="307"/>
        <v>-1</v>
      </c>
      <c r="AU104" s="330">
        <f t="shared" ca="1" si="299"/>
        <v>2</v>
      </c>
      <c r="AV104" s="182" t="str">
        <f t="shared" ca="1" si="300"/>
        <v>Ghana</v>
      </c>
      <c r="AW104" s="215">
        <v>4</v>
      </c>
      <c r="AX104" s="170"/>
      <c r="AY104" s="276"/>
      <c r="AZ104" s="279" t="str">
        <f t="shared" ca="1" si="303"/>
        <v>1B - 3G</v>
      </c>
      <c r="BA104" s="176"/>
      <c r="BF104" t="str">
        <f t="shared" ca="1" si="304"/>
        <v>B</v>
      </c>
      <c r="BG104">
        <f t="shared" ca="1" si="305"/>
        <v>1</v>
      </c>
      <c r="BI104">
        <v>2</v>
      </c>
      <c r="BJ104" t="str">
        <f t="shared" ca="1" si="306"/>
        <v>C</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v>4</v>
      </c>
      <c r="AC105" s="92">
        <v>1</v>
      </c>
      <c r="AD105" s="92">
        <v>1</v>
      </c>
      <c r="AE105" s="89">
        <v>5</v>
      </c>
      <c r="AF105" s="91" t="str">
        <f t="shared" ca="1" si="293"/>
        <v>Noruega</v>
      </c>
      <c r="AG105" s="327">
        <f t="shared" ca="1" si="294"/>
        <v>1</v>
      </c>
      <c r="AH105" s="195">
        <v>78</v>
      </c>
      <c r="AI105" s="182">
        <v>4</v>
      </c>
      <c r="AJ105" s="42">
        <v>4</v>
      </c>
      <c r="AK105" s="602" t="e" cm="1" vm="48">
        <f t="array" aca="1" ref="AK105" ca="1">Ver_flag_visit</f>
        <v>#VALUE!</v>
      </c>
      <c r="AL105" s="85" t="str">
        <f t="shared" ca="1" si="297"/>
        <v>Ghana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1</v>
      </c>
      <c r="AS105" s="86">
        <f t="shared" ca="1" si="308"/>
        <v>2</v>
      </c>
      <c r="AT105" s="87">
        <f t="shared" ca="1" si="308"/>
        <v>-1</v>
      </c>
      <c r="AU105" s="330">
        <f t="shared" ca="1" si="299"/>
        <v>2</v>
      </c>
      <c r="AV105" s="182" t="str">
        <f t="shared" ca="1" si="300"/>
        <v>Suecia</v>
      </c>
      <c r="AW105" s="215">
        <v>3</v>
      </c>
      <c r="AX105" s="170"/>
      <c r="AY105" s="276"/>
      <c r="AZ105" s="279" t="str">
        <f t="shared" ca="1" si="303"/>
        <v>1D - 3B</v>
      </c>
      <c r="BA105" s="176"/>
      <c r="BF105" t="str">
        <f t="shared" ca="1" si="304"/>
        <v>F</v>
      </c>
      <c r="BG105">
        <f t="shared" ca="1" si="305"/>
        <v>5</v>
      </c>
      <c r="BI105">
        <v>3</v>
      </c>
      <c r="BJ105" t="str">
        <f t="shared" ca="1" si="306"/>
        <v>D</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Suecia</v>
      </c>
      <c r="AG106" s="327">
        <f t="shared" ca="1" si="294"/>
        <v>1</v>
      </c>
      <c r="AH106" s="195">
        <v>77</v>
      </c>
      <c r="AI106" s="182">
        <v>5</v>
      </c>
      <c r="AJ106" s="42">
        <v>5</v>
      </c>
      <c r="AK106" s="602" t="e" cm="1" vm="19">
        <f t="array" aca="1" ref="AK106" ca="1">Ver_flag_visit</f>
        <v>#VALUE!</v>
      </c>
      <c r="AL106" s="85" t="str">
        <f t="shared" ca="1" si="297"/>
        <v>Costa de Marfil</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1</v>
      </c>
      <c r="AS106" s="86">
        <f t="shared" ca="1" si="309"/>
        <v>3</v>
      </c>
      <c r="AT106" s="87">
        <f t="shared" ca="1" si="309"/>
        <v>-2</v>
      </c>
      <c r="AU106" s="330">
        <f t="shared" ca="1" si="299"/>
        <v>2</v>
      </c>
      <c r="AV106" s="182" t="str">
        <f t="shared" ca="1" si="300"/>
        <v>Arabia Saudita</v>
      </c>
      <c r="AW106" s="215">
        <v>6</v>
      </c>
      <c r="AX106" s="170"/>
      <c r="AY106" s="276"/>
      <c r="AZ106" s="279" t="str">
        <f t="shared" ca="1" si="303"/>
        <v>1E - 3D</v>
      </c>
      <c r="BA106" s="176"/>
      <c r="BF106" t="str">
        <f t="shared" ca="1" si="304"/>
        <v>L</v>
      </c>
      <c r="BG106">
        <f t="shared" ca="1" si="305"/>
        <v>8</v>
      </c>
      <c r="BI106">
        <v>4</v>
      </c>
      <c r="BJ106" t="str">
        <f t="shared" ca="1" si="306"/>
        <v>E</v>
      </c>
    </row>
    <row r="107" spans="1:62" ht="15.95" customHeight="1">
      <c r="A107" s="16" t="s">
        <v>656</v>
      </c>
      <c r="B107" s="16" t="s">
        <v>735</v>
      </c>
      <c r="C107" s="16"/>
      <c r="D107" s="16" t="str">
        <f t="shared" ca="1" si="289"/>
        <v>México</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58"/>
      <c r="X107" s="24">
        <f ca="1">Horarios!C107</f>
        <v>46204.125</v>
      </c>
      <c r="Y107" s="25">
        <f ca="1">Horarios!C107</f>
        <v>46204.125</v>
      </c>
      <c r="Z107" s="280">
        <f t="shared" si="296"/>
        <v>79</v>
      </c>
      <c r="AA107" s="88" t="str">
        <f t="shared" ca="1" si="292"/>
        <v>México</v>
      </c>
      <c r="AB107" s="89"/>
      <c r="AC107" s="92">
        <v>1</v>
      </c>
      <c r="AD107" s="92">
        <v>0</v>
      </c>
      <c r="AE107" s="89"/>
      <c r="AF107" s="91" t="str">
        <f t="shared" ca="1" si="293"/>
        <v>Escocia</v>
      </c>
      <c r="AG107" s="327">
        <f t="shared" ca="1" si="294"/>
        <v>1</v>
      </c>
      <c r="AH107" s="195">
        <v>79</v>
      </c>
      <c r="AI107" s="182">
        <v>6</v>
      </c>
      <c r="AJ107" s="42">
        <v>6</v>
      </c>
      <c r="AK107" s="602" t="e" cm="1" vm="32">
        <f t="array" aca="1" ref="AK107" ca="1">Ver_flag_visit</f>
        <v>#VALUE!</v>
      </c>
      <c r="AL107" s="85" t="str">
        <f t="shared" ca="1" si="297"/>
        <v>Arabia Saudita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1</v>
      </c>
      <c r="AS107" s="86">
        <f t="shared" ca="1" si="310"/>
        <v>3</v>
      </c>
      <c r="AT107" s="87">
        <f t="shared" ca="1" si="310"/>
        <v>-2</v>
      </c>
      <c r="AU107" s="330">
        <f t="shared" ca="1" si="299"/>
        <v>2</v>
      </c>
      <c r="AV107" s="182" t="str">
        <f ca="1">INDEX($BD$58:$BD$69,MATCH(AI107,$BM$58:$BM$69,0))</f>
        <v>Costa de Marfil</v>
      </c>
      <c r="AW107" s="215">
        <v>5</v>
      </c>
      <c r="AX107" s="170"/>
      <c r="AY107" s="276"/>
      <c r="AZ107" s="279" t="str">
        <f t="shared" ca="1" si="303"/>
        <v>1G - 3H</v>
      </c>
      <c r="BA107" s="176"/>
      <c r="BF107" t="str">
        <f t="shared" ca="1" si="304"/>
        <v>E</v>
      </c>
      <c r="BG107">
        <f t="shared" ca="1" si="305"/>
        <v>4</v>
      </c>
      <c r="BI107">
        <v>5</v>
      </c>
      <c r="BJ107" t="str">
        <f t="shared" ca="1" si="306"/>
        <v>F</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Costa de Marfil</v>
      </c>
      <c r="AG108" s="327">
        <f t="shared" ca="1" si="294"/>
        <v>1</v>
      </c>
      <c r="AH108" s="195">
        <v>80</v>
      </c>
      <c r="AI108" s="182">
        <v>7</v>
      </c>
      <c r="AJ108" s="42">
        <v>7</v>
      </c>
      <c r="AK108" s="602" t="e" cm="1" vm="12">
        <f t="array" aca="1" ref="AK108" ca="1">Ver_flag_visit</f>
        <v>#VALUE!</v>
      </c>
      <c r="AL108" s="85" t="str">
        <f t="shared" ca="1" si="297"/>
        <v>Escocia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1</v>
      </c>
      <c r="AS108" s="86">
        <f t="shared" ca="1" si="311"/>
        <v>4</v>
      </c>
      <c r="AT108" s="87">
        <f t="shared" ca="1" si="311"/>
        <v>-3</v>
      </c>
      <c r="AU108" s="330">
        <f t="shared" ca="1" si="299"/>
        <v>1</v>
      </c>
      <c r="AV108" s="182" t="str">
        <f t="shared" ca="1" si="300"/>
        <v>Escocia</v>
      </c>
      <c r="AW108" s="215"/>
      <c r="AX108" s="170"/>
      <c r="AY108" s="276"/>
      <c r="AZ108" s="279" t="str">
        <f t="shared" ca="1" si="303"/>
        <v>1I - 3F</v>
      </c>
      <c r="BA108" s="176"/>
      <c r="BF108" t="str">
        <f t="shared" ca="1" si="304"/>
        <v>H</v>
      </c>
      <c r="BG108">
        <f t="shared" ca="1" si="305"/>
        <v>7</v>
      </c>
      <c r="BI108">
        <v>6</v>
      </c>
      <c r="BJ108" t="str">
        <f t="shared" ca="1" si="306"/>
        <v>G</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Arabia Saudita</v>
      </c>
      <c r="AG109" s="327">
        <f t="shared" ca="1" si="294"/>
        <v>1</v>
      </c>
      <c r="AH109" s="195">
        <v>82</v>
      </c>
      <c r="AI109" s="182">
        <v>8</v>
      </c>
      <c r="AJ109" s="42">
        <v>8</v>
      </c>
      <c r="AK109" s="602" t="e" cm="1" vm="28">
        <f t="array" aca="1" ref="AK109" ca="1">Ver_flag_visit</f>
        <v>#VALUE!</v>
      </c>
      <c r="AL109" s="85" t="str">
        <f t="shared" ca="1" si="297"/>
        <v>Irán</v>
      </c>
      <c r="AM109" s="589">
        <f t="shared" ca="1" si="301"/>
        <v>2</v>
      </c>
      <c r="AN109" s="86">
        <f t="shared" ref="AN109:AT109" ca="1" si="312">+IF($H$113&gt;=48,INDEX($BE$58:$BN$69,MATCH($AL109,$BD$58:$BD$69,0),MATCH(AN$5,$BE$57:$BN$57,0)),$BB65)</f>
        <v>3</v>
      </c>
      <c r="AO109" s="86">
        <f t="shared" ca="1" si="312"/>
        <v>0</v>
      </c>
      <c r="AP109" s="86">
        <f t="shared" ca="1" si="312"/>
        <v>2</v>
      </c>
      <c r="AQ109" s="86">
        <f t="shared" ca="1" si="312"/>
        <v>1</v>
      </c>
      <c r="AR109" s="86">
        <f t="shared" ca="1" si="312"/>
        <v>0</v>
      </c>
      <c r="AS109" s="86">
        <f t="shared" ca="1" si="312"/>
        <v>1</v>
      </c>
      <c r="AT109" s="87">
        <f t="shared" ca="1" si="312"/>
        <v>-1</v>
      </c>
      <c r="AU109" s="330">
        <f t="shared" ca="1" si="299"/>
        <v>1</v>
      </c>
      <c r="AV109" s="182" t="str">
        <f t="shared" ca="1" si="300"/>
        <v>Irán</v>
      </c>
      <c r="AW109" s="215"/>
      <c r="AX109" s="170"/>
      <c r="AY109" s="276"/>
      <c r="AZ109" s="279" t="str">
        <f t="shared" ca="1" si="303"/>
        <v>1K - 3L</v>
      </c>
      <c r="BA109" s="176"/>
      <c r="BF109" t="str">
        <f t="shared" ca="1" si="304"/>
        <v>C</v>
      </c>
      <c r="BG109">
        <f t="shared" ca="1" si="305"/>
        <v>2</v>
      </c>
      <c r="BI109">
        <v>7</v>
      </c>
      <c r="BJ109" t="str">
        <f t="shared" ca="1" si="306"/>
        <v>H</v>
      </c>
    </row>
    <row r="110" spans="1:62" ht="15.95" customHeight="1">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Estados Unidos</v>
      </c>
      <c r="AB110" s="89"/>
      <c r="AC110" s="92">
        <v>1</v>
      </c>
      <c r="AD110" s="92">
        <v>0</v>
      </c>
      <c r="AE110" s="89"/>
      <c r="AF110" s="91" t="str">
        <f t="shared" ca="1" si="293"/>
        <v>Bosnia y Herzegovina</v>
      </c>
      <c r="AG110" s="327">
        <f t="shared" ca="1" si="294"/>
        <v>1</v>
      </c>
      <c r="AH110" s="195">
        <v>81</v>
      </c>
      <c r="AI110" s="182">
        <v>9</v>
      </c>
      <c r="AJ110" s="42">
        <v>9</v>
      </c>
      <c r="AK110" s="602" t="e" cm="1" vm="39">
        <f t="array" aca="1" ref="AK110" ca="1">Ver_flag_visit</f>
        <v>#VALUE!</v>
      </c>
      <c r="AL110" s="85" t="str">
        <f t="shared" ca="1" si="297"/>
        <v>Argelia</v>
      </c>
      <c r="AM110" s="589">
        <f t="shared" ca="1" si="301"/>
        <v>2</v>
      </c>
      <c r="AN110" s="86">
        <f t="shared" ref="AN110:AT110" ca="1" si="313">+IF($H$113&gt;=48,INDEX($BE$58:$BN$69,MATCH($AL110,$BD$58:$BD$69,0),MATCH(AN$5,$BE$57:$BN$57,0)),$BB66)</f>
        <v>3</v>
      </c>
      <c r="AO110" s="86">
        <f t="shared" ca="1" si="313"/>
        <v>0</v>
      </c>
      <c r="AP110" s="86">
        <f t="shared" ca="1" si="313"/>
        <v>2</v>
      </c>
      <c r="AQ110" s="86">
        <f t="shared" ca="1" si="313"/>
        <v>1</v>
      </c>
      <c r="AR110" s="86">
        <f t="shared" ca="1" si="313"/>
        <v>0</v>
      </c>
      <c r="AS110" s="86">
        <f t="shared" ca="1" si="313"/>
        <v>2</v>
      </c>
      <c r="AT110" s="87">
        <f t="shared" ca="1" si="313"/>
        <v>-2</v>
      </c>
      <c r="AU110" s="330">
        <f t="shared" ca="1" si="299"/>
        <v>1</v>
      </c>
      <c r="AV110" s="182" t="str">
        <f t="shared" ca="1" si="300"/>
        <v>Argelia</v>
      </c>
      <c r="AW110" s="215"/>
      <c r="AX110" s="170"/>
      <c r="AY110" s="276"/>
      <c r="AZ110" s="279" t="str">
        <f t="shared" ca="1" si="303"/>
        <v>1L - 3E</v>
      </c>
      <c r="BA110" s="176"/>
      <c r="BF110" t="str">
        <f t="shared" ca="1" si="304"/>
        <v>G</v>
      </c>
      <c r="BG110">
        <f t="shared" ca="1" si="305"/>
        <v>6</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4">
        <f t="array" aca="1" ref="AK111" ca="1">Ver_flag_visit</f>
        <v>#VALUE!</v>
      </c>
      <c r="AL111" s="85" t="str">
        <f t="shared" ca="1" si="297"/>
        <v>República Checa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2</v>
      </c>
      <c r="AS111" s="86">
        <f t="shared" ca="1" si="314"/>
        <v>4</v>
      </c>
      <c r="AT111" s="87">
        <f t="shared" ca="1" si="314"/>
        <v>-2</v>
      </c>
      <c r="AU111" s="330">
        <f t="shared" ca="1" si="299"/>
        <v>1</v>
      </c>
      <c r="AV111" s="182" t="str">
        <f t="shared" ca="1" si="300"/>
        <v>República Checa</v>
      </c>
      <c r="AW111" s="215"/>
      <c r="AX111" s="170"/>
      <c r="AY111" s="275"/>
      <c r="AZ111" s="275"/>
      <c r="BA111" s="176"/>
      <c r="BI111" t="s">
        <v>87</v>
      </c>
    </row>
    <row r="112" spans="1:62" ht="15.95" customHeight="1">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0</v>
      </c>
      <c r="AD112" s="92">
        <v>1</v>
      </c>
      <c r="AE112" s="89"/>
      <c r="AF112" s="91" t="str">
        <f t="shared" ca="1" si="293"/>
        <v>Croacia</v>
      </c>
      <c r="AG112" s="327">
        <f t="shared" ca="1" si="294"/>
        <v>1</v>
      </c>
      <c r="AH112" s="195">
        <v>83</v>
      </c>
      <c r="AI112" s="182">
        <v>11</v>
      </c>
      <c r="AJ112" s="42">
        <v>11</v>
      </c>
      <c r="AK112" s="602" t="e" cm="1" vm="35">
        <f t="array" aca="1" ref="AK112" ca="1">Ver_flag_visit</f>
        <v>#VALUE!</v>
      </c>
      <c r="AL112" s="85" t="str">
        <f t="shared" ca="1" si="297"/>
        <v>Senegal</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0</v>
      </c>
      <c r="AS112" s="86">
        <f t="shared" ca="1" si="315"/>
        <v>3</v>
      </c>
      <c r="AT112" s="87">
        <f t="shared" ca="1" si="315"/>
        <v>-3</v>
      </c>
      <c r="AU112" s="330">
        <f t="shared" ca="1" si="299"/>
        <v>2</v>
      </c>
      <c r="AV112" s="182" t="str">
        <f t="shared" ca="1" si="300"/>
        <v>RD Congo</v>
      </c>
      <c r="AW112" s="215">
        <v>12</v>
      </c>
      <c r="AX112" s="170"/>
      <c r="AY112" s="275"/>
      <c r="AZ112" s="275"/>
      <c r="BA112" s="176"/>
      <c r="BI112" t="str">
        <f ca="1">IFERROR(CONCATENATE(BJ103,BJ104,BJ105,BJ106,BJ107,BJ108,BJ109,BJ110),"¿A/B/C/D/E/F/G/H/I/J/K/L?")</f>
        <v>BCDEFGHL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v>5</v>
      </c>
      <c r="AC113" s="92">
        <v>0</v>
      </c>
      <c r="AD113" s="92">
        <v>0</v>
      </c>
      <c r="AE113" s="90">
        <v>4</v>
      </c>
      <c r="AF113" s="91" t="str">
        <f t="shared" ca="1" si="293"/>
        <v>Irán</v>
      </c>
      <c r="AG113" s="327">
        <f t="shared" ca="1" si="294"/>
        <v>1</v>
      </c>
      <c r="AH113" s="195">
        <v>85</v>
      </c>
      <c r="AI113" s="182">
        <v>12</v>
      </c>
      <c r="AJ113" s="44">
        <v>12</v>
      </c>
      <c r="AK113" s="604" t="e" cm="1" vm="43">
        <f t="array" aca="1" ref="AK113" ca="1">Ver_flag_visit</f>
        <v>#VALUE!</v>
      </c>
      <c r="AL113" s="45" t="str">
        <f t="shared" ca="1" si="297"/>
        <v>RD Congo</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30">
        <f t="shared" ca="1" si="299"/>
        <v>2</v>
      </c>
      <c r="AV113" s="182" t="str">
        <f t="shared" ca="1" si="300"/>
        <v>Senegal</v>
      </c>
      <c r="AW113" s="215">
        <v>11</v>
      </c>
      <c r="AX113" s="170"/>
      <c r="AY113" s="154"/>
      <c r="AZ113" s="155"/>
      <c r="BA113" s="176"/>
    </row>
    <row r="114" spans="1:59" ht="15.95" customHeight="1">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0</v>
      </c>
      <c r="AD120" s="96">
        <v>1</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Corea del Sur</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v>4</v>
      </c>
      <c r="AC121" s="97">
        <v>1</v>
      </c>
      <c r="AD121" s="97">
        <v>1</v>
      </c>
      <c r="AE121" s="89">
        <v>5</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3H</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México</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México</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Croacia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3E</v>
      </c>
    </row>
    <row r="125" spans="1:59" ht="15.9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Estados Unidos</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1</v>
      </c>
      <c r="AD131" s="96">
        <v>0</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v>5</v>
      </c>
      <c r="AC133" s="99">
        <v>1</v>
      </c>
      <c r="AD133" s="99">
        <v>1</v>
      </c>
      <c r="AE133" s="89">
        <v>4</v>
      </c>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Brasil</v>
      </c>
      <c r="N139" s="16" t="str">
        <f ca="1">+INDEX($D$101:$D$147,MATCH(F139,$AH$101:$AH$147,0))</f>
        <v>Argentina</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Brasil</v>
      </c>
      <c r="AB139" s="140"/>
      <c r="AC139" s="100">
        <v>1</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Brasil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v>4</v>
      </c>
      <c r="AC143" s="105">
        <v>1</v>
      </c>
      <c r="AD143" s="105">
        <v>0</v>
      </c>
      <c r="AE143" s="216">
        <v>5</v>
      </c>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727</v>
      </c>
      <c r="M147" s="16" t="str">
        <f ca="1">+INDEX($D$101:$D$147,MATCH(E147,$AH$101:$AH$147,0))</f>
        <v>España</v>
      </c>
      <c r="N147" s="16" t="str">
        <f ca="1">+INDEX($D$101:$D$147,MATCH(F147,$AH$101:$AH$147,0))</f>
        <v>Brasil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Brasil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Brasil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1518</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2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Aquiles Castro FC</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1|1-0</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2|0-2</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1|3-0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2|0-1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1|1-0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1|1-0</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1|1-0</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2|0-1</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2|0-1</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1|2-0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1|2-0</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2|0-1</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X|1-1</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X|0-0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1|2-1</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X|0-0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1|2-0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1|1-0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1|1-0</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1|2-0</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2|0-2</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1|1-0</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1|2-0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1|1-0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1|1-0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X|0-0</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1|1-0</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2|1-2</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1|1-0</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2|1-2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2|0-1</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1|1-0</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X|0-0</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2|0-1</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2|0-1</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X|0-0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X|0-0</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2|0-1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X|0-0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2|0-1</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1|1-0</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Escocia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Costa de Marfil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Arabia Saudita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Sur-Canadá·1|1-0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Ecuador-Noruega·X|1-1</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Francia-Suecia·1|2-1</v>
      </c>
      <c r="D169" s="692"/>
      <c r="E169" s="370"/>
      <c r="F169" s="370"/>
      <c r="G169" s="370"/>
      <c r="H169" s="370"/>
      <c r="I169" s="352"/>
      <c r="J169" s="370"/>
      <c r="K169" s="370"/>
      <c r="L169" s="370"/>
      <c r="M169" s="386"/>
      <c r="N169" s="377"/>
    </row>
    <row r="170" spans="1:14" ht="15" customHeight="1">
      <c r="A170" s="690"/>
      <c r="B170" s="360" t="str">
        <f ca="1">CONCATENATE(WORLDCUP!AA107,"-",WORLDCUP!AF107)</f>
        <v>México-Escocia</v>
      </c>
      <c r="C170" s="349" t="str">
        <f ca="1">CONCATENATE(WORLDCUP!AA107,"-",WORLDCUP!AF107,"·",IF(WORLDCUP!AC107&gt;WORLDCUP!AD107,1,IF(WORLDCUP!AC107&lt;WORLDCUP!AD107,2,IF(AND(WORLDCUP!AC107=WORLDCUP!AD107,WORLDCUP!AC107&lt;&gt;"",WORLDCUP!AD107&lt;&gt;""),"X",0))),"|",WORLDCUP!AC107,"-",WORLDCUP!AD107)</f>
        <v>México-Escocia·1|1-0</v>
      </c>
      <c r="D170" s="692"/>
      <c r="E170" s="370"/>
      <c r="F170" s="370"/>
      <c r="G170" s="370"/>
      <c r="H170" s="370"/>
      <c r="I170" s="352"/>
      <c r="J170" s="370"/>
      <c r="K170" s="370"/>
      <c r="L170" s="370"/>
      <c r="M170" s="386"/>
      <c r="N170" s="377"/>
    </row>
    <row r="171" spans="1:14" ht="15" customHeight="1">
      <c r="A171" s="690"/>
      <c r="B171" s="360" t="str">
        <f ca="1">CONCATENATE(WORLDCUP!AA108,"-",WORLDCUP!AF108)</f>
        <v>Inglaterra-Costa de Marfil</v>
      </c>
      <c r="C171" s="349" t="str">
        <f ca="1">CONCATENATE(WORLDCUP!AA108,"-",WORLDCUP!AF108,"·",IF(WORLDCUP!AC108&gt;WORLDCUP!AD108,1,IF(WORLDCUP!AC108&lt;WORLDCUP!AD108,2,IF(AND(WORLDCUP!AC108=WORLDCUP!AD108,WORLDCUP!AC108&lt;&gt;"",WORLDCUP!AD108&lt;&gt;""),"X",0))),"|",WORLDCUP!AC108,"-",WORLDCUP!AD108)</f>
        <v>Inglaterra-Costa de Marfil·1|2-0</v>
      </c>
      <c r="D171" s="692"/>
      <c r="E171" s="370"/>
      <c r="F171" s="370"/>
      <c r="G171" s="370"/>
      <c r="H171" s="370"/>
      <c r="I171" s="352"/>
      <c r="J171" s="370"/>
      <c r="K171" s="370"/>
      <c r="L171" s="370"/>
      <c r="M171" s="386"/>
      <c r="N171" s="377"/>
    </row>
    <row r="172" spans="1:14" ht="15" customHeight="1">
      <c r="A172" s="690"/>
      <c r="B172" s="360" t="str">
        <f ca="1">CONCATENATE(WORLDCUP!AA109,"-",WORLDCUP!AF109)</f>
        <v>Bélgica-Arabia Saudita</v>
      </c>
      <c r="C172" s="349" t="str">
        <f ca="1">CONCATENATE(WORLDCUP!AA109,"-",WORLDCUP!AF109,"·",IF(WORLDCUP!AC109&gt;WORLDCUP!AD109,1,IF(WORLDCUP!AC109&lt;WORLDCUP!AD109,2,IF(AND(WORLDCUP!AC109=WORLDCUP!AD109,WORLDCUP!AC109&lt;&gt;"",WORLDCUP!AD109&lt;&gt;""),"X",0))),"|",WORLDCUP!AC109,"-",WORLDCUP!AD109)</f>
        <v>Bélgica-Arabia Saudita·1|2-0</v>
      </c>
      <c r="D172" s="692"/>
      <c r="E172" s="370"/>
      <c r="F172" s="370"/>
      <c r="G172" s="370"/>
      <c r="H172" s="370"/>
      <c r="I172" s="352"/>
      <c r="J172" s="370"/>
      <c r="K172" s="370"/>
      <c r="L172" s="370"/>
      <c r="M172" s="386"/>
      <c r="N172" s="377"/>
    </row>
    <row r="173" spans="1:14" ht="15" customHeight="1">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Colombia-Croacia·2|0-1</v>
      </c>
      <c r="D175" s="692"/>
      <c r="E175" s="370"/>
      <c r="F175" s="370"/>
      <c r="G175" s="370"/>
      <c r="H175" s="370"/>
      <c r="I175" s="352"/>
      <c r="J175" s="370"/>
      <c r="K175" s="370"/>
      <c r="L175" s="370"/>
      <c r="M175" s="386"/>
      <c r="N175" s="377"/>
    </row>
    <row r="176" spans="1:14" ht="15" customHeight="1">
      <c r="A176" s="690"/>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Suiza-Irán·X|0-0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Turquía-Egipto·2|0-1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Sur-Marruecos</v>
      </c>
      <c r="C200" s="351" t="str">
        <f ca="1">CONCATENATE(WORLDCUP!AA120,"-",WORLDCUP!AF120,"·",IF(WORLDCUP!AC120&gt;WORLDCUP!AD120,1,IF(WORLDCUP!AC120&lt;WORLDCUP!AD120,2,IF(AND(WORLDCUP!AC120=WORLDCUP!AD120,WORLDCUP!AC120&lt;&gt;"",WORLDCUP!AD120&lt;&gt;""),"X",0))),"|",WORLDCUP!AC120,"-",WORLDCUP!AD120)</f>
        <v>Corea del Sur-Marruecos·2|0-1</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México-Inglaterra·2|0-1</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Croacia-España·2|0-1</v>
      </c>
      <c r="D204" s="691"/>
      <c r="E204" s="352"/>
      <c r="F204" s="352"/>
      <c r="G204" s="352"/>
      <c r="H204" s="352"/>
      <c r="I204" s="352"/>
      <c r="J204" s="370"/>
      <c r="K204" s="370"/>
      <c r="L204" s="370"/>
      <c r="M204" s="386"/>
      <c r="N204" s="377"/>
    </row>
    <row r="205" spans="1:14" ht="15" customHeight="1">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Unidos-Bélgica·2|0-1</v>
      </c>
      <c r="D205" s="691"/>
      <c r="E205" s="352"/>
      <c r="F205" s="352"/>
      <c r="G205" s="352"/>
      <c r="H205" s="352"/>
      <c r="I205" s="352"/>
      <c r="J205" s="370"/>
      <c r="K205" s="370"/>
      <c r="L205" s="370"/>
      <c r="M205" s="386"/>
      <c r="N205" s="377"/>
    </row>
    <row r="206" spans="1:14" ht="15" customHeight="1">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Francia-Marruecos·1|1-0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Brasil-Inglaterra·X|1-1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Argentina-Portugal·1|1-0</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Brasil</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Brasil-Argentina</v>
      </c>
      <c r="C233" s="351" t="str">
        <f ca="1">CONCATENATE(WORLDCUP!AA139,"-",WORLDCUP!AF139,"·",IF(WORLDCUP!AC139&gt;WORLDCUP!AD139,1,IF(WORLDCUP!AC139&lt;WORLDCUP!AD139,2,IF(AND(WORLDCUP!AC139=WORLDCUP!AD139,WORLDCUP!AC139&lt;&gt;"",WORLDCUP!AD139&lt;&gt;""),"X",0))),"|",WORLDCUP!AC139,"-",WORLDCUP!AD139)</f>
        <v>Brasil-Argentina·1|1-0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Brasil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Francia-Argentina</v>
      </c>
      <c r="C244" s="349" t="str">
        <f ca="1">CONCATENATE(WORLDCUP!AA143,"-",WORLDCUP!AF143,"·",IF(WORLDCUP!AC143&gt;WORLDCUP!AD143,1,IF(WORLDCUP!AC143&lt;WORLDCUP!AD143,2,IF(AND(WORLDCUP!AC143=WORLDCUP!AD143,WORLDCUP!AC143&lt;&gt;"",WORLDCUP!AD143&lt;&gt;""),"X",0))),"|",WORLDCUP!AC143,"-",WORLDCUP!AD143)</f>
        <v>Francia-Argentina·1|1-0</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España-Brasil</v>
      </c>
      <c r="C247" s="351" t="str">
        <f ca="1">CONCATENATE(WORLDCUP!AA147,"-",WORLDCUP!AF147,"·",IF(WORLDCUP!AC147&gt;WORLDCUP!AD147,1,IF(WORLDCUP!AC147&lt;WORLDCUP!AD147,2,IF(AND(WORLDCUP!AC147=WORLDCUP!AD147,WORLDCUP!AC147&lt;&gt;"",WORLDCUP!AD147&lt;&gt;""),"X",0))),"|",WORLDCUP!AC147,"-",WORLDCUP!AD147)</f>
        <v>España-Brasil·1|2-1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Brasil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Lamine Yamal</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Mbappe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Neymar</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 Yamal</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Neymar</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Mbappe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topLeftCell="A19"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4</v>
      </c>
      <c r="W4" s="451" t="str">
        <f ca="1">+INDEX(WORLDCUP!$AR$6:$AR$97,MATCH(X4,WORLDCUP!$AI$6:$AI$97,0))&amp;"-"&amp;INDEX(WORLDCUP!$AS$6:$AS$97,MATCH(X4,WORLDCUP!$AI$6:$AI$97,0))</f>
        <v>4-0</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( 4 )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0</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6</v>
      </c>
      <c r="J5" s="39">
        <f ca="1">+INDEX(WORLDCUP!$AT$6:$AT$97,MATCH(L5,WORLDCUP!$AI$6:$AI$97,0))</f>
        <v>2</v>
      </c>
      <c r="K5" s="43" t="str">
        <f ca="1">+INDEX(WORLDCUP!$AR$6:$AR$97,MATCH(L5,WORLDCUP!$AI$6:$AI$97,0))&amp;"-"&amp;INDEX(WORLDCUP!$AS$6:$AS$97,MATCH(L5,WORLDCUP!$AI$6:$AI$97,0))</f>
        <v>5-3</v>
      </c>
      <c r="L5" s="181" t="s">
        <v>657</v>
      </c>
      <c r="M5" s="181">
        <v>39</v>
      </c>
      <c r="N5" s="452"/>
      <c r="O5" s="444" t="str">
        <f ca="1">+MID(INDEX(WORLDCUP!$AA$4:$AA$147,MATCH(M5,WORLDCUP!$AH$4:$AH$147,0)),1,3)</f>
        <v>Bél</v>
      </c>
      <c r="P5" s="445">
        <f>IF(ISBLANK(INDEX(WORLDCUP!$AC$4:$AC$147,MATCH(M5,WORLDCUP!$AH$4:$AH$147,0))),"",INDEX(WORLDCUP!$AC$4:$AC$147,MATCH(M5,WORLDCUP!$AH$4:$AH$147,0)))</f>
        <v>1</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1-1</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( 5 )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1</v>
      </c>
      <c r="J6" s="39">
        <f ca="1">+INDEX(WORLDCUP!$AT$6:$AT$97,MATCH(L6,WORLDCUP!$AI$6:$AI$97,0))</f>
        <v>-2</v>
      </c>
      <c r="K6" s="43" t="str">
        <f ca="1">+INDEX(WORLDCUP!$AR$6:$AR$97,MATCH(L6,WORLDCUP!$AI$6:$AI$97,0))&amp;"-"&amp;INDEX(WORLDCUP!$AS$6:$AS$97,MATCH(L6,WORLDCUP!$AI$6:$AI$97,0))</f>
        <v>2-4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-1</v>
      </c>
      <c r="W6" s="43" t="str">
        <f ca="1">+INDEX(WORLDCUP!$AR$6:$AR$97,MATCH(X6,WORLDCUP!$AI$6:$AI$97,0))&amp;"-"&amp;INDEX(WORLDCUP!$AS$6:$AS$97,MATCH(X6,WORLDCUP!$AI$6:$AI$97,0))</f>
        <v>0-1</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2</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-4</v>
      </c>
      <c r="K7" s="479" t="str">
        <f ca="1">+INDEX(WORLDCUP!$AR$6:$AR$97,MATCH(L7,WORLDCUP!$AI$6:$AI$97,0))&amp;"-"&amp;INDEX(WORLDCUP!$AS$6:$AS$97,MATCH(L7,WORLDCUP!$AI$6:$AI$97,0))</f>
        <v>0-4</v>
      </c>
      <c r="L7" s="181" t="s">
        <v>658</v>
      </c>
      <c r="M7" s="181">
        <v>63</v>
      </c>
      <c r="N7" s="452"/>
      <c r="O7" s="444" t="str">
        <f ca="1">+MID(INDEX(WORLDCUP!$AA$4:$AA$147,MATCH(M7,WORLDCUP!$AH$4:$AH$147,0)),1,3)</f>
        <v>Egi</v>
      </c>
      <c r="P7" s="445">
        <f>IF(ISBLANK(INDEX(WORLDCUP!$AC$4:$AC$147,MATCH(M7,WORLDCUP!$AH$4:$AH$147,0))),"",INDEX(WORLDCUP!$AC$4:$AC$147,MATCH(M7,WORLDCUP!$AH$4:$AH$147,0)))</f>
        <v>0</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-3</v>
      </c>
      <c r="W7" s="479" t="str">
        <f ca="1">+INDEX(WORLDCUP!$AR$6:$AR$97,MATCH(X7,WORLDCUP!$AI$6:$AI$97,0))&amp;"-"&amp;INDEX(WORLDCUP!$AS$6:$AS$97,MATCH(X7,WORLDCUP!$AI$6:$AI$97,0))</f>
        <v>0-3</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Cor</v>
      </c>
      <c r="AB9" s="427">
        <f>+IF(ISBLANK(INDEX(WORLDCUP!$AC$101:$AC$147,MATCH(Y9,WORLDCUP!$Z$101:$Z$147,0))),"",INDEX(WORLDCUP!$AC$101:$AC$147,MATCH(Y9,WORLDCUP!$Z$101:$Z$147,0)))</f>
        <v>1</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4</v>
      </c>
      <c r="K12" s="451" t="str">
        <f ca="1">+INDEX(WORLDCUP!$AR$6:$AR$97,MATCH(L12,WORLDCUP!$AI$6:$AI$97,0))&amp;"-"&amp;INDEX(WORLDCUP!$AS$6:$AS$97,MATCH(L12,WORLDCUP!$AI$6:$AI$97,0))</f>
        <v>5-1</v>
      </c>
      <c r="L12" s="181" t="s">
        <v>659</v>
      </c>
      <c r="M12" s="181">
        <v>13</v>
      </c>
      <c r="N12" s="505"/>
      <c r="O12" s="444" t="str">
        <f ca="1">+MID(INDEX(WORLDCUP!$AA$4:$AA$147,MATCH(M12,WORLDCUP!$AH$4:$AH$147,0)),1,3)</f>
        <v>Ara</v>
      </c>
      <c r="P12" s="445">
        <f>IF(ISBLANK(INDEX(WORLDCUP!$AC$4:$AC$147,MATCH(M12,WORLDCUP!$AH$4:$AH$147,0))),"",INDEX(WORLDCUP!$AC$4:$AC$147,MATCH(M12,WORLDCUP!$AH$4:$AH$147,0)))</f>
        <v>0</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6</v>
      </c>
      <c r="W12" s="451" t="str">
        <f ca="1">+INDEX(WORLDCUP!$AR$6:$AR$97,MATCH(X12,WORLDCUP!$AI$6:$AI$97,0))&amp;"-"&amp;INDEX(WORLDCUP!$AS$6:$AS$97,MATCH(X12,WORLDCUP!$AI$6:$AI$97,0))</f>
        <v>6-0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( 4 )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1</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0</v>
      </c>
      <c r="K13" s="43" t="str">
        <f ca="1">+INDEX(WORLDCUP!$AR$6:$AR$97,MATCH(L13,WORLDCUP!$AI$6:$AI$97,0))&amp;"-"&amp;INDEX(WORLDCUP!$AS$6:$AS$97,MATCH(L13,WORLDCUP!$AI$6:$AI$97,0))</f>
        <v>1-1</v>
      </c>
      <c r="L13" s="181" t="s">
        <v>660</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3-1</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( 5 )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0</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3</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1-3</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0-3</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1</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-6</v>
      </c>
      <c r="W15" s="479" t="str">
        <f ca="1">+INDEX(WORLDCUP!$AR$6:$AR$97,MATCH(X15,WORLDCUP!$AI$6:$AI$97,0))&amp;"-"&amp;INDEX(WORLDCUP!$AS$6:$AS$97,MATCH(X15,WORLDCUP!$AI$6:$AI$97,0))</f>
        <v>0-6</v>
      </c>
      <c r="X15" s="181" t="s">
        <v>683</v>
      </c>
      <c r="Y15" s="181">
        <v>83</v>
      </c>
      <c r="Z15" s="425" t="s">
        <v>691</v>
      </c>
      <c r="AA15" s="426" t="str">
        <f ca="1">+MID(INDEX(WORLDCUP!$AA$101:$AA$147,MATCH(Y15,WORLDCUP!$Z$101:$Z$147,0)),1,3)</f>
        <v>Col</v>
      </c>
      <c r="AB15" s="427">
        <f>+IF(ISBLANK(INDEX(WORLDCUP!$AC$101:$AC$147,MATCH(Y15,WORLDCUP!$Z$101:$Z$147,0))),"",INDEX(WORLDCUP!$AC$101:$AC$147,MATCH(Y15,WORLDCUP!$Z$101:$Z$147,0)))</f>
        <v>0</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5</v>
      </c>
      <c r="K20" s="451" t="str">
        <f ca="1">+INDEX(WORLDCUP!$AR$6:$AR$97,MATCH(L20,WORLDCUP!$AI$6:$AI$97,0))&amp;"-"&amp;INDEX(WORLDCUP!$AS$6:$AS$97,MATCH(L20,WORLDCUP!$AI$6:$AI$97,0))</f>
        <v>6-1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5-0</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5-2</v>
      </c>
      <c r="L21" s="181" t="s">
        <v>667</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2-1</v>
      </c>
      <c r="X21" s="181" t="s">
        <v>685</v>
      </c>
      <c r="Y21" s="181">
        <v>81</v>
      </c>
      <c r="Z21" s="425" t="s">
        <v>669</v>
      </c>
      <c r="AA21" s="426" t="str">
        <f ca="1">+MID(INDEX(WORLDCUP!$AA$101:$AA$147,MATCH(Y21,WORLDCUP!$Z$101:$Z$147,0)),1,3)</f>
        <v>Est</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2</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1</v>
      </c>
      <c r="V22" s="39">
        <f ca="1">+INDEX(WORLDCUP!$AT$6:$AT$97,MATCH(X22,WORLDCUP!$AI$6:$AI$97,0))</f>
        <v>-3</v>
      </c>
      <c r="W22" s="43" t="str">
        <f ca="1">+INDEX(WORLDCUP!$AR$6:$AR$97,MATCH(X22,WORLDCUP!$AI$6:$AI$97,0))&amp;"-"&amp;INDEX(WORLDCUP!$AS$6:$AS$97,MATCH(X22,WORLDCUP!$AI$6:$AI$97,0))</f>
        <v>0-3</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-5</v>
      </c>
      <c r="K23" s="479" t="str">
        <f ca="1">+INDEX(WORLDCUP!$AR$6:$AR$97,MATCH(L23,WORLDCUP!$AI$6:$AI$97,0))&amp;"-"&amp;INDEX(WORLDCUP!$AS$6:$AS$97,MATCH(L23,WORLDCUP!$AI$6:$AI$97,0))</f>
        <v>0-5</v>
      </c>
      <c r="L23" s="181" t="s">
        <v>668</v>
      </c>
      <c r="M23" s="181">
        <v>61</v>
      </c>
      <c r="N23" s="522"/>
      <c r="O23" s="444" t="str">
        <f ca="1">+MID(INDEX(WORLDCUP!$AA$4:$AA$147,MATCH(M23,WORLDCUP!$AH$4:$AH$147,0)),1,3)</f>
        <v>Nor</v>
      </c>
      <c r="P23" s="445">
        <f>IF(ISBLANK(INDEX(WORLDCUP!$AC$4:$AC$147,MATCH(M23,WORLDCUP!$AH$4:$AH$147,0))),"",INDEX(WORLDCUP!$AC$4:$AC$147,MATCH(M23,WORLDCUP!$AH$4:$AH$147,0)))</f>
        <v>0</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1</v>
      </c>
      <c r="V23" s="478">
        <f ca="1">+INDEX(WORLDCUP!$AT$6:$AT$97,MATCH(X23,WORLDCUP!$AI$6:$AI$97,0))</f>
        <v>-3</v>
      </c>
      <c r="W23" s="479" t="str">
        <f ca="1">+INDEX(WORLDCUP!$AR$6:$AR$97,MATCH(X23,WORLDCUP!$AI$6:$AI$97,0))&amp;"-"&amp;INDEX(WORLDCUP!$AS$6:$AS$97,MATCH(X23,WORLDCUP!$AI$6:$AI$97,0))</f>
        <v>0-3</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Brasil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0</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Ara</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Bras</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Est</v>
      </c>
      <c r="I28" s="449">
        <f ca="1">+INDEX(WORLDCUP!$AM$6:$AM$97,MATCH(L28,WORLDCUP!$AI$6:$AI$97,0))</f>
        <v>7</v>
      </c>
      <c r="J28" s="450">
        <f ca="1">+INDEX(WORLDCUP!$AT$6:$AT$97,MATCH(L28,WORLDCUP!$AI$6:$AI$97,0))</f>
        <v>2</v>
      </c>
      <c r="K28" s="451" t="str">
        <f ca="1">+INDEX(WORLDCUP!$AR$6:$AR$97,MATCH(L28,WORLDCUP!$AI$6:$AI$97,0))&amp;"-"&amp;INDEX(WORLDCUP!$AS$6:$AS$97,MATCH(L28,WORLDCUP!$AI$6:$AI$97,0))</f>
        <v>4-2</v>
      </c>
      <c r="L28" s="181" t="s">
        <v>669</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5</v>
      </c>
      <c r="W28" s="451" t="str">
        <f ca="1">+INDEX(WORLDCUP!$AR$6:$AR$97,MATCH(X28,WORLDCUP!$AI$6:$AI$97,0))&amp;"-"&amp;INDEX(WORLDCUP!$AS$6:$AS$97,MATCH(X28,WORLDCUP!$AI$6:$AI$97,0))</f>
        <v>5-0</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Tur</v>
      </c>
      <c r="I29" s="38">
        <f ca="1">+INDEX(WORLDCUP!$AM$6:$AM$97,MATCH(L29,WORLDCUP!$AI$6:$AI$97,0))</f>
        <v>6</v>
      </c>
      <c r="J29" s="39">
        <f ca="1">+INDEX(WORLDCUP!$AT$6:$AT$97,MATCH(L29,WORLDCUP!$AI$6:$AI$97,0))</f>
        <v>2</v>
      </c>
      <c r="K29" s="43" t="str">
        <f ca="1">+INDEX(WORLDCUP!$AR$6:$AR$97,MATCH(L29,WORLDCUP!$AI$6:$AI$97,0))&amp;"-"&amp;INDEX(WORLDCUP!$AS$6:$AS$97,MATCH(L29,WORLDCUP!$AI$6:$AI$97,0))</f>
        <v>4-2</v>
      </c>
      <c r="L29" s="181" t="s">
        <v>670</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1-1</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0</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0</v>
      </c>
      <c r="K30" s="43" t="str">
        <f ca="1">+INDEX(WORLDCUP!$AR$6:$AR$97,MATCH(L30,WORLDCUP!$AI$6:$AI$97,0))&amp;"-"&amp;INDEX(WORLDCUP!$AS$6:$AS$97,MATCH(L30,WORLDCUP!$AI$6:$AI$97,0))</f>
        <v>2-2</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0</v>
      </c>
      <c r="R30" s="446" t="str">
        <f ca="1">+MID(INDEX(WORLDCUP!$AF$4:$AF$147,MATCH(M30,WORLDCUP!$AH$4:$AH$147,0)),1,3)</f>
        <v>Arg</v>
      </c>
      <c r="S30" s="467">
        <v>3</v>
      </c>
      <c r="T30" s="468" t="str">
        <f ca="1">+MID(INDEX(WORLDCUP!$AL$6:$AL$97,MATCH(X30,WORLDCUP!$AI$6:$AI$97,0)),1,3)</f>
        <v>Arg</v>
      </c>
      <c r="U30" s="38">
        <f ca="1">+INDEX(WORLDCUP!$AM$6:$AM$97,MATCH(X30,WORLDCUP!$AI$6:$AI$97,0))</f>
        <v>2</v>
      </c>
      <c r="V30" s="39">
        <f ca="1">+INDEX(WORLDCUP!$AT$6:$AT$97,MATCH(X30,WORLDCUP!$AI$6:$AI$97,0))</f>
        <v>-2</v>
      </c>
      <c r="W30" s="43" t="str">
        <f ca="1">+INDEX(WORLDCUP!$AR$6:$AR$97,MATCH(X30,WORLDCUP!$AI$6:$AI$97,0))&amp;"-"&amp;INDEX(WORLDCUP!$AS$6:$AS$97,MATCH(X30,WORLDCUP!$AI$6:$AI$97,0))</f>
        <v>0-2</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( 4 )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1</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-4</v>
      </c>
      <c r="K31" s="479" t="str">
        <f ca="1">+INDEX(WORLDCUP!$AR$6:$AR$97,MATCH(L31,WORLDCUP!$AI$6:$AI$97,0))&amp;"-"&amp;INDEX(WORLDCUP!$AS$6:$AS$97,MATCH(L31,WORLDCUP!$AI$6:$AI$97,0))</f>
        <v>0-4</v>
      </c>
      <c r="L31" s="181" t="s">
        <v>671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0</v>
      </c>
      <c r="R31" s="446" t="str">
        <f ca="1">+MID(INDEX(WORLDCUP!$AF$4:$AF$147,MATCH(M31,WORLDCUP!$AH$4:$AH$147,0)),1,3)</f>
        <v>Aus</v>
      </c>
      <c r="S31" s="467">
        <v>4</v>
      </c>
      <c r="T31" s="476" t="str">
        <f ca="1">+MID(INDEX(WORLDCUP!$AL$6:$AL$97,MATCH(X31,WORLDCUP!$AI$6:$AI$97,0)),1,3)</f>
        <v>Jor</v>
      </c>
      <c r="U31" s="477">
        <f ca="1">+INDEX(WORLDCUP!$AM$6:$AM$97,MATCH(X31,WORLDCUP!$AI$6:$AI$97,0))</f>
        <v>1</v>
      </c>
      <c r="V31" s="478">
        <f ca="1">+INDEX(WORLDCUP!$AT$6:$AT$97,MATCH(X31,WORLDCUP!$AI$6:$AI$97,0))</f>
        <v>-3</v>
      </c>
      <c r="W31" s="479" t="str">
        <f ca="1">+INDEX(WORLDCUP!$AR$6:$AR$97,MATCH(X31,WORLDCUP!$AI$6:$AI$97,0))&amp;"-"&amp;INDEX(WORLDCUP!$AS$6:$AS$97,MATCH(X31,WORLDCUP!$AI$6:$AI$97,0))</f>
        <v>0-3</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( 5 )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( 5 )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( 4 )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( 4 )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0</v>
      </c>
      <c r="AS32" s="460" t="str">
        <f>+IF(ISBLANK(INDEX(WORLDCUP!$AE$101:$AE$147,MATCH(AP32,WORLDCUP!$Z$101:$Z$147,0))),"","( "&amp;INDEX(WORLDCUP!$AE$101:$AE$147,MATCH(AP32,WORLDCUP!$Z$101:$Z$147,0))&amp;" )")</f>
        <v>( 5 )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3</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2</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7-1</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1</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5</v>
      </c>
      <c r="W36" s="451" t="str">
        <f ca="1">+INDEX(WORLDCUP!$AR$6:$AR$97,MATCH(X36,WORLDCUP!$AI$6:$AI$97,0))&amp;"-"&amp;INDEX(WORLDCUP!$AS$6:$AS$97,MATCH(X36,WORLDCUP!$AI$6:$AI$97,0))</f>
        <v>5-0</v>
      </c>
      <c r="X36" s="181" t="s">
        <v>690</v>
      </c>
      <c r="Y36" s="181">
        <v>80</v>
      </c>
      <c r="Z36" s="425" t="s">
        <v>693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0</v>
      </c>
      <c r="F37" s="446" t="str">
        <f ca="1">+MID(INDEX(WORLDCUP!$AF$4:$AF$147,MATCH(A37,WORLDCUP!$AH$4:$AH$147,0)),1,3)</f>
        <v>Cos</v>
      </c>
      <c r="G37" s="467">
        <v>2</v>
      </c>
      <c r="H37" s="468"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1</v>
      </c>
      <c r="W37" s="43" t="str">
        <f ca="1">+INDEX(WORLDCUP!$AR$6:$AR$97,MATCH(X37,WORLDCUP!$AI$6:$AI$97,0))&amp;"-"&amp;INDEX(WORLDCUP!$AS$6:$AS$97,MATCH(X37,WORLDCUP!$AI$6:$AI$97,0))</f>
        <v>2-1</v>
      </c>
      <c r="X37" s="181" t="s">
        <v>691</v>
      </c>
      <c r="Y37" s="181">
        <v>80</v>
      </c>
      <c r="Z37" s="425" t="s">
        <v>736</v>
      </c>
      <c r="AA37" s="480" t="str">
        <f ca="1">+MID(INDEX(WORLDCUP!$AF$101:$AF$147,MATCH(Y37,WORLDCUP!$Z$101:$Z$147,0)),1,IF(WORLDCUP!$H$113&lt;144,6,3))</f>
        <v>Cos</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-2</v>
      </c>
      <c r="K38" s="43" t="str">
        <f ca="1">+INDEX(WORLDCUP!$AR$6:$AR$97,MATCH(L38,WORLDCUP!$AI$6:$AI$97,0))&amp;"-"&amp;INDEX(WORLDCUP!$AS$6:$AS$97,MATCH(L38,WORLDCUP!$AI$6:$AI$97,0))</f>
        <v>1-3</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0-3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-6</v>
      </c>
      <c r="K39" s="479" t="str">
        <f ca="1">+INDEX(WORLDCUP!$AR$6:$AR$97,MATCH(L39,WORLDCUP!$AI$6:$AI$97,0))&amp;"-"&amp;INDEX(WORLDCUP!$AS$6:$AS$97,MATCH(L39,WORLDCUP!$AI$6:$AI$97,0))</f>
        <v>0-6</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-3</v>
      </c>
      <c r="W39" s="479" t="str">
        <f ca="1">+INDEX(WORLDCUP!$AR$6:$AR$97,MATCH(X39,WORLDCUP!$AI$6:$AI$97,0))&amp;"-"&amp;INDEX(WORLDCUP!$AS$6:$AS$97,MATCH(X39,WORLDCUP!$AI$6:$AI$97,0))</f>
        <v>0-3</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Tur</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1</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4</v>
      </c>
      <c r="K44" s="451" t="str">
        <f ca="1">+INDEX(WORLDCUP!$AR$6:$AR$97,MATCH(L44,WORLDCUP!$AI$6:$AI$97,0))&amp;"-"&amp;INDEX(WORLDCUP!$AS$6:$AS$97,MATCH(L44,WORLDCUP!$AI$6:$AI$97,0))</f>
        <v>4-0</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2</v>
      </c>
      <c r="W44" s="451" t="str">
        <f ca="1">+INDEX(WORLDCUP!$AR$6:$AR$97,MATCH(X44,WORLDCUP!$AI$6:$AI$97,0))&amp;"-"&amp;INDEX(WORLDCUP!$AS$6:$AS$97,MATCH(X44,WORLDCUP!$AI$6:$AI$97,0))</f>
        <v>3-1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6</v>
      </c>
      <c r="J45" s="39">
        <f ca="1">+INDEX(WORLDCUP!$AT$6:$AT$97,MATCH(L45,WORLDCUP!$AI$6:$AI$97,0))</f>
        <v>2</v>
      </c>
      <c r="K45" s="43" t="str">
        <f ca="1">+INDEX(WORLDCUP!$AR$6:$AR$97,MATCH(L45,WORLDCUP!$AI$6:$AI$97,0))&amp;"-"&amp;INDEX(WORLDCUP!$AS$6:$AS$97,MATCH(L45,WORLDCUP!$AI$6:$AI$97,0))</f>
        <v>3-1</v>
      </c>
      <c r="L45" s="181" t="s">
        <v>676</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7</v>
      </c>
      <c r="V45" s="39">
        <f ca="1">+INDEX(WORLDCUP!$AT$6:$AT$97,MATCH(X45,WORLDCUP!$AI$6:$AI$97,0))</f>
        <v>2</v>
      </c>
      <c r="W45" s="43" t="str">
        <f ca="1">+INDEX(WORLDCUP!$AR$6:$AR$97,MATCH(X45,WORLDCUP!$AI$6:$AI$97,0))&amp;"-"&amp;INDEX(WORLDCUP!$AS$6:$AS$97,MATCH(X45,WORLDCUP!$AI$6:$AI$97,0))</f>
        <v>3-1</v>
      </c>
      <c r="X45" s="181" t="s">
        <v>694</v>
      </c>
      <c r="Y45" s="181">
        <v>85</v>
      </c>
      <c r="Z45" s="425" t="s">
        <v>659</v>
      </c>
      <c r="AA45" s="426" t="str">
        <f ca="1">+MID(INDEX(WORLDCUP!$AA$101:$AA$147,MATCH(Y45,WORLDCUP!$Z$101:$Z$147,0)),1,3)</f>
        <v>Sui</v>
      </c>
      <c r="AB45" s="427">
        <f>+IF(ISBLANK(INDEX(WORLDCUP!$AC$101:$AC$147,MATCH(Y45,WORLDCUP!$Z$101:$Z$147,0))),"",INDEX(WORLDCUP!$AC$101:$AC$147,MATCH(Y45,WORLDCUP!$Z$101:$Z$147,0)))</f>
        <v>0</v>
      </c>
      <c r="AC45" s="498" t="str">
        <f>+IF(ISBLANK(INDEX(WORLDCUP!$AB$101:$AB$147,MATCH(Y45,WORLDCUP!$Z$101:$Z$147,0))),"","( "&amp;INDEX(WORLDCUP!$AB$101:$AB$147,MATCH(Y45,WORLDCUP!$Z$101:$Z$147,0))&amp;" )")</f>
        <v>( 5 )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Sue</v>
      </c>
      <c r="I46" s="38">
        <f ca="1">+INDEX(WORLDCUP!$AM$6:$AM$97,MATCH(L46,WORLDCUP!$AI$6:$AI$97,0))</f>
        <v>3</v>
      </c>
      <c r="J46" s="39">
        <f ca="1">+INDEX(WORLDCUP!$AT$6:$AT$97,MATCH(L46,WORLDCUP!$AI$6:$AI$97,0))</f>
        <v>-1</v>
      </c>
      <c r="K46" s="43" t="str">
        <f ca="1">+INDEX(WORLDCUP!$AR$6:$AR$97,MATCH(L46,WORLDCUP!$AI$6:$AI$97,0))&amp;"-"&amp;INDEX(WORLDCUP!$AS$6:$AS$97,MATCH(L46,WORLDCUP!$AI$6:$AI$97,0))</f>
        <v>1-2</v>
      </c>
      <c r="L46" s="181" t="s">
        <v>95</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1-2</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( 4 )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0</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0-5</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1</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-3</v>
      </c>
      <c r="W47" s="479" t="str">
        <f ca="1">+INDEX(WORLDCUP!$AR$6:$AR$97,MATCH(X47,WORLDCUP!$AI$6:$AI$97,0))&amp;"-"&amp;INDEX(WORLDCUP!$AS$6:$AS$97,MATCH(X47,WORLDCUP!$AI$6:$AI$97,0))</f>
        <v>0-3</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1</v>
      </c>
      <c r="Q48" s="488">
        <f>IF(ISBLANK(INDEX(WORLDCUP!$AD$4:$AD$147,MATCH(M48,WORLDCUP!$AH$4:$AH$147,0))),"",INDEX(WORLDCUP!$AD$4:$AD$147,MATCH(M48,WORLDCUP!$AH$4:$AH$147,0)))</f>
        <v>0</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1</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50">
        <v>#VALUE!</v>
      </c>
      <c r="Y87" s="9">
        <v>3.5</v>
      </c>
      <c r="Z87" s="6"/>
      <c r="AA87" s="6"/>
      <c r="AB87" s="6"/>
    </row>
    <row r="88" spans="12:28">
      <c r="L88" s="3"/>
      <c r="M88" s="3"/>
      <c r="N88" s="3"/>
      <c r="O88" s="6"/>
      <c r="P88" s="6"/>
      <c r="Q88" s="6"/>
      <c r="R88" s="6"/>
      <c r="T88" s="16" t="s">
        <v>1478</v>
      </c>
      <c r="U88" s="9" t="s">
        <v>1463</v>
      </c>
      <c r="V88" s="9" t="s">
        <v>1464</v>
      </c>
      <c r="W88" s="9" t="s">
        <v>1465</v>
      </c>
      <c r="X88" s="584" t="e" vm="51">
        <v>#VALUE!</v>
      </c>
      <c r="Y88" s="9">
        <v>4</v>
      </c>
      <c r="Z88" s="6"/>
      <c r="AA88" s="6"/>
      <c r="AB88" s="6"/>
    </row>
    <row r="89" spans="12:28" ht="15.75">
      <c r="L89" s="3"/>
      <c r="M89" s="3"/>
      <c r="N89" s="3"/>
      <c r="O89" s="6"/>
      <c r="P89" s="6"/>
      <c r="Q89" s="6"/>
      <c r="R89" s="6"/>
      <c r="T89" s="16" t="s">
        <v>1479</v>
      </c>
      <c r="U89" s="9" t="s">
        <v>1466</v>
      </c>
      <c r="V89" s="9" t="s">
        <v>1466</v>
      </c>
      <c r="W89" s="585" t="s">
        <v>1468</v>
      </c>
      <c r="X89" s="584" t="e" vm="52">
        <v>#VALUE!</v>
      </c>
      <c r="Y89" s="9">
        <v>-4</v>
      </c>
      <c r="Z89" s="6"/>
      <c r="AA89" s="6"/>
      <c r="AB89" s="6"/>
    </row>
    <row r="90" spans="12:28" ht="15.75">
      <c r="L90" s="3"/>
      <c r="M90" s="3"/>
      <c r="N90" s="3"/>
      <c r="O90" s="6"/>
      <c r="P90" s="6"/>
      <c r="Q90" s="6"/>
      <c r="R90" s="6"/>
      <c r="T90" s="16" t="s">
        <v>1480</v>
      </c>
      <c r="U90" s="9" t="s">
        <v>1467</v>
      </c>
      <c r="V90" s="9" t="s">
        <v>1470</v>
      </c>
      <c r="W90" s="586" t="s">
        <v>1469</v>
      </c>
      <c r="X90" s="584" t="e" vm="53">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5</vt:i4>
      </vt:variant>
      <vt:variant>
        <vt:lpstr>Intervals amb nom</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icc3bcn@icc3.es</cp:lastModifiedBy>
  <cp:lastPrinted>2018-12-06T18:06:35Z</cp:lastPrinted>
  <dcterms:created xsi:type="dcterms:W3CDTF">2015-10-31T09:41:54Z</dcterms:created>
  <dcterms:modified xsi:type="dcterms:W3CDTF">2026-06-11T12:57:54Z</dcterms:modified>
</cp:coreProperties>
</file>