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autoCompressPictures="0"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1C135A16-AC47-4B30-AFE5-004AB876F15A}"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20" yWindow="-120" windowWidth="29040" windowHeight="1572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E29" i="3" s="1" a="1"/>
  <c r="AE29" i="3"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F28" i="45" l="1"/>
  <c r="B60" i="31"/>
  <c r="C31" i="45"/>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0" i="3" l="1"/>
  <c r="BE48" i="3"/>
  <c r="BL26" i="3"/>
  <c r="BL9"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 i="32" l="1"/>
  <c r="Y5" i="3" s="1"/>
  <c r="C134" i="32"/>
  <c r="Y134" i="3" s="1"/>
  <c r="C93" i="32"/>
  <c r="Y93" i="3" s="1"/>
  <c r="C28" i="32"/>
  <c r="X28" i="3" s="1"/>
  <c r="C120" i="32"/>
  <c r="X120" i="3" s="1"/>
  <c r="C101" i="32"/>
  <c r="Y101" i="3" s="1"/>
  <c r="C139" i="32"/>
  <c r="X139" i="3" s="1"/>
  <c r="C9" i="32"/>
  <c r="X9" i="3" s="1"/>
  <c r="C12" i="32"/>
  <c r="X12" i="3" s="1"/>
  <c r="C41" i="32"/>
  <c r="X41" i="3" s="1"/>
  <c r="C85" i="32"/>
  <c r="X85" i="3" s="1"/>
  <c r="C55" i="32"/>
  <c r="Y55" i="3" s="1"/>
  <c r="C60" i="32"/>
  <c r="Y60" i="3" s="1"/>
  <c r="C64" i="32"/>
  <c r="Y64" i="3" s="1"/>
  <c r="C45" i="32"/>
  <c r="X45" i="3" s="1"/>
  <c r="C20" i="32"/>
  <c r="Y20" i="3" s="1"/>
  <c r="C94" i="32"/>
  <c r="X94" i="3" s="1"/>
  <c r="C65" i="32"/>
  <c r="Y65" i="3" s="1"/>
  <c r="C6" i="32"/>
  <c r="X6" i="3" s="1"/>
  <c r="C17" i="32"/>
  <c r="X17" i="3" s="1"/>
  <c r="C13" i="32"/>
  <c r="Y13" i="3" s="1"/>
  <c r="C79" i="32"/>
  <c r="Y79" i="3" s="1"/>
  <c r="C88" i="32"/>
  <c r="X88" i="3" s="1"/>
  <c r="C16" i="32"/>
  <c r="X16" i="3" s="1"/>
  <c r="C49" i="32"/>
  <c r="X49" i="3" s="1"/>
  <c r="C84" i="32"/>
  <c r="X84" i="3" s="1"/>
  <c r="C21" i="32"/>
  <c r="X21" i="3" s="1"/>
  <c r="C108" i="32"/>
  <c r="Y108" i="3" s="1"/>
  <c r="C69" i="32"/>
  <c r="Y69" i="3" s="1"/>
  <c r="C86" i="32"/>
  <c r="X86" i="3" s="1"/>
  <c r="C95" i="32"/>
  <c r="X95" i="3" s="1"/>
  <c r="C61" i="32"/>
  <c r="X61" i="3" s="1"/>
  <c r="C138" i="32"/>
  <c r="Y138" i="3" s="1"/>
  <c r="C33" i="32"/>
  <c r="X33" i="3" s="1"/>
  <c r="C38" i="32"/>
  <c r="Y38" i="3" s="1"/>
  <c r="C116" i="32"/>
  <c r="X116" i="3" s="1"/>
  <c r="C62" i="32"/>
  <c r="Y62" i="3" s="1"/>
  <c r="C103" i="32"/>
  <c r="X103" i="3" s="1"/>
  <c r="C81" i="32"/>
  <c r="X81" i="3" s="1"/>
  <c r="C29" i="32"/>
  <c r="Y29" i="3" s="1"/>
  <c r="C78" i="32"/>
  <c r="Y78" i="3" s="1"/>
  <c r="C110" i="32"/>
  <c r="X110" i="3" s="1"/>
  <c r="C56" i="32"/>
  <c r="X56" i="3" s="1"/>
  <c r="C106" i="32"/>
  <c r="Y106" i="3" s="1"/>
  <c r="C92" i="32"/>
  <c r="X92" i="3" s="1"/>
  <c r="C115" i="32"/>
  <c r="Y115" i="3" s="1"/>
  <c r="C125" i="32"/>
  <c r="Y125" i="3" s="1"/>
  <c r="C7" i="32"/>
  <c r="X7" i="3" s="1"/>
  <c r="C53" i="32"/>
  <c r="Y53" i="3" s="1"/>
  <c r="C54" i="32"/>
  <c r="Y54" i="3" s="1"/>
  <c r="C23" i="32"/>
  <c r="X23" i="3" s="1"/>
  <c r="C14" i="32"/>
  <c r="X14" i="3" s="1"/>
  <c r="C105" i="32"/>
  <c r="X105" i="3" s="1"/>
  <c r="C143" i="32"/>
  <c r="X143" i="3" s="1"/>
  <c r="C113" i="32"/>
  <c r="X113" i="3" s="1"/>
  <c r="C31" i="32"/>
  <c r="Y31" i="3" s="1"/>
  <c r="C25" i="32"/>
  <c r="X25"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X5" i="3"/>
  <c r="X134" i="3" l="1"/>
  <c r="X31" i="3"/>
  <c r="Y9" i="3"/>
  <c r="Y85" i="3"/>
  <c r="Y28" i="3"/>
  <c r="X93" i="3"/>
  <c r="X60" i="3"/>
  <c r="Y88" i="3"/>
  <c r="Y12" i="3"/>
  <c r="Y41" i="3"/>
  <c r="X55" i="3"/>
  <c r="X38" i="3"/>
  <c r="X101" i="3"/>
  <c r="Y120" i="3"/>
  <c r="Y139" i="3"/>
  <c r="Y92" i="3"/>
  <c r="Y6" i="3"/>
  <c r="X65" i="3"/>
  <c r="X138" i="3"/>
  <c r="X13" i="3"/>
  <c r="Y94" i="3"/>
  <c r="X20" i="3"/>
  <c r="X115" i="3"/>
  <c r="Y45" i="3"/>
  <c r="X79" i="3"/>
  <c r="X78" i="3"/>
  <c r="X64" i="3"/>
  <c r="Y33" i="3"/>
  <c r="Y17" i="3"/>
  <c r="Y16" i="3"/>
  <c r="Y61" i="3"/>
  <c r="Y56" i="3"/>
  <c r="Y113" i="3"/>
  <c r="Y103" i="3"/>
  <c r="X108" i="3"/>
  <c r="Y84" i="3"/>
  <c r="Y21" i="3"/>
  <c r="Y81" i="3"/>
  <c r="X29" i="3"/>
  <c r="Y110" i="3"/>
  <c r="X69" i="3"/>
  <c r="Y49" i="3"/>
  <c r="X62" i="3"/>
  <c r="Y95" i="3"/>
  <c r="X106" i="3"/>
  <c r="Y86" i="3"/>
  <c r="Y104" i="3"/>
  <c r="Y116" i="3"/>
  <c r="Y7" i="3"/>
  <c r="X123" i="3"/>
  <c r="Y14" i="3"/>
  <c r="X125" i="3"/>
  <c r="X24" i="3"/>
  <c r="X53" i="3"/>
  <c r="X57" i="3"/>
  <c r="Y114" i="3"/>
  <c r="X54" i="3"/>
  <c r="Y22" i="3"/>
  <c r="Y23" i="3"/>
  <c r="Y102" i="3"/>
  <c r="X47" i="3"/>
  <c r="Y25" i="3"/>
  <c r="Y143" i="3"/>
  <c r="Y105" i="3"/>
  <c r="Y127" i="3"/>
  <c r="Y4" i="3"/>
  <c r="X48" i="3"/>
  <c r="X131" i="3"/>
  <c r="X89" i="3"/>
  <c r="Y121" i="3"/>
  <c r="X124" i="3"/>
  <c r="X122" i="3"/>
  <c r="X63" i="3"/>
  <c r="X44" i="3"/>
  <c r="Y133" i="3"/>
  <c r="X68" i="3"/>
  <c r="Y76"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BU28" i="3" s="1"/>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F46" i="3"/>
  <c r="E45" i="3"/>
  <c r="F92" i="3"/>
  <c r="F95" i="3"/>
  <c r="E97" i="3"/>
  <c r="F81" i="3"/>
  <c r="E76" i="3"/>
  <c r="E78" i="3"/>
  <c r="BW44" i="3" s="1"/>
  <c r="E48" i="3"/>
  <c r="F44" i="3"/>
  <c r="BU26" i="3" s="1"/>
  <c r="F47" i="3"/>
  <c r="E38" i="3"/>
  <c r="BW22" i="3"/>
  <c r="F41" i="3"/>
  <c r="BU25" i="3" s="1"/>
  <c r="E36" i="3"/>
  <c r="E39" i="3"/>
  <c r="F37" i="3"/>
  <c r="BU24" i="3" s="1"/>
  <c r="E41" i="3"/>
  <c r="BU34" i="3"/>
  <c r="BW34" i="3"/>
  <c r="E62" i="3"/>
  <c r="E60" i="3"/>
  <c r="F65" i="3"/>
  <c r="E87" i="3"/>
  <c r="E88" i="3"/>
  <c r="BW46" i="3" s="1"/>
  <c r="F85" i="3"/>
  <c r="BU48" i="3" s="1"/>
  <c r="E14" i="3"/>
  <c r="F13" i="3"/>
  <c r="BU12" i="3" s="1"/>
  <c r="E16" i="3"/>
  <c r="BW10" i="3" s="1"/>
  <c r="F17" i="3"/>
  <c r="BU11" i="3" s="1"/>
  <c r="F15" i="3"/>
  <c r="E13" i="3"/>
  <c r="BW13" i="3" s="1"/>
  <c r="E4" i="3"/>
  <c r="E7" i="3"/>
  <c r="F8" i="3"/>
  <c r="E44" i="3"/>
  <c r="E46" i="3"/>
  <c r="BW26" i="3"/>
  <c r="F49" i="3"/>
  <c r="E73" i="3"/>
  <c r="F68" i="3"/>
  <c r="BU38" i="3" s="1"/>
  <c r="F71" i="3"/>
  <c r="E71" i="3"/>
  <c r="E72" i="3"/>
  <c r="F69" i="3"/>
  <c r="BW40" i="3" s="1"/>
  <c r="E55" i="3"/>
  <c r="E57" i="3"/>
  <c r="F55" i="3"/>
  <c r="BU33" i="3" s="1"/>
  <c r="BU31" i="3"/>
  <c r="F52" i="3"/>
  <c r="BU30" i="3" s="1"/>
  <c r="F25" i="3"/>
  <c r="E21" i="3"/>
  <c r="BU17" i="3" s="1"/>
  <c r="F23" i="3"/>
  <c r="E84" i="3"/>
  <c r="F88" i="3"/>
  <c r="E86" i="3"/>
  <c r="E17" i="3"/>
  <c r="F14" i="3"/>
  <c r="F12" i="3"/>
  <c r="E22" i="3"/>
  <c r="E24" i="3"/>
  <c r="F21" i="3"/>
  <c r="BU16" i="3" s="1"/>
  <c r="E29" i="3"/>
  <c r="BW21" i="3" s="1"/>
  <c r="F30" i="3"/>
  <c r="F33" i="3"/>
  <c r="BU19" i="3" s="1"/>
  <c r="BU45" i="3"/>
  <c r="E81" i="3"/>
  <c r="E79" i="3"/>
  <c r="F77" i="3"/>
  <c r="BU44" i="3" s="1"/>
  <c r="F61" i="3"/>
  <c r="E65" i="3"/>
  <c r="E63" i="3"/>
  <c r="E9" i="3"/>
  <c r="F4" i="3"/>
  <c r="F6" i="3"/>
  <c r="F79" i="3"/>
  <c r="E80" i="3"/>
  <c r="BU43" i="3"/>
  <c r="F76" i="3"/>
  <c r="BW42" i="3" s="1"/>
  <c r="F80" i="3"/>
  <c r="E77" i="3"/>
  <c r="BW45" i="3" s="1"/>
  <c r="F78" i="3"/>
  <c r="BW36" i="3"/>
  <c r="E61" i="3"/>
  <c r="BW37" i="3" s="1"/>
  <c r="F62" i="3"/>
  <c r="BU36" i="3"/>
  <c r="F64" i="3"/>
  <c r="BU35" i="3" s="1"/>
  <c r="F72" i="3"/>
  <c r="BU41" i="3" s="1"/>
  <c r="E68" i="3"/>
  <c r="BW39" i="3" s="1"/>
  <c r="BW38" i="3"/>
  <c r="E70" i="3"/>
  <c r="BV52" i="3" l="1"/>
  <c r="BW53" i="3"/>
  <c r="BW43" i="3"/>
  <c r="BU42" i="3"/>
  <c r="BW35" i="3"/>
  <c r="BU37" i="3"/>
  <c r="BW28" i="3"/>
  <c r="BW29" i="3"/>
  <c r="BU29" i="3"/>
  <c r="BW27" i="3"/>
  <c r="BW23" i="3"/>
  <c r="BW24" i="3"/>
  <c r="BU21" i="3"/>
  <c r="BW15" i="3"/>
  <c r="BV50" i="3"/>
  <c r="BV51" i="3"/>
  <c r="BX51" i="3" s="1"/>
  <c r="BV53" i="3"/>
  <c r="BX53" i="3" s="1"/>
  <c r="BV30" i="3"/>
  <c r="BX30" i="3" s="1"/>
  <c r="BV45" i="3"/>
  <c r="BX45" i="3" s="1"/>
  <c r="BV44" i="3"/>
  <c r="BX44" i="3" s="1"/>
  <c r="BV46" i="3"/>
  <c r="BV49" i="3"/>
  <c r="BV43" i="3"/>
  <c r="BX43" i="3" s="1"/>
  <c r="BV48" i="3"/>
  <c r="BX48" i="3" s="1"/>
  <c r="BV47" i="3"/>
  <c r="BX47" i="3" s="1"/>
  <c r="BV42" i="3"/>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52" i="3" l="1"/>
  <c r="BX42" i="3"/>
  <c r="BX29"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0" i="3" s="1"/>
  <c r="BZ18" i="3"/>
  <c r="H30" i="3" s="1"/>
  <c r="BZ16" i="3"/>
  <c r="I25" i="3" s="1"/>
  <c r="BZ49" i="3"/>
  <c r="I85" i="3" s="1"/>
  <c r="BZ51" i="3"/>
  <c r="H97" i="3" s="1"/>
  <c r="BZ22" i="3"/>
  <c r="H38" i="3" s="1"/>
  <c r="BZ8" i="3"/>
  <c r="I7" i="3" s="1"/>
  <c r="BZ29" i="3"/>
  <c r="H49" i="3" s="1"/>
  <c r="BZ15" i="3"/>
  <c r="I20"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I24" i="3"/>
  <c r="H23" i="3"/>
  <c r="H25" i="3"/>
  <c r="I22" i="3"/>
  <c r="I23" i="3"/>
  <c r="H21" i="3"/>
  <c r="H8"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A17" i="3"/>
  <c r="I76" i="3"/>
  <c r="I52" i="3"/>
  <c r="H86" i="3"/>
  <c r="I55" i="3"/>
  <c r="H84" i="3"/>
  <c r="I21" i="3"/>
  <c r="CA16" i="3" s="1"/>
  <c r="CB26" i="3"/>
  <c r="CB17" i="3"/>
  <c r="CA26" i="3"/>
  <c r="CB14" i="3"/>
  <c r="CA14" i="3"/>
  <c r="CB44" i="3" l="1"/>
  <c r="CB19"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4"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4" i="3" l="1"/>
  <c r="K93" i="3"/>
  <c r="L97" i="3"/>
  <c r="L87" i="3"/>
  <c r="K24" i="3"/>
  <c r="L13" i="3"/>
  <c r="K14" i="3"/>
  <c r="K12" i="3"/>
  <c r="CF48" i="3"/>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CF45" i="3" s="1"/>
  <c r="L65" i="3"/>
  <c r="L55" i="3"/>
  <c r="K60" i="3"/>
  <c r="K84" i="3"/>
  <c r="K17" i="3"/>
  <c r="L68" i="3"/>
  <c r="K29" i="3"/>
  <c r="CF21" i="3" s="1"/>
  <c r="K5" i="3"/>
  <c r="L29" i="3"/>
  <c r="K13" i="3"/>
  <c r="K48" i="3"/>
  <c r="K92" i="3"/>
  <c r="L17" i="3"/>
  <c r="K21" i="3"/>
  <c r="CF17" i="3" s="1"/>
  <c r="L36" i="3"/>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s="1"/>
  <c r="CF30" i="3" l="1"/>
  <c r="CF22"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H9" i="3"/>
  <c r="CH12" i="3"/>
  <c r="O17" i="3" s="1"/>
  <c r="CH19" i="3"/>
  <c r="O28" i="3" s="1"/>
  <c r="CH26" i="3"/>
  <c r="CH40" i="3"/>
  <c r="CH11" i="3"/>
  <c r="O12" i="3" s="1"/>
  <c r="CH14" i="3"/>
  <c r="CH13" i="3"/>
  <c r="O13" i="3" s="1"/>
  <c r="O94" i="3" l="1"/>
  <c r="CJ50" i="3" s="1"/>
  <c r="CI36" i="3"/>
  <c r="O93" i="3"/>
  <c r="N95" i="3"/>
  <c r="N96" i="3"/>
  <c r="O97" i="3"/>
  <c r="O95" i="3"/>
  <c r="O64" i="3"/>
  <c r="N61" i="3"/>
  <c r="O47" i="3"/>
  <c r="O44" i="3"/>
  <c r="CI26" i="3"/>
  <c r="CI27" i="3"/>
  <c r="CI51" i="3"/>
  <c r="N29" i="3"/>
  <c r="CI9" i="3"/>
  <c r="O55" i="3"/>
  <c r="O33" i="3"/>
  <c r="CJ19" i="3" s="1"/>
  <c r="N9" i="3"/>
  <c r="N36" i="3"/>
  <c r="O41" i="3"/>
  <c r="O4" i="3"/>
  <c r="O69" i="3"/>
  <c r="CK40" i="3" s="1"/>
  <c r="CI35" i="3"/>
  <c r="N72" i="3"/>
  <c r="CK21" i="3"/>
  <c r="O30" i="3"/>
  <c r="N32" i="3"/>
  <c r="CJ18" i="3" s="1"/>
  <c r="N7" i="3"/>
  <c r="O29" i="3"/>
  <c r="CI20" i="3" s="1"/>
  <c r="N49" i="3"/>
  <c r="N52" i="3"/>
  <c r="N54" i="3"/>
  <c r="N37" i="3"/>
  <c r="CI25" i="3" s="1"/>
  <c r="N8" i="3"/>
  <c r="CK22" i="3"/>
  <c r="CK41" i="3"/>
  <c r="O52" i="3"/>
  <c r="N97" i="3"/>
  <c r="O77" i="3"/>
  <c r="N80" i="3"/>
  <c r="N55" i="3"/>
  <c r="CI31" i="3" s="1"/>
  <c r="N81" i="3"/>
  <c r="CI42" i="3" s="1"/>
  <c r="N84" i="3"/>
  <c r="CI45" i="3"/>
  <c r="O5" i="3"/>
  <c r="N47" i="3"/>
  <c r="CK46" i="3"/>
  <c r="CI33" i="3"/>
  <c r="O53" i="3"/>
  <c r="O79" i="3"/>
  <c r="N6" i="3"/>
  <c r="N86" i="3"/>
  <c r="CK48" i="3" s="1"/>
  <c r="O32" i="3"/>
  <c r="CI21" i="3" s="1"/>
  <c r="CI12" i="3"/>
  <c r="CI43" i="3"/>
  <c r="N88" i="3"/>
  <c r="N30" i="3"/>
  <c r="CK6" i="3"/>
  <c r="CK18" i="3"/>
  <c r="CI18" i="3"/>
  <c r="CK25" i="3"/>
  <c r="N73" i="3"/>
  <c r="CI15" i="3"/>
  <c r="N15" i="3"/>
  <c r="CK12" i="3" s="1"/>
  <c r="CI11" i="3"/>
  <c r="O96" i="3"/>
  <c r="CJ53" i="3" s="1"/>
  <c r="CL53" i="3" s="1"/>
  <c r="CK34" i="3"/>
  <c r="CK8" i="3"/>
  <c r="CI39" i="3"/>
  <c r="CK30" i="3"/>
  <c r="N68" i="3"/>
  <c r="CK39" i="3" s="1"/>
  <c r="CK50" i="3"/>
  <c r="O40" i="3"/>
  <c r="O15" i="3"/>
  <c r="CI10" i="3" s="1"/>
  <c r="N65" i="3"/>
  <c r="O9" i="3"/>
  <c r="CI7" i="3" s="1"/>
  <c r="CI23" i="3"/>
  <c r="O36" i="3"/>
  <c r="CJ22" i="3" s="1"/>
  <c r="O61" i="3"/>
  <c r="CJ36" i="3" s="1"/>
  <c r="CL36" i="3" s="1"/>
  <c r="CI8" i="3"/>
  <c r="CI47" i="3"/>
  <c r="CK37" i="3"/>
  <c r="N13" i="3"/>
  <c r="CI13" i="3" s="1"/>
  <c r="O68" i="3"/>
  <c r="O57" i="3"/>
  <c r="O65" i="3"/>
  <c r="N40" i="3"/>
  <c r="O31" i="3"/>
  <c r="CJ21" i="3" s="1"/>
  <c r="N92" i="3"/>
  <c r="CK51" i="3" s="1"/>
  <c r="N77" i="3"/>
  <c r="CK44" i="3"/>
  <c r="CI19" i="3"/>
  <c r="CI50" i="3"/>
  <c r="O25" i="3"/>
  <c r="O37" i="3"/>
  <c r="CI24" i="3" s="1"/>
  <c r="N5" i="3"/>
  <c r="CJ9" i="3" s="1"/>
  <c r="O72" i="3"/>
  <c r="CI41" i="3" s="1"/>
  <c r="O84" i="3"/>
  <c r="CI46" i="3" s="1"/>
  <c r="O87" i="3"/>
  <c r="CI49" i="3" s="1"/>
  <c r="N60" i="3"/>
  <c r="CK35" i="3" s="1"/>
  <c r="O78" i="3"/>
  <c r="O23" i="3"/>
  <c r="N94" i="3"/>
  <c r="CK52" i="3" s="1"/>
  <c r="N39" i="3"/>
  <c r="CK38" i="3"/>
  <c r="N4" i="3"/>
  <c r="CK7" i="3" s="1"/>
  <c r="CK19" i="3"/>
  <c r="N87" i="3"/>
  <c r="N25" i="3"/>
  <c r="O22" i="3"/>
  <c r="N76" i="3"/>
  <c r="CJ43" i="3" s="1"/>
  <c r="O49" i="3"/>
  <c r="CI29" i="3" s="1"/>
  <c r="N46" i="3"/>
  <c r="CJ28" i="3" s="1"/>
  <c r="N53" i="3"/>
  <c r="CK28" i="3"/>
  <c r="N85" i="3"/>
  <c r="N44" i="3"/>
  <c r="CK27" i="3" s="1"/>
  <c r="N12" i="3"/>
  <c r="O54" i="3"/>
  <c r="CI30" i="3" s="1"/>
  <c r="O89" i="3"/>
  <c r="CK47" i="3" s="1"/>
  <c r="O56" i="3"/>
  <c r="N24" i="3"/>
  <c r="O46" i="3"/>
  <c r="CI28" i="3"/>
  <c r="O21" i="3"/>
  <c r="CI16" i="3" s="1"/>
  <c r="N45" i="3"/>
  <c r="CK29" i="3" s="1"/>
  <c r="CK32" i="3"/>
  <c r="N16" i="3"/>
  <c r="CI48" i="3"/>
  <c r="CK26" i="3"/>
  <c r="CJ48" i="3"/>
  <c r="O20" i="3"/>
  <c r="CI14" i="3" s="1"/>
  <c r="N33" i="3"/>
  <c r="CK10" i="3"/>
  <c r="N69" i="3"/>
  <c r="O73" i="3"/>
  <c r="O60" i="3"/>
  <c r="CI34" i="3" s="1"/>
  <c r="O63" i="3"/>
  <c r="CI37" i="3" s="1"/>
  <c r="CI40" i="3"/>
  <c r="O70" i="3"/>
  <c r="CK17" i="3"/>
  <c r="N22" i="3"/>
  <c r="CK42" i="3"/>
  <c r="N78" i="3"/>
  <c r="O81" i="3"/>
  <c r="N14" i="3"/>
  <c r="CK13" i="3"/>
  <c r="N23" i="3"/>
  <c r="N20" i="3"/>
  <c r="CK15" i="3" s="1"/>
  <c r="O24" i="3"/>
  <c r="N17" i="3"/>
  <c r="O14" i="3"/>
  <c r="CK33" i="3"/>
  <c r="CK53" i="3"/>
  <c r="CK14" i="3"/>
  <c r="CK49" i="3"/>
  <c r="CK31" i="3"/>
  <c r="CI52" i="3" l="1"/>
  <c r="CI44" i="3"/>
  <c r="CK45" i="3"/>
  <c r="CK43" i="3"/>
  <c r="CI38" i="3"/>
  <c r="CK36" i="3"/>
  <c r="CK23" i="3"/>
  <c r="CK24" i="3"/>
  <c r="CI22" i="3"/>
  <c r="CL22" i="3" s="1"/>
  <c r="CK20" i="3"/>
  <c r="CK16" i="3"/>
  <c r="CK11" i="3"/>
  <c r="CI6" i="3"/>
  <c r="CL50" i="3"/>
  <c r="CJ30" i="3"/>
  <c r="CL30" i="3" s="1"/>
  <c r="CJ32" i="3"/>
  <c r="CL32" i="3" s="1"/>
  <c r="CJ52" i="3"/>
  <c r="CJ40" i="3"/>
  <c r="CL40" i="3" s="1"/>
  <c r="CL9" i="3"/>
  <c r="CJ26" i="3"/>
  <c r="CL26" i="3" s="1"/>
  <c r="CJ51" i="3"/>
  <c r="CL51" i="3" s="1"/>
  <c r="CJ45" i="3"/>
  <c r="CL45" i="3" s="1"/>
  <c r="CJ42" i="3"/>
  <c r="CL42" i="3" s="1"/>
  <c r="CL48" i="3"/>
  <c r="CJ47" i="3"/>
  <c r="CL47" i="3" s="1"/>
  <c r="CJ13" i="3"/>
  <c r="CL13" i="3" s="1"/>
  <c r="CJ44" i="3"/>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52" i="3" l="1"/>
  <c r="CL44" i="3"/>
  <c r="CM46" i="3" s="1"/>
  <c r="CM45" i="3"/>
  <c r="CM53" i="3"/>
  <c r="CM48" i="3"/>
  <c r="CM16" i="3"/>
  <c r="CM40" i="3"/>
  <c r="CM30" i="3"/>
  <c r="CM17" i="3"/>
  <c r="CM15" i="3"/>
  <c r="CM34" i="3"/>
  <c r="CM31" i="3"/>
  <c r="CM33" i="3"/>
  <c r="CM47" i="3"/>
  <c r="CM22" i="3"/>
  <c r="CM43" i="3"/>
  <c r="CM21" i="3"/>
  <c r="CM35" i="3"/>
  <c r="CM18" i="3"/>
  <c r="CM49" i="3"/>
  <c r="CM20" i="3"/>
  <c r="CM14" i="3"/>
  <c r="CM26" i="3"/>
  <c r="CM38" i="3"/>
  <c r="CM19" i="3"/>
  <c r="CM28" i="3"/>
  <c r="CM24" i="3"/>
  <c r="CM11" i="3"/>
  <c r="CM13" i="3"/>
  <c r="CM12" i="3"/>
  <c r="CM10" i="3"/>
  <c r="CM32" i="3"/>
  <c r="CM9" i="3"/>
  <c r="CM8" i="3"/>
  <c r="CM7" i="3"/>
  <c r="CM6" i="3"/>
  <c r="CM29" i="3"/>
  <c r="CM39" i="3"/>
  <c r="CM41" i="3"/>
  <c r="CM51" i="3"/>
  <c r="CM36" i="3"/>
  <c r="CM27" i="3"/>
  <c r="CM25" i="3"/>
  <c r="CM23" i="3"/>
  <c r="CM52" i="3"/>
  <c r="CM37" i="3"/>
  <c r="CM42" i="3" l="1"/>
  <c r="CM44" i="3"/>
  <c r="CM50" i="3"/>
  <c r="CN25" i="3" l="1"/>
  <c r="Q39" i="3" s="1"/>
  <c r="CN6" i="3"/>
  <c r="Q7" i="3" s="1"/>
  <c r="CN35" i="3"/>
  <c r="R63" i="3" s="1"/>
  <c r="CN39" i="3"/>
  <c r="R71" i="3" s="1"/>
  <c r="CN45" i="3"/>
  <c r="Q79" i="3" s="1"/>
  <c r="CN40" i="3"/>
  <c r="R73" i="3" s="1"/>
  <c r="CN53" i="3"/>
  <c r="Q95" i="3" s="1"/>
  <c r="CN9" i="3"/>
  <c r="Q6" i="3" s="1"/>
  <c r="CN16" i="3"/>
  <c r="R25" i="3" s="1"/>
  <c r="CN15" i="3"/>
  <c r="Q25" i="3" s="1"/>
  <c r="CN12" i="3"/>
  <c r="R15" i="3" s="1"/>
  <c r="CN27" i="3"/>
  <c r="R47" i="3" s="1"/>
  <c r="CN22" i="3"/>
  <c r="Q36" i="3" s="1"/>
  <c r="CN29" i="3"/>
  <c r="Q47" i="3" s="1"/>
  <c r="CN41" i="3"/>
  <c r="Q71" i="3" s="1"/>
  <c r="CN42" i="3"/>
  <c r="Q76" i="3" s="1"/>
  <c r="CN24" i="3"/>
  <c r="Q37" i="3" s="1"/>
  <c r="CN31" i="3"/>
  <c r="R52" i="3" s="1"/>
  <c r="CN17" i="3"/>
  <c r="Q24" i="3" s="1"/>
  <c r="CN30" i="3"/>
  <c r="R57" i="3" s="1"/>
  <c r="CN46" i="3"/>
  <c r="Q84" i="3" s="1"/>
  <c r="CN20" i="3"/>
  <c r="R33" i="3" s="1"/>
  <c r="CN28" i="3"/>
  <c r="R46" i="3" s="1"/>
  <c r="CN26" i="3"/>
  <c r="Q44" i="3" s="1"/>
  <c r="CN34" i="3"/>
  <c r="R65" i="3" s="1"/>
  <c r="CN52" i="3"/>
  <c r="R97" i="3" s="1"/>
  <c r="CN8" i="3"/>
  <c r="Q5" i="3" s="1"/>
  <c r="CN10" i="3"/>
  <c r="Q15" i="3" s="1"/>
  <c r="CN18" i="3"/>
  <c r="Q28" i="3" s="1"/>
  <c r="CN23" i="3"/>
  <c r="R36" i="3" s="1"/>
  <c r="CN7" i="3"/>
  <c r="R4" i="3" s="1"/>
  <c r="CN51" i="3"/>
  <c r="R92" i="3" s="1"/>
  <c r="CN21" i="3"/>
  <c r="Q32" i="3" s="1"/>
  <c r="CN19" i="3"/>
  <c r="Q33" i="3" s="1"/>
  <c r="CN38" i="3"/>
  <c r="Q70" i="3" s="1"/>
  <c r="CN44" i="3"/>
  <c r="Q77" i="3" s="1"/>
  <c r="CN47" i="3"/>
  <c r="Q89" i="3" s="1"/>
  <c r="CN43" i="3"/>
  <c r="R76" i="3" s="1"/>
  <c r="CN49" i="3"/>
  <c r="Q87" i="3" s="1"/>
  <c r="CN32" i="3"/>
  <c r="Q53" i="3" s="1"/>
  <c r="CN50" i="3"/>
  <c r="Q94" i="3" s="1"/>
  <c r="CN33" i="3"/>
  <c r="Q57" i="3" s="1"/>
  <c r="CN37" i="3"/>
  <c r="R61" i="3" s="1"/>
  <c r="CN48" i="3"/>
  <c r="Q85" i="3" s="1"/>
  <c r="CN13" i="3"/>
  <c r="R13" i="3" s="1"/>
  <c r="CN36" i="3"/>
  <c r="R64" i="3" s="1"/>
  <c r="CN14" i="3"/>
  <c r="Q20" i="3" s="1"/>
  <c r="CN11" i="3"/>
  <c r="Q17" i="3" s="1"/>
  <c r="Q41" i="3"/>
  <c r="R37" i="3"/>
  <c r="Q69" i="3"/>
  <c r="R70" i="3"/>
  <c r="R93" i="3"/>
  <c r="Q73" i="3" l="1"/>
  <c r="CP30" i="3"/>
  <c r="Q54" i="3"/>
  <c r="CO23" i="3"/>
  <c r="Q65" i="3"/>
  <c r="Q86" i="3"/>
  <c r="Q31" i="3"/>
  <c r="CP12" i="3"/>
  <c r="R21" i="3"/>
  <c r="Q49" i="3"/>
  <c r="Q4" i="3"/>
  <c r="Q22" i="3"/>
  <c r="R45" i="3"/>
  <c r="R8" i="3"/>
  <c r="CO9" i="3" s="1"/>
  <c r="R68" i="3"/>
  <c r="Q96" i="3"/>
  <c r="R81" i="3"/>
  <c r="R30" i="3"/>
  <c r="R55" i="3"/>
  <c r="R94" i="3"/>
  <c r="CP23" i="3"/>
  <c r="Q40" i="3"/>
  <c r="R39" i="3"/>
  <c r="R53" i="3"/>
  <c r="Q56" i="3"/>
  <c r="R16" i="3"/>
  <c r="Q93" i="3"/>
  <c r="Q63" i="3"/>
  <c r="Q78" i="3"/>
  <c r="Q12" i="3"/>
  <c r="R22" i="3"/>
  <c r="Q64" i="3"/>
  <c r="Q21" i="3"/>
  <c r="Q72" i="3"/>
  <c r="R7" i="3"/>
  <c r="R69" i="3"/>
  <c r="R60" i="3"/>
  <c r="R9" i="3"/>
  <c r="R23" i="3"/>
  <c r="CO18" i="3"/>
  <c r="Q30" i="3"/>
  <c r="R5" i="3"/>
  <c r="CO8" i="3" s="1"/>
  <c r="R95" i="3"/>
  <c r="CO53" i="3" s="1"/>
  <c r="Q8" i="3"/>
  <c r="Q81" i="3"/>
  <c r="Q97" i="3"/>
  <c r="CO52" i="3" s="1"/>
  <c r="CP33" i="3"/>
  <c r="Q55" i="3"/>
  <c r="Q52" i="3"/>
  <c r="CO30" i="3"/>
  <c r="R38" i="3"/>
  <c r="R77" i="3"/>
  <c r="R40" i="3"/>
  <c r="Q9" i="3"/>
  <c r="R6" i="3"/>
  <c r="Q29" i="3"/>
  <c r="R89" i="3"/>
  <c r="Q13" i="3"/>
  <c r="CO15" i="3"/>
  <c r="R88" i="3"/>
  <c r="R29" i="3"/>
  <c r="CP20" i="3"/>
  <c r="R20" i="3"/>
  <c r="R17" i="3"/>
  <c r="R41" i="3"/>
  <c r="R32" i="3"/>
  <c r="CP22" i="3"/>
  <c r="Q62" i="3"/>
  <c r="Q45" i="3"/>
  <c r="R96" i="3"/>
  <c r="R49" i="3"/>
  <c r="Q60" i="3"/>
  <c r="Q46" i="3"/>
  <c r="Q48" i="3"/>
  <c r="CO26" i="3"/>
  <c r="R44" i="3"/>
  <c r="Q38" i="3"/>
  <c r="R48" i="3"/>
  <c r="CO27" i="3" s="1"/>
  <c r="Q14" i="3"/>
  <c r="R84" i="3"/>
  <c r="R72" i="3"/>
  <c r="Q68" i="3"/>
  <c r="CP39" i="3" s="1"/>
  <c r="CO12" i="3"/>
  <c r="R80" i="3"/>
  <c r="CO43" i="3" s="1"/>
  <c r="Q92" i="3"/>
  <c r="CP51" i="3" s="1"/>
  <c r="Q23" i="3"/>
  <c r="R31" i="3"/>
  <c r="R14" i="3"/>
  <c r="R24" i="3"/>
  <c r="R28" i="3"/>
  <c r="R78" i="3"/>
  <c r="Q61" i="3"/>
  <c r="CP37" i="3" s="1"/>
  <c r="R85" i="3"/>
  <c r="R79" i="3"/>
  <c r="CP45" i="3" s="1"/>
  <c r="R54" i="3"/>
  <c r="CO47" i="3"/>
  <c r="CP47" i="3"/>
  <c r="CO19" i="3"/>
  <c r="Q16" i="3"/>
  <c r="CO10" i="3" s="1"/>
  <c r="R62" i="3"/>
  <c r="R12" i="3"/>
  <c r="Q88" i="3"/>
  <c r="Q80" i="3"/>
  <c r="R87" i="3"/>
  <c r="R86" i="3"/>
  <c r="R56" i="3"/>
  <c r="CP53" i="3"/>
  <c r="CP36" i="3"/>
  <c r="CO35" i="3"/>
  <c r="CO22" i="3"/>
  <c r="CP49" i="3"/>
  <c r="CP35" i="3"/>
  <c r="CP34" i="3"/>
  <c r="CP48" i="3"/>
  <c r="CO24" i="3"/>
  <c r="CO37" i="3"/>
  <c r="CQ37" i="3" s="1"/>
  <c r="CP38" i="3"/>
  <c r="CP14" i="3"/>
  <c r="CP46" i="3"/>
  <c r="CO34" i="3"/>
  <c r="CQ22" i="3"/>
  <c r="CP40" i="3"/>
  <c r="CO46" i="3"/>
  <c r="CP24" i="3"/>
  <c r="CO21" i="3"/>
  <c r="CO40" i="3"/>
  <c r="CO49" i="3"/>
  <c r="CO48" i="3"/>
  <c r="CO38" i="3"/>
  <c r="CP31" i="3"/>
  <c r="CP32" i="3"/>
  <c r="CP16" i="3"/>
  <c r="CP10" i="3"/>
  <c r="CQ10"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O13" i="3"/>
  <c r="CO7" i="3"/>
  <c r="CO6" i="3"/>
  <c r="CP6" i="3"/>
  <c r="CP8" i="3"/>
  <c r="CQ8" i="3" s="1"/>
  <c r="CP7" i="3"/>
  <c r="CP52" i="3"/>
  <c r="CP27" i="3"/>
  <c r="CQ27" i="3" s="1"/>
  <c r="CO41" i="3"/>
  <c r="CO29" i="3"/>
  <c r="CQ23" i="3"/>
  <c r="CP29" i="3"/>
  <c r="CO51" i="3"/>
  <c r="CQ51" i="3" s="1"/>
  <c r="CO33" i="3"/>
  <c r="CQ33" i="3" s="1"/>
  <c r="CO39" i="3"/>
  <c r="CQ39" i="3" s="1"/>
  <c r="CO25" i="3"/>
  <c r="CP25" i="3"/>
  <c r="CP41" i="3"/>
  <c r="CO36" i="3"/>
  <c r="CQ36" i="3" s="1"/>
  <c r="CQ53" i="3"/>
  <c r="CQ47" i="3"/>
  <c r="CO42" i="3" l="1"/>
  <c r="CQ12" i="3"/>
  <c r="CP50" i="3"/>
  <c r="CO50" i="3"/>
  <c r="CP11" i="3"/>
  <c r="CO44" i="3"/>
  <c r="CO11" i="3"/>
  <c r="CP43" i="3"/>
  <c r="CQ43" i="3" s="1"/>
  <c r="CP42" i="3"/>
  <c r="CO45" i="3"/>
  <c r="CQ45" i="3" s="1"/>
  <c r="CP44" i="3"/>
  <c r="CQ35" i="3"/>
  <c r="CQ49" i="3"/>
  <c r="CQ24" i="3"/>
  <c r="CQ48" i="3"/>
  <c r="CQ34" i="3"/>
  <c r="CQ14" i="3"/>
  <c r="CQ21" i="3"/>
  <c r="CQ46" i="3"/>
  <c r="CQ16" i="3"/>
  <c r="CQ40" i="3"/>
  <c r="CQ38" i="3"/>
  <c r="CQ31" i="3"/>
  <c r="CQ32" i="3"/>
  <c r="CQ28" i="3"/>
  <c r="CQ13" i="3"/>
  <c r="CQ17" i="3"/>
  <c r="CQ7" i="3"/>
  <c r="CQ6" i="3"/>
  <c r="CQ41" i="3"/>
  <c r="CQ52" i="3"/>
  <c r="CQ29" i="3"/>
  <c r="CQ25" i="3"/>
  <c r="CQ42" i="3" l="1"/>
  <c r="CQ44" i="3"/>
  <c r="CQ50" i="3"/>
  <c r="CR50" i="3" s="1"/>
  <c r="CQ11" i="3"/>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57" i="3" l="1"/>
  <c r="U38" i="3"/>
  <c r="T54" i="3"/>
  <c r="T37" i="3"/>
  <c r="T41" i="3"/>
  <c r="U37" i="3"/>
  <c r="CT24" i="3"/>
  <c r="U33" i="3"/>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T88" i="3"/>
  <c r="T56" i="3"/>
  <c r="CT32" i="3" s="1"/>
  <c r="T53" i="3"/>
  <c r="CT33" i="3" s="1"/>
  <c r="U13" i="3"/>
  <c r="CT12" i="3" s="1"/>
  <c r="U49" i="3"/>
  <c r="T16" i="3"/>
  <c r="U52" i="3"/>
  <c r="T64" i="3"/>
  <c r="U14" i="3"/>
  <c r="U60" i="3"/>
  <c r="U54" i="3"/>
  <c r="T76" i="3"/>
  <c r="U12" i="3"/>
  <c r="T94" i="3"/>
  <c r="U28" i="3"/>
  <c r="T68" i="3"/>
  <c r="U21" i="3"/>
  <c r="CT38" i="3"/>
  <c r="U93" i="3"/>
  <c r="T33" i="3"/>
  <c r="U29" i="3"/>
  <c r="T20" i="3"/>
  <c r="T96" i="3"/>
  <c r="U72" i="3"/>
  <c r="U96" i="3"/>
  <c r="CT53" i="3" s="1"/>
  <c r="T44" i="3"/>
  <c r="T5" i="3"/>
  <c r="U39" i="3"/>
  <c r="CT25" i="3" s="1"/>
  <c r="T72" i="3"/>
  <c r="T57" i="3"/>
  <c r="U94" i="3"/>
  <c r="U36" i="3"/>
  <c r="CT22" i="3" s="1"/>
  <c r="T65" i="3"/>
  <c r="U61" i="3"/>
  <c r="U17" i="3"/>
  <c r="T23" i="3"/>
  <c r="U69" i="3"/>
  <c r="CT40" i="3" s="1"/>
  <c r="T55" i="3"/>
  <c r="U97" i="3"/>
  <c r="CT51" i="3" s="1"/>
  <c r="U6" i="3"/>
  <c r="T25" i="3"/>
  <c r="CT34" i="3"/>
  <c r="U79" i="3"/>
  <c r="T60" i="3"/>
  <c r="CT35" i="3" s="1"/>
  <c r="T4" i="3"/>
  <c r="CT7" i="3" s="1"/>
  <c r="T62" i="3"/>
  <c r="T7" i="3"/>
  <c r="U20" i="3"/>
  <c r="T48" i="3"/>
  <c r="CT28" i="3" s="1"/>
  <c r="U44" i="3"/>
  <c r="U76" i="3"/>
  <c r="CT43" i="3"/>
  <c r="U46" i="3"/>
  <c r="T45" i="3"/>
  <c r="T47" i="3"/>
  <c r="T9" i="3"/>
  <c r="T49" i="3"/>
  <c r="CT31" i="3"/>
  <c r="CT15" i="3"/>
  <c r="CT49" i="3"/>
  <c r="CT50" i="3" l="1"/>
  <c r="CT47" i="3"/>
  <c r="CT11"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M33" i="3" l="1"/>
  <c r="DN31" i="3" a="1"/>
  <c r="DN31" i="3" s="1"/>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4" i="3" l="1"/>
  <c r="N126" i="3" s="1"/>
  <c r="AF126" i="3" s="1"/>
  <c r="BF59" i="3"/>
  <c r="BJ59" i="3" s="1"/>
  <c r="BF63" i="3"/>
  <c r="BJ63"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L65" i="3" s="1"/>
  <c r="BK64" i="3"/>
  <c r="BK68" i="3"/>
  <c r="BJ68" i="3"/>
  <c r="BE66" i="3"/>
  <c r="BR66" i="3" s="1"/>
  <c r="BE59" i="3"/>
  <c r="BR59" i="3" s="1"/>
  <c r="BK63" i="3"/>
  <c r="BJ69" i="3"/>
  <c r="BK69" i="3"/>
  <c r="D104" i="3"/>
  <c r="AG104" i="3" s="1"/>
  <c r="AG116" i="3"/>
  <c r="N127" i="3"/>
  <c r="AF127" i="3" s="1"/>
  <c r="AG115" i="3"/>
  <c r="M126" i="3"/>
  <c r="AA126" i="3" s="1"/>
  <c r="AG114" i="3"/>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AG127" i="3" s="1"/>
  <c r="D124" i="3"/>
  <c r="AG124" i="3" s="1"/>
  <c r="D121" i="3"/>
  <c r="M131" i="3" s="1"/>
  <c r="AA131" i="3" s="1"/>
  <c r="BL63" i="3"/>
  <c r="BL59"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2" i="3"/>
  <c r="M133" i="3"/>
  <c r="AA133" i="3" s="1"/>
  <c r="D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M132" i="3" l="1"/>
  <c r="AA132" i="3" s="1"/>
  <c r="D132" i="3" s="1"/>
  <c r="N138" i="3" s="1"/>
  <c r="AF138" i="3" s="1"/>
  <c r="N134" i="3"/>
  <c r="AF134" i="3" s="1"/>
  <c r="D134" i="3" s="1"/>
  <c r="AG121" i="3"/>
  <c r="D120" i="3"/>
  <c r="BS63" i="3"/>
  <c r="BS68" i="3"/>
  <c r="BS66" i="3"/>
  <c r="BS65" i="3"/>
  <c r="BS58" i="3"/>
  <c r="BS69" i="3"/>
  <c r="BS60" i="3"/>
  <c r="BS64" i="3"/>
  <c r="BS67" i="3"/>
  <c r="BS62" i="3"/>
  <c r="BS61" i="3"/>
  <c r="BS59" i="3"/>
  <c r="C190" i="31"/>
  <c r="AE11" i="45"/>
  <c r="B200" i="31"/>
  <c r="AG126" i="3"/>
  <c r="AG133" i="3"/>
  <c r="M139" i="3"/>
  <c r="AA139" i="3" s="1"/>
  <c r="C212" i="31"/>
  <c r="AI31" i="45"/>
  <c r="AI43" i="45"/>
  <c r="C213" i="31"/>
  <c r="B223" i="31"/>
  <c r="C223" i="31"/>
  <c r="AI7" i="45"/>
  <c r="C210" i="31"/>
  <c r="AG134" i="3" l="1"/>
  <c r="N139" i="3"/>
  <c r="AF139" i="3" s="1"/>
  <c r="C229" i="31" s="1"/>
  <c r="C211" i="31"/>
  <c r="AI44" i="45"/>
  <c r="AI19" i="45"/>
  <c r="C217" i="31"/>
  <c r="AG132" i="3"/>
  <c r="N131" i="3"/>
  <c r="AF131" i="3" s="1"/>
  <c r="D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D138" i="3"/>
  <c r="AA147" i="3"/>
  <c r="C227" i="31"/>
  <c r="AM37" i="45"/>
  <c r="C228" i="31"/>
  <c r="AM14" i="45"/>
  <c r="D139" i="3" l="1"/>
  <c r="C233" i="31"/>
  <c r="AM38" i="45" a="1"/>
  <c r="AM38" i="45" s="1"/>
  <c r="AF147" i="3"/>
  <c r="C247" i="31" s="1"/>
  <c r="B233" i="31"/>
  <c r="M138" i="3"/>
  <c r="AA138" i="3" s="1"/>
  <c r="AG131" i="3"/>
  <c r="C220" i="31"/>
  <c r="C214" i="31"/>
  <c r="B220" i="31"/>
  <c r="AI8" i="45"/>
  <c r="BV61" i="3"/>
  <c r="BV60" i="3"/>
  <c r="BV66" i="3"/>
  <c r="BV69" i="3"/>
  <c r="BV65" i="3"/>
  <c r="BV68" i="3"/>
  <c r="BV62" i="3"/>
  <c r="BV59" i="3"/>
  <c r="BV64" i="3"/>
  <c r="BV58" i="3"/>
  <c r="BV67" i="3"/>
  <c r="BV63" i="3"/>
  <c r="D147" i="3"/>
  <c r="AG147" i="3" s="1"/>
  <c r="AA150" i="3"/>
  <c r="H147" i="3"/>
  <c r="AA151" i="3"/>
  <c r="C237" i="31"/>
  <c r="AQ32" i="45"/>
  <c r="AG139" i="3"/>
  <c r="N143" i="3"/>
  <c r="N147" i="3"/>
  <c r="AU26" i="45"/>
  <c r="C241" i="31"/>
  <c r="C240" i="31"/>
  <c r="B247" i="31"/>
  <c r="AU25" i="45"/>
  <c r="AG138" i="3"/>
  <c r="M147" i="3"/>
  <c r="M143" i="3"/>
  <c r="H138" i="3" l="1"/>
  <c r="AA143" i="3"/>
  <c r="B232" i="31"/>
  <c r="AM13" i="45"/>
  <c r="C226" i="31"/>
  <c r="C232"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A152" i="3" l="1"/>
  <c r="D143" i="3"/>
  <c r="AG143" i="3" s="1"/>
  <c r="C236" i="31"/>
  <c r="AQ31" i="45"/>
  <c r="B244" i="31"/>
  <c r="C244" i="31"/>
  <c r="BY59" i="3"/>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Y63" i="3"/>
  <c r="BY60" i="3"/>
  <c r="BY61" i="3"/>
  <c r="BY68" i="3"/>
  <c r="BY66" i="3"/>
  <c r="BY69" i="3"/>
  <c r="BY64" i="3"/>
  <c r="BY62" i="3"/>
  <c r="BY67" i="3"/>
  <c r="BY58" i="3"/>
  <c r="BY65" i="3"/>
  <c r="AG152" i="3" l="1"/>
  <c r="C252" i="31"/>
  <c r="AZ25" i="45"/>
  <c r="BZ65" i="3"/>
  <c r="CA65" i="3" s="1"/>
  <c r="BZ60" i="3"/>
  <c r="BZ64" i="3"/>
  <c r="BZ58" i="3"/>
  <c r="BZ59" i="3"/>
  <c r="CA59" i="3" s="1"/>
  <c r="BZ61" i="3"/>
  <c r="BZ68" i="3"/>
  <c r="BZ69" i="3"/>
  <c r="BZ67" i="3"/>
  <c r="BZ62" i="3"/>
  <c r="BZ63" i="3"/>
  <c r="BZ66" i="3"/>
  <c r="BM13" i="45" l="1"/>
  <c r="BL13" i="45" s="1"/>
  <c r="BM4" i="45"/>
  <c r="BL4" i="45" s="1"/>
  <c r="BM47" i="45"/>
  <c r="BL47" i="45" s="1"/>
  <c r="BM6" i="45"/>
  <c r="BL6" i="45" s="1"/>
  <c r="BM24" i="45"/>
  <c r="BL24" i="45" s="1"/>
  <c r="BM10" i="45"/>
  <c r="BL10" i="45" s="1"/>
  <c r="BM19" i="45"/>
  <c r="BL19" i="45" s="1"/>
  <c r="BM35" i="45"/>
  <c r="BL35" i="45" s="1"/>
  <c r="BM20" i="45"/>
  <c r="BL20" i="45" s="1"/>
  <c r="BM44" i="45"/>
  <c r="BL44" i="45" s="1"/>
  <c r="BM22" i="45"/>
  <c r="BL22" i="45" s="1"/>
  <c r="BM38" i="45"/>
  <c r="BL38" i="45" s="1"/>
  <c r="BM34" i="45"/>
  <c r="BL34" i="45" s="1"/>
  <c r="BM49" i="45"/>
  <c r="BL49" i="45" s="1"/>
  <c r="BM11" i="45"/>
  <c r="BL11" i="45" s="1"/>
  <c r="BM12" i="45"/>
  <c r="BL12" i="45" s="1"/>
  <c r="BM7" i="45"/>
  <c r="BL7" i="45" s="1"/>
  <c r="BM32" i="45"/>
  <c r="BL32" i="45" s="1"/>
  <c r="BM5" i="45"/>
  <c r="BL5" i="45" s="1"/>
  <c r="BM26" i="45"/>
  <c r="BL26" i="45" s="1"/>
  <c r="BM18" i="45"/>
  <c r="BL18" i="45" s="1"/>
  <c r="BM27" i="45"/>
  <c r="BL27" i="45" s="1"/>
  <c r="BM17" i="45"/>
  <c r="BL17" i="45" s="1"/>
  <c r="BM15" i="45"/>
  <c r="BL15" i="45" s="1"/>
  <c r="BM39" i="45"/>
  <c r="BL39" i="45" s="1"/>
  <c r="BM16" i="45"/>
  <c r="BL16" i="45" s="1"/>
  <c r="BM45" i="45"/>
  <c r="BL45" i="45" s="1"/>
  <c r="BM46" i="45"/>
  <c r="BL46" i="45" s="1"/>
  <c r="BM48" i="45"/>
  <c r="BL48" i="45" s="1"/>
  <c r="BM9" i="45"/>
  <c r="BL9" i="45" s="1"/>
  <c r="BM14" i="45"/>
  <c r="BL14" i="45" s="1"/>
  <c r="BM8" i="45"/>
  <c r="BL8" i="45" s="1"/>
  <c r="BM42" i="45"/>
  <c r="BL42" i="45" s="1"/>
  <c r="BM31" i="45"/>
  <c r="BL31" i="45" s="1"/>
  <c r="BM41" i="45"/>
  <c r="BL41" i="45" s="1"/>
  <c r="BM30" i="45"/>
  <c r="BL30" i="45" s="1"/>
  <c r="BM29" i="45"/>
  <c r="BL29" i="45" s="1"/>
  <c r="BM50" i="45"/>
  <c r="BL50" i="45" s="1"/>
  <c r="BM28" i="45"/>
  <c r="BL28" i="45" s="1"/>
  <c r="BM36" i="45"/>
  <c r="BL36" i="45" s="1"/>
  <c r="BM43" i="45"/>
  <c r="BL43" i="45" s="1"/>
  <c r="BM21" i="45"/>
  <c r="BL21" i="45" s="1"/>
  <c r="BM23" i="45"/>
  <c r="BL23" i="45" s="1"/>
  <c r="BM33" i="45"/>
  <c r="BL33" i="45" s="1"/>
  <c r="BM40" i="45"/>
  <c r="BL40" i="45" s="1"/>
  <c r="BM37" i="45"/>
  <c r="BL37" i="45" s="1"/>
  <c r="BM51" i="45"/>
  <c r="BL51" i="45" s="1"/>
  <c r="BM25" i="45"/>
  <c r="BL25" i="45" s="1"/>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<sst xmlns="http://schemas.openxmlformats.org/spreadsheetml/2006/main" count="6764" uniqueCount="1523">
  <si>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</si>
  <si>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</si>
  <si>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</si>
  <si>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</si>
  <si>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</si>
  <si>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</si>
  <si>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</si>
  <si>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</si>
  <si>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</si>
  <si>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</si>
  <si>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</si>
  <si>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</si>
  <si>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</si>
  <si>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</si>
  <si>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</si>
  <si>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</si>
  <si>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</si>
  <si>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</si>
  <si>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</si>
  <si>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</si>
  <si>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</si>
  <si>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</si>
  <si>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</si>
  <si>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</si>
  <si>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</si>
  <si>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</si>
  <si>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</si>
  <si>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</si>
  <si>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</si>
  <si>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</si>
  <si>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</si>
  <si>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</si>
  <si>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</si>
  <si>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</si>
  <si>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</si>
  <si>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</si>
  <si>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</si>
  <si>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</si>
  <si>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</si>
  <si>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</si>
  <si>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</si>
  <si>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</si>
  <si>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</si>
  <si>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</si>
  <si>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</si>
  <si>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</si>
  <si>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</si>
  <si>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</si>
  <si>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</si>
  <si>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</si>
  <si>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</si>
  <si>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</si>
  <si>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</si>
  <si>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</si>
  <si>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</si>
  <si>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</si>
  <si>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</si>
  <si>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</si>
  <si>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</si>
  <si>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</si>
  <si>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</si>
  <si>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</si>
  <si>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</si>
  <si>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</si>
  <si>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</si>
  <si>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</si>
  <si>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</si>
  <si>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</si>
  <si>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</si>
  <si>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</si>
  <si>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</si>
  <si>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</si>
  <si>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</si>
  <si>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</si>
  <si>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</si>
  <si>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</si>
  <si>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</si>
  <si>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</si>
  <si>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</si>
  <si>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</si>
  <si>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</si>
  <si>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</si>
  <si>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</si>
  <si>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</si>
  <si>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</si>
  <si>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</si>
  <si>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</si>
  <si>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</si>
  <si>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</si>
  <si>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</si>
  <si>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</si>
  <si>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</si>
  <si>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</si>
  <si>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</si>
  <si>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</si>
  <si>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</si>
  <si>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</si>
  <si>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</si>
  <si>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</si>
  <si>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</si>
  <si>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</si>
  <si>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</si>
  <si>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</si>
  <si>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</si>
  <si>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</si>
  <si>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</si>
  <si>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</si>
  <si>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</si>
  <si>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</si>
  <si>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</si>
  <si>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</si>
  <si>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</si>
  <si>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</si>
  <si>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</si>
  <si>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</si>
  <si>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</si>
  <si>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</si>
  <si>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</si>
  <si>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</si>
  <si>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</si>
  <si>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</si>
  <si>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</si>
  <si>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</si>
  <si>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</si>
  <si>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</si>
  <si>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</si>
  <si>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</si>
  <si>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</si>
  <si>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</si>
  <si>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</si>
  <si>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</si>
  <si>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</si>
  <si>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</si>
  <si>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</si>
  <si>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</si>
  <si>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</si>
  <si>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</si>
  <si>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</si>
  <si>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</si>
  <si>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</si>
  <si>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</si>
  <si>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</si>
  <si>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</si>
  <si>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</si>
  <si>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</si>
  <si>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</si>
  <si>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</si>
  <si>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</si>
  <si>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</si>
  <si>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</si>
  <si>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</si>
  <si>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</si>
  <si>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</si>
  <si>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</si>
  <si>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</si>
  <si>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</si>
  <si>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</si>
  <si>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</si>
  <si>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</si>
  <si>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</si>
  <si>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</si>
  <si>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</si>
  <si>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</si>
  <si>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</si>
  <si>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</si>
  <si>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</si>
  <si>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</si>
  <si>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</si>
  <si>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</si>
  <si>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</si>
  <si>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</si>
  <si>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</si>
  <si>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</si>
  <si>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</si>
  <si>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</si>
  <si>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</si>
  <si>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</si>
  <si>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</si>
  <si>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</si>
  <si>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</si>
  <si>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</si>
  <si>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</si>
  <si>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</si>
  <si>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</si>
  <si>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</si>
  <si>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</si>
  <si>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</si>
  <si>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</si>
  <si>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</si>
  <si>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</si>
  <si>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</si>
  <si>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</si>
  <si>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</si>
  <si>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</si>
  <si>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</si>
  <si>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</si>
  <si>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</si>
  <si>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</si>
  <si>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</si>
  <si>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</si>
  <si>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</si>
  <si>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</si>
  <si>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</si>
  <si>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</si>
  <si>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</si>
  <si>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</si>
  <si>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</si>
  <si>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</si>
  <si>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</si>
  <si>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</si>
  <si>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</si>
  <si>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</si>
  <si>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</si>
  <si>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</si>
  <si>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</si>
  <si>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</si>
  <si>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</si>
  <si>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</si>
  <si>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</si>
  <si>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</si>
  <si>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</si>
  <si>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</si>
  <si>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</si>
  <si>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</si>
  <si>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</si>
  <si>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</si>
  <si>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</si>
  <si>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</si>
  <si>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</si>
  <si>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</si>
  <si>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</si>
  <si>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</si>
  <si>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</si>
  <si>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</si>
  <si>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</si>
  <si>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</si>
  <si>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</si>
  <si>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</si>
  <si>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</si>
  <si>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</si>
  <si>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</si>
  <si>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</si>
  <si>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</si>
  <si>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</si>
  <si>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</si>
  <si>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</si>
  <si>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</si>
  <si>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</si>
  <si>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</si>
  <si>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</si>
  <si>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</si>
  <si>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</si>
  <si>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</si>
  <si>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</si>
  <si>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</si>
  <si>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</si>
  <si>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</si>
  <si>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</si>
  <si>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</si>
  <si>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</si>
  <si>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</si>
  <si>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</si>
  <si>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</si>
  <si>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</si>
  <si>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</si>
  <si>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</si>
  <si>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</si>
  <si>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</si>
  <si>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</si>
  <si>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</si>
  <si>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</si>
  <si>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</si>
  <si>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</si>
  <si>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</si>
  <si>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</si>
  <si>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</si>
  <si>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</si>
  <si>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</si>
  <si>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</si>
  <si>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</si>
  <si>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</si>
  <si>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</si>
  <si>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</si>
  <si>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</si>
  <si>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</si>
  <si>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</si>
  <si>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</si>
  <si>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</si>
  <si>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</si>
  <si>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</si>
  <si>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</si>
  <si>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</si>
  <si>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</si>
  <si>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</si>
  <si>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</si>
  <si>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</si>
  <si>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</si>
  <si>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</si>
  <si>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</si>
  <si>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</si>
  <si>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</si>
  <si>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</si>
  <si>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</si>
  <si>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</si>
  <si>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</si>
  <si>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</si>
  <si>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</si>
  <si>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</si>
  <si>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</si>
  <si>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</si>
  <si>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</si>
  <si>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</si>
  <si>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</si>
  <si>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</si>
  <si>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</si>
  <si>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</si>
  <si>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</si>
  <si>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</si>
  <si>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</si>
  <si>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</si>
  <si>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</si>
  <si>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</si>
  <si>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</si>
  <si>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</si>
  <si>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</si>
  <si>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</si>
  <si>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</si>
  <si>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</si>
  <si>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</si>
  <si>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</si>
  <si>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</si>
  <si>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</si>
  <si>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</si>
  <si>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</si>
  <si>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</si>
  <si>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</si>
  <si>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</si>
  <si>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</si>
  <si>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</si>
  <si>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</si>
  <si>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</si>
  <si>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</si>
  <si>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</si>
  <si>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</si>
  <si>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</si>
  <si>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</si>
  <si>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</si>
  <si>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</si>
  <si>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</si>
  <si>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</si>
  <si>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</si>
  <si>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</si>
  <si>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</si>
  <si>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</si>
  <si>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</si>
  <si>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</si>
  <si>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</si>
  <si>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</si>
  <si>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</si>
  <si>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</si>
  <si>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</si>
  <si>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</si>
  <si>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</si>
  <si>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</si>
  <si>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</si>
  <si>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</si>
  <si>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</si>
  <si>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</si>
  <si>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</si>
  <si>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</si>
  <si>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</si>
  <si>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</si>
  <si>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</si>
  <si>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</si>
  <si>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</si>
  <si>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</si>
  <si>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</si>
  <si>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</si>
  <si>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</si>
  <si>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</si>
  <si>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</si>
  <si>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</si>
  <si>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</si>
  <si>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</si>
  <si>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</si>
  <si>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</si>
  <si>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</si>
  <si>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</si>
  <si>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</si>
  <si>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</si>
  <si>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</si>
  <si>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</si>
  <si>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</si>
  <si>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</si>
  <si>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</si>
  <si>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</si>
  <si>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</si>
  <si>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</si>
  <si>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</si>
  <si>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</si>
  <si>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</si>
  <si>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</si>
  <si>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</si>
  <si>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</si>
  <si>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</si>
  <si>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</si>
  <si>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</si>
  <si>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</si>
  <si>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</si>
  <si>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</si>
  <si>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</si>
  <si>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</si>
  <si>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</si>
  <si>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</si>
  <si>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</si>
  <si>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</si>
  <si>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</si>
  <si>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</si>
  <si>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</si>
  <si>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</si>
  <si>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</si>
  <si>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</si>
  <si>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</si>
  <si>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</si>
  <si>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</si>
  <si>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</si>
  <si>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</si>
  <si>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</si>
  <si>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</si>
  <si>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</si>
  <si>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</si>
  <si>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</si>
  <si>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</si>
  <si>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</si>
  <si>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</si>
  <si>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</si>
  <si>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</si>
  <si>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</si>
  <si>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</si>
  <si>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</si>
  <si>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</si>
  <si>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</si>
  <si>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</si>
  <si>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</si>
  <si>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</si>
  <si>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</si>
  <si>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</si>
  <si>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</si>
  <si>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</si>
  <si>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</si>
  <si>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</si>
  <si>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</si>
  <si>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</si>
  <si>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</si>
  <si>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</si>
  <si>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</si>
  <si>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</si>
  <si>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</si>
  <si>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</si>
  <si>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</si>
  <si>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</si>
  <si>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</si>
  <si>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</si>
  <si>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</si>
  <si>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</si>
  <si>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</si>
  <si>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</si>
  <si>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</si>
  <si>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</si>
  <si>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</si>
  <si>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</si>
  <si>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</si>
  <si>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</si>
  <si>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</si>
  <si>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</si>
  <si>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</si>
  <si>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</si>
  <si>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</si>
  <si>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</si>
  <si>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</si>
  <si>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</si>
  <si>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</si>
  <si>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</si>
  <si>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</si>
  <si>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</si>
  <si>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</si>
  <si>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</si>
  <si>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</si>
  <si>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</si>
  <si>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</si>
  <si>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</si>
  <si>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</si>
  <si>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</si>
  <si>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</si>
  <si>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</si>
  <si>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</si>
  <si>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</si>
  <si>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</si>
  <si>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</si>
  <si>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</si>
  <si>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</si>
  <si>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</si>
  <si>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</si>
  <si>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</si>
  <si>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</si>
  <si>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</si>
  <si>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</si>
  <si>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</si>
  <si>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</si>
  <si>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</si>
  <si>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</si>
  <si>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</si>
  <si>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</si>
  <si>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</si>
  <si>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</si>
  <si>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</si>
  <si>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</si>
  <si>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</si>
  <si>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</si>
  <si>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</si>
  <si>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</si>
  <si>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</si>
  <si>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</si>
  <si>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</si>
  <si>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</si>
  <si>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</si>
  <si>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</si>
  <si>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</si>
  <si>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</si>
  <si>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</si>
  <si>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</si>
  <si>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</si>
  <si>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</si>
  <si>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</si>
  <si>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</si>
  <si>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</si>
  <si>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</si>
  <si>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</si>
  <si>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</si>
  <si>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</si>
  <si>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</si>
  <si>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</si>
  <si>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</si>
  <si>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</si>
  <si>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</si>
  <si>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</si>
  <si>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</si>
  <si>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</si>
  <si>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</si>
  <si>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</si>
  <si>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</si>
  <si>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</si>
  <si>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</si>
  <si>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</si>
  <si>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</si>
  <si>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</si>
  <si>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</si>
  <si>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</si>
  <si>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</si>
  <si>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</si>
  <si>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</si>
  <si>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</si>
  <si>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</si>
  <si>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</si>
  <si>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</si>
  <si>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</si>
  <si>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</si>
  <si>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</si>
  <si>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</si>
  <si>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</si>
  <si>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</si>
  <si>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</si>
  <si>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</si>
  <si>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</si>
  <si>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</si>
  <si>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</si>
  <si>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</si>
  <si>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</si>
  <si>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</si>
  <si>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</si>
  <si>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</si>
  <si>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</si>
  <si>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</si>
  <si>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</si>
  <si>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</si>
  <si>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</si>
  <si>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</si>
  <si>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</si>
  <si>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</si>
  <si>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</si>
  <si>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</si>
  <si>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</si>
  <si>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</si>
  <si>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</si>
  <si>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</si>
  <si>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</si>
  <si>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</si>
  <si>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</si>
  <si>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</si>
  <si>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</si>
  <si>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</si>
  <si>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</si>
  <si>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</si>
  <si>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</si>
  <si>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</si>
  <si>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</si>
  <si>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</si>
  <si>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</si>
  <si>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</si>
  <si>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</si>
  <si>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</si>
  <si>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</si>
  <si>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</si>
  <si>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</si>
  <si>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</si>
  <si>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</si>
  <si>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</si>
  <si>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</si>
  <si>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</si>
  <si>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</si>
  <si>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</si>
  <si>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</si>
  <si>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</si>
  <si>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</si>
  <si>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</si>
  <si>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</si>
  <si>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</si>
  <si>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</si>
  <si>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</si>
  <si>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</si>
  <si>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</si>
  <si>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</si>
  <si>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</si>
  <si>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</si>
  <si>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</si>
  <si>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</si>
  <si>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</si>
  <si>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</si>
  <si>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</si>
  <si>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</si>
  <si>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</si>
  <si>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</si>
  <si>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</si>
  <si>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</si>
  <si>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</si>
  <si>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</si>
  <si>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</si>
  <si>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</si>
  <si>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</si>
  <si>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</si>
  <si>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</si>
  <si>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</si>
  <si>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</si>
  <si>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</si>
  <si>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</si>
  <si>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</si>
  <si>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</si>
  <si>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</si>
  <si>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</si>
  <si>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</si>
  <si>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</si>
  <si>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</si>
  <si>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</si>
  <si>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</si>
  <si>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</si>
  <si>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</si>
  <si>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</si>
  <si>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</si>
  <si>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</si>
  <si>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</si>
  <si>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</si>
  <si>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</si>
  <si>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</si>
  <si>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</si>
  <si>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</si>
  <si>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</si>
  <si>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</si>
  <si>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</si>
  <si>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</si>
  <si>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</si>
  <si>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</si>
  <si>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</si>
  <si>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</si>
  <si>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</si>
  <si>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</si>
  <si>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</si>
  <si>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</si>
  <si>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</si>
  <si>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</si>
  <si>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</si>
  <si>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</si>
  <si>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</si>
  <si>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</si>
  <si>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</si>
  <si>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</si>
  <si>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</si>
  <si>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</si>
  <si>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</si>
  <si>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</si>
  <si>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</si>
  <si>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</si>
  <si>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</si>
  <si>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</si>
  <si>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</si>
  <si>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</si>
  <si>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</si>
  <si>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</si>
  <si>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</si>
  <si>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</si>
  <si>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</si>
  <si>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</si>
  <si>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</si>
  <si>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</si>
  <si>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</si>
  <si>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</si>
  <si>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</si>
  <si>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</si>
  <si>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</si>
  <si>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</si>
  <si>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</si>
  <si>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</si>
  <si>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</si>
  <si>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</si>
  <si>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</si>
  <si>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</si>
  <si>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</si>
  <si>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</si>
  <si>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</si>
  <si>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</si>
  <si>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</si>
  <si>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</si>
  <si>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</si>
  <si>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</si>
  <si>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</si>
  <si>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</si>
  <si>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</si>
  <si>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</si>
  <si>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</si>
  <si>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</si>
  <si>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</si>
  <si>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</si>
  <si>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</si>
  <si>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</si>
  <si>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</si>
  <si>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</si>
  <si>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</si>
  <si>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</si>
  <si>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</si>
  <si>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</si>
  <si>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</si>
  <si>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</si>
  <si>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</si>
  <si>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</si>
  <si>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</si>
  <si>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</si>
  <si>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</si>
  <si>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</si>
  <si>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</si>
  <si>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</si>
  <si>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</si>
  <si>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</si>
  <si>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</si>
  <si>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</si>
  <si>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</si>
  <si>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</si>
  <si>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</si>
  <si>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</si>
  <si>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</si>
  <si>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</si>
  <si>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</si>
  <si>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</si>
  <si>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</si>
  <si>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</si>
  <si>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</si>
  <si>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</si>
  <si>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</si>
  <si>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</si>
  <si>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</si>
  <si>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</si>
  <si>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</si>
  <si>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</si>
  <si>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</si>
  <si>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</si>
  <si>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</si>
  <si>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</si>
  <si>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</si>
  <si>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</si>
  <si>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</si>
  <si>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</si>
  <si>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</si>
  <si>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</si>
  <si>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</si>
  <si>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</si>
  <si>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</si>
  <si>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</si>
  <si>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</si>
  <si>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</si>
  <si>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</si>
  <si>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</si>
  <si>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</si>
  <si>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</si>
  <si>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</si>
  <si>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</si>
  <si>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</si>
  <si>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</si>
  <si>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</si>
  <si>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</si>
  <si>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</si>
  <si>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</si>
  <si>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</si>
  <si>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</si>
  <si>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</si>
  <si>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</si>
  <si>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</si>
  <si>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</si>
  <si>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</si>
  <si>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</si>
  <si>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</si>
  <si>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</si>
  <si>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</si>
  <si>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</si>
  <si>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</si>
  <si>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</si>
  <si>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</si>
  <si>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</si>
  <si>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</si>
  <si>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</si>
  <si>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</si>
  <si>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</si>
  <si>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</si>
  <si>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</si>
  <si>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</si>
  <si>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</si>
  <si>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</si>
  <si>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</si>
  <si>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</si>
  <si>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</si>
  <si>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</si>
  <si>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</si>
  <si>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</si>
  <si>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</si>
  <si>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</si>
  <si>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</si>
  <si>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</si>
  <si>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</si>
  <si>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</si>
  <si>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</si>
  <si>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</si>
  <si>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</si>
  <si>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</si>
  <si>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</si>
  <si>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</si>
  <si>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</si>
  <si>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</si>
  <si>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</si>
  <si>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</si>
  <si>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</si>
  <si>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</si>
  <si>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</si>
  <si>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</si>
  <si>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</si>
  <si>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</si>
  <si>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</si>
  <si>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</si>
  <si>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</si>
  <si>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</si>
  <si>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</si>
  <si>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</si>
  <si>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</si>
  <si>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</si>
  <si>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</si>
  <si>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</si>
  <si>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</si>
  <si>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</si>
  <si>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</si>
  <si>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</si>
  <si>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</si>
  <si>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</si>
  <si>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</si>
  <si>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</si>
  <si>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</si>
  <si>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</si>
  <si>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</si>
  <si>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</si>
  <si>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</si>
  <si>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</si>
  <si>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</si>
  <si>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</si>
  <si>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</si>
  <si>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</si>
  <si>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</si>
  <si>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</si>
  <si>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</si>
  <si>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</si>
  <si>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</si>
  <si>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</si>
  <si>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</si>
  <si>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</si>
  <si>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</si>
  <si>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</si>
  <si>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</si>
  <si>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</si>
  <si>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</si>
  <si>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</si>
  <si>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</si>
  <si>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</si>
  <si>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</si>
  <si>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</si>
  <si>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</si>
  <si>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</si>
  <si>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</si>
  <si>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</si>
  <si>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</si>
  <si>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</si>
  <si>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</si>
  <si>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</si>
  <si>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</si>
  <si>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</si>
  <si>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</si>
  <si>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</si>
  <si>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</si>
  <si>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</si>
  <si>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</si>
  <si>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</si>
  <si>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</si>
  <si>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</si>
  <si>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</si>
  <si>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</si>
  <si>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</si>
  <si>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</si>
  <si>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</si>
  <si>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</si>
  <si>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</si>
  <si>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</si>
  <si>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</si>
  <si>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</si>
  <si>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</si>
  <si>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</si>
  <si>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</si>
  <si>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</si>
  <si>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</si>
  <si>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</si>
  <si>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</si>
  <si>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</si>
  <si>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</si>
  <si>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</si>
  <si>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</si>
  <si>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</si>
  <si>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</si>
  <si>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</si>
  <si>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</si>
  <si>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</si>
  <si>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</si>
  <si>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</si>
  <si>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</si>
  <si>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</si>
  <si>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</si>
  <si>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</si>
  <si>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</si>
  <si>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</si>
  <si>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</si>
  <si>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</si>
  <si>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</si>
  <si>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</si>
  <si>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</si>
  <si>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</si>
  <si>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</si>
  <si>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</si>
  <si>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</si>
  <si>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</si>
  <si>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</si>
  <si>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</si>
  <si>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</si>
  <si>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</si>
  <si>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</si>
  <si>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</si>
  <si>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</si>
  <si>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</si>
  <si>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</si>
  <si>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</si>
  <si>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</si>
  <si>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</si>
  <si>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</si>
  <si>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</si>
  <si>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</si>
  <si>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</si>
  <si>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</si>
  <si>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</si>
  <si>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</si>
  <si>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</si>
  <si>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</si>
  <si>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</si>
  <si>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</si>
  <si>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</si>
  <si>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</si>
  <si>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</si>
  <si>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</si>
  <si>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</si>
  <si>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</si>
  <si>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</si>
  <si>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</si>
  <si>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</si>
  <si>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</si>
  <si>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</si>
  <si>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</si>
  <si>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</si>
  <si>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</si>
  <si>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</si>
  <si>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</si>
  <si>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</si>
  <si>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</si>
  <si>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</si>
  <si>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</si>
  <si>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</si>
  <si>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</si>
  <si>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</si>
  <si>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</si>
  <si>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</si>
  <si>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</si>
  <si>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</si>
  <si>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</si>
  <si>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</si>
  <si>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</si>
  <si>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</si>
  <si>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</si>
  <si>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</si>
  <si>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</si>
  <si>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</si>
  <si>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</si>
  <si>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</si>
  <si>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</si>
  <si>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</si>
  <si>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</si>
  <si>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</si>
  <si>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</si>
  <si>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</si>
  <si>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</si>
  <si>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</si>
  <si>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</si>
  <si>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</si>
  <si>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</si>
  <si>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</si>
  <si>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</si>
  <si>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</si>
  <si>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</si>
  <si>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</si>
  <si>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</si>
  <si>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</si>
  <si>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</si>
  <si>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</si>
  <si>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</si>
  <si>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</si>
  <si>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</si>
  <si>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</si>
  <si>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</si>
  <si>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</si>
  <si>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</si>
  <si>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</si>
  <si>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</si>
  <si>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</si>
  <si>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</si>
  <si>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</si>
  <si>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</si>
  <si>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</si>
  <si>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</si>
  <si>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</si>
  <si>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</si>
  <si>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</si>
  <si>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</si>
  <si>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</si>
  <si>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</si>
  <si>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</si>
  <si>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</si>
  <si>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</si>
  <si>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</si>
  <si>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</si>
  <si>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</si>
  <si>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</si>
  <si>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</si>
  <si>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</si>
  <si>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</si>
  <si>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</si>
  <si>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</si>
  <si>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</si>
  <si>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</si>
  <si>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</si>
  <si>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</si>
  <si>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</si>
  <si>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</si>
  <si>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</si>
  <si>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</si>
  <si>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</si>
  <si>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</si>
  <si>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</si>
  <si>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</si>
  <si>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</si>
  <si>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</si>
  <si>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</si>
  <si>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</si>
  <si>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</si>
  <si>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</si>
  <si>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</si>
  <si>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</si>
  <si>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</si>
  <si>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</si>
  <si>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</si>
  <si>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</si>
  <si>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</si>
  <si>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</si>
  <si>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</si>
  <si>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</si>
  <si>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</si>
  <si>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</si>
  <si>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</si>
  <si>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</si>
  <si>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</si>
  <si>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</si>
  <si>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</si>
  <si>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</si>
  <si>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</si>
  <si>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</si>
  <si>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</si>
  <si>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</si>
  <si>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</si>
  <si>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</si>
  <si>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</si>
  <si>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</si>
  <si>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</si>
  <si>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</si>
  <si>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</si>
  <si>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</si>
  <si>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</si>
  <si>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</si>
  <si>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</si>
  <si>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</si>
  <si>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</si>
  <si>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</si>
  <si>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</si>
  <si>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</si>
  <si>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</si>
  <si>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</si>
  <si>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</si>
  <si>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</si>
  <si>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</si>
  <si>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</si>
  <si>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</si>
  <si>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</si>
  <si>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</si>
  <si>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</si>
  <si>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</si>
  <si>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</si>
  <si>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</si>
  <si>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</si>
  <si>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</si>
  <si>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</si>
  <si>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</si>
  <si>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</si>
  <si>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</si>
  <si>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</si>
  <si>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</si>
  <si>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</si>
  <si>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</si>
  <si>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</si>
  <si>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</si>
  <si>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</si>
  <si>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</si>
  <si>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</si>
  <si>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</si>
  <si>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</si>
  <si>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</si>
  <si>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</si>
  <si>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</si>
  <si>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</si>
  <si>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</si>
  <si>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</si>
  <si>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</si>
  <si>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</si>
  <si>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</si>
  <si>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</si>
  <si>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</si>
  <si>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</si>
  <si>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</si>
  <si>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</si>
  <si>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</si>
  <si>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</si>
  <si>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</si>
  <si>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</si>
  <si>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</si>
  <si>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</si>
  <si>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</si>
  <si>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</si>
  <si>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</si>
  <si>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</si>
  <si>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</si>
  <si>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</si>
  <si>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</si>
  <si>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</si>
  <si>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</si>
  <si>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</si>
  <si>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</si>
  <si>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</si>
  <si>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</si>
  <si>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</si>
  <si>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</si>
  <si>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</si>
  <si>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</si>
  <si>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</si>
  <si>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</si>
  <si>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</si>
  <si>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</si>
  <si>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</si>
  <si>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</si>
  <si>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</si>
  <si>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</si>
  <si>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</si>
  <si>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</si>
  <si>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</si>
  <si>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</si>
  <si>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</si>
  <si>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</si>
  <si>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</si>
  <si>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</si>
  <si>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</si>
  <si>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</si>
  <si>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</si>
  <si>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</si>
  <si>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</si>
  <si>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</si>
  <si>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</si>
  <si>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</si>
  <si>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</si>
  <si>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</si>
  <si>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</si>
  <si>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</si>
  <si>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</si>
  <si>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</si>
  <si>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</si>
  <si>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</si>
  <si>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</si>
  <si>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</si>
  <si>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</si>
  <si>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</si>
  <si>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</si>
  <si>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</si>
  <si>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</si>
  <si>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</si>
  <si>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</si>
  <si>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</si>
  <si>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</si>
  <si>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</si>
  <si>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</si>
  <si>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</si>
  <si>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</si>
  <si>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</si>
  <si>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</si>
  <si>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</si>
  <si>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</si>
  <si>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</si>
  <si>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</si>
  <si>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</si>
  <si>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</si>
  <si>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</si>
  <si>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</si>
  <si>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</si>
  <si>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</si>
  <si>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</si>
  <si>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</si>
  <si>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</si>
  <si>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</si>
  <si>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</si>
  <si>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</si>
  <si>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</si>
  <si>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</si>
  <si>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</si>
  <si>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</si>
  <si>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</si>
  <si>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</si>
  <si>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</si>
  <si>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</si>
  <si>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</si>
  <si>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</si>
  <si>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</si>
  <si>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</si>
  <si>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</si>
  <si>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</si>
  <si>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</si>
  <si>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</si>
  <si>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</si>
  <si>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</si>
  <si>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</si>
  <si>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</si>
  <si>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</si>
  <si>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</si>
  <si>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</si>
  <si>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</si>
  <si>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</si>
  <si>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</si>
  <si>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</si>
  <si>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</si>
  <si>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</si>
  <si>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</si>
  <si>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</si>
  <si>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</si>
  <si>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</si>
  <si>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</si>
  <si>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</si>
  <si>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</si>
  <si>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</si>
  <si>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</si>
  <si>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</si>
  <si>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</si>
  <si>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</si>
  <si>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</si>
  <si>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</si>
  <si>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</si>
  <si>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</si>
  <si>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</si>
  <si>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</si>
  <si>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</si>
  <si>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</si>
  <si>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</si>
  <si>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</si>
  <si>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</si>
  <si>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</si>
  <si>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</si>
  <si>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</si>
  <si>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</si>
  <si>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</si>
  <si>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</si>
  <si>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</si>
  <si>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</si>
  <si>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</si>
  <si>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</si>
  <si>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</si>
  <si>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</si>
  <si>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</si>
  <si>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</si>
  <si>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</si>
  <si>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</si>
  <si>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</si>
  <si>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</si>
  <si>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</si>
  <si>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</si>
  <si>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</si>
  <si>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</si>
  <si>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</si>
  <si>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</si>
  <si>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</si>
  <si>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</si>
  <si>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</si>
  <si>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</si>
  <si>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</si>
  <si>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</si>
  <si>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</si>
  <si>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</si>
  <si>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</si>
  <si>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</si>
  <si>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</si>
  <si>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</si>
  <si>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</si>
  <si>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</si>
  <si>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</si>
  <si>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</si>
  <si>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</si>
  <si>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</si>
  <si>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</si>
  <si>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</si>
  <si>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</si>
  <si>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</si>
  <si>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</si>
  <si>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</si>
  <si>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</si>
  <si>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</si>
  <si>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</si>
  <si>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</si>
  <si>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</si>
  <si>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</si>
  <si>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</si>
  <si>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</si>
  <si>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</si>
  <si>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</si>
  <si>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</si>
  <si>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</si>
  <si>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</si>
  <si>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</si>
  <si>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</si>
  <si>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</si>
  <si>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</si>
  <si>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</si>
  <si>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</si>
  <si>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</si>
  <si>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</si>
  <si>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</si>
  <si>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</si>
  <si>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</si>
  <si>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</si>
  <si>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</si>
  <si>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</si>
  <si>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</si>
  <si>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</si>
  <si>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</si>
  <si>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</si>
  <si>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</si>
  <si>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</si>
  <si>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</si>
  <si>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</si>
  <si>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</si>
  <si>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</si>
  <si>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</si>
  <si>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</si>
  <si>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</si>
  <si>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</si>
  <si>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</si>
  <si>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</si>
  <si>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</si>
  <si>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</si>
  <si>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</si>
  <si>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</si>
  <si>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</si>
  <si>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</si>
  <si>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</si>
  <si>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</si>
  <si>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</si>
  <si>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</si>
  <si>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</si>
  <si>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</si>
  <si>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</si>
  <si>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</si>
  <si>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</si>
  <si>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</si>
  <si>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</si>
  <si>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</si>
  <si>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</si>
  <si>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</si>
  <si>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</si>
  <si>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</si>
  <si>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</si>
  <si>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</si>
  <si>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</si>
  <si>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</si>
  <si>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</si>
  <si>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</si>
  <si>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</si>
  <si>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</si>
  <si>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</si>
  <si>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</si>
  <si>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</si>
  <si>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</si>
  <si>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</si>
  <si>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</si>
  <si>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</si>
  <si>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</si>
  <si>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</si>
  <si>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</si>
  <si>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</si>
  <si>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</si>
  <si>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</si>
  <si>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</si>
  <si>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</si>
  <si>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</si>
  <si>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</si>
  <si>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</si>
  <si>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</si>
  <si>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</si>
  <si>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</si>
  <si>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</si>
  <si>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</si>
  <si>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</si>
  <si>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</si>
  <si>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</si>
  <si>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</si>
  <si>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</si>
  <si>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</si>
  <si>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</si>
  <si>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</si>
  <si>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</si>
  <si>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</si>
  <si>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</si>
  <si>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</si>
  <si>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</si>
  <si>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</si>
  <si>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</si>
  <si>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</si>
  <si>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</si>
  <si>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</si>
  <si>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</si>
  <si>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</si>
  <si>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</si>
  <si>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</si>
  <si>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</si>
  <si>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</si>
  <si>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</si>
  <si>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</si>
  <si>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</si>
  <si>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</si>
  <si>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</si>
  <si>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</si>
  <si>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</si>
  <si>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</si>
  <si>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</si>
  <si>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</si>
  <si>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</si>
  <si>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</si>
  <si>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</si>
  <si>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</si>
  <si>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</si>
  <si>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</si>
  <si>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</si>
  <si>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</si>
  <si>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</si>
  <si>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</si>
  <si>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</si>
  <si>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</si>
  <si>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</si>
  <si>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</si>
  <si>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</si>
  <si>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Oscar</t>
  </si>
  <si>
    <t>Kylian Mbappé</t>
  </si>
  <si>
    <t>Harry Kane</t>
  </si>
  <si>
    <t>Mikel Oyarzabal</t>
  </si>
  <si>
    <t>Vitinha</t>
  </si>
  <si>
    <t>Lamine Yamal</t>
  </si>
  <si>
    <t>Michael Olise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</si>
</sst>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1">
    <v>0</v>
    <v>8</v>
    <v>1</v>
    <v>1</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29" zoomScaleNormal="100" workbookViewId="0">
      <selection activeCell="AA162" sqref="AA162"/>
      <extLst>
        <ext xmlns:xlsdti="http://schemas.microsoft.com/office/spreadsheetml/2023/showDataTypeIcons" uri="{77bfe23e-c014-4d31-8a63-9c772dbf06b6}">
          <xlsdti:showDataTypeIcons visible="0"/>
        </ext>
      </extLst>
    </sheetView>
  </sheetViews>
  <sheetFormatPr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e" cm="1" vm="1">
        <f t="array" aca="1" ref="AB4" ca="1">Ver_flag_local</f>
        <v>#VALUE!</v>
      </c>
      <c r="AC4" s="50">
        <v>2</v>
      </c>
      <c r="AD4" s="51">
        <v>1</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5"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e" cm="1" vm="3">
        <f t="array" aca="1" ref="AB5" ca="1">Ver_flag_local</f>
        <v>#VALUE!</v>
      </c>
      <c r="AC5" s="50">
        <v>1</v>
      </c>
      <c r="AD5" s="51">
        <v>0</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e" cm="1" vm="4">
        <f t="array" aca="1" ref="AB6" ca="1">Ver_flag_local</f>
        <v>#VALUE!</v>
      </c>
      <c r="AC6" s="50">
        <v>2</v>
      </c>
      <c r="AD6" s="51">
        <v>1</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3</v>
      </c>
      <c r="AT6" s="41">
        <f t="shared" ca="1" si="15"/>
        <v>2</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3</v>
      </c>
      <c r="BL6" s="16">
        <f ca="1">+BJ6-BK6</f>
        <v>2</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5.95"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e" cm="1" vm="1">
        <f t="array" aca="1" ref="AB7" ca="1">Ver_flag_local</f>
        <v>#VALUE!</v>
      </c>
      <c r="AC7" s="50">
        <v>1</v>
      </c>
      <c r="AD7" s="51">
        <v>1</v>
      </c>
      <c r="AE7" s="595" t="e" cm="1" vm="3">
        <f t="array" aca="1" ref="AE7" ca="1">Ver_flag_visit</f>
        <v>#VALUE!</v>
      </c>
      <c r="AF7" s="32" t="str">
        <f ca="1">A7</f>
        <v>Corea del Sur</v>
      </c>
      <c r="AG7" s="323">
        <f t="shared" si="13"/>
        <v>1</v>
      </c>
      <c r="AH7" s="195">
        <v>28</v>
      </c>
      <c r="AI7" s="181" t="str">
        <f>AJ7&amp;$B$4</f>
        <v>2A</v>
      </c>
      <c r="AJ7" s="42">
        <v>2</v>
      </c>
      <c r="AK7" s="598" t="e" cm="1" vm="3">
        <f t="array" aca="1" ref="AK7" ca="1">Ver_flag_visit</f>
        <v>#VALUE!</v>
      </c>
      <c r="AL7" s="37" t="str">
        <f ca="1">IFERROR(INDEX($BD$6:$BD$53,MATCH(AI7,$BN$6:$BN$53,0)),"")</f>
        <v>Corea del Sur</v>
      </c>
      <c r="AM7" s="38">
        <f t="shared" ca="1" si="15"/>
        <v>5</v>
      </c>
      <c r="AN7" s="39">
        <f t="shared" ca="1" si="15"/>
        <v>3</v>
      </c>
      <c r="AO7" s="39">
        <f t="shared" ca="1" si="15"/>
        <v>1</v>
      </c>
      <c r="AP7" s="39">
        <f t="shared" ca="1" si="15"/>
        <v>2</v>
      </c>
      <c r="AQ7" s="39">
        <f t="shared" ca="1" si="15"/>
        <v>0</v>
      </c>
      <c r="AR7" s="39">
        <f t="shared" ca="1" si="15"/>
        <v>2</v>
      </c>
      <c r="AS7" s="39">
        <f t="shared" ca="1" si="15"/>
        <v>1</v>
      </c>
      <c r="AT7" s="43">
        <f t="shared" ca="1" si="15"/>
        <v>1</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2</v>
      </c>
      <c r="BK7" s="16">
        <f t="shared" ca="1" si="21"/>
        <v>4</v>
      </c>
      <c r="BL7" s="16">
        <f t="shared" ref="BL7:BL53" ca="1" si="42">+BJ7-BK7</f>
        <v>-2</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Corea del Sur</v>
      </c>
    </row>
    <row r="8" spans="1:121" ht="15.9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e" cm="1" vm="4">
        <f t="array" aca="1" ref="AB8" ca="1">Ver_flag_local</f>
        <v>#VALUE!</v>
      </c>
      <c r="AC8" s="50">
        <v>1</v>
      </c>
      <c r="AD8" s="51">
        <v>2</v>
      </c>
      <c r="AE8" s="595" t="e" cm="1" vm="1">
        <f t="array" aca="1" ref="AE8" ca="1">Ver_flag_visit</f>
        <v>#VALUE!</v>
      </c>
      <c r="AF8" s="32" t="str">
        <f ca="1">A5</f>
        <v>México</v>
      </c>
      <c r="AG8" s="323">
        <f t="shared" si="13"/>
        <v>1</v>
      </c>
      <c r="AH8" s="195">
        <v>53</v>
      </c>
      <c r="AI8" s="181" t="str">
        <f>AJ8&amp;$B$4</f>
        <v>3A</v>
      </c>
      <c r="AJ8" s="42">
        <v>3</v>
      </c>
      <c r="AK8" s="598" t="e" cm="1" vm="4">
        <f t="array" aca="1" ref="AK8" ca="1">Ver_flag_visit</f>
        <v>#VALUE!</v>
      </c>
      <c r="AL8" s="37" t="str">
        <f ca="1">IFERROR(INDEX($BD$6:$BD$53,MATCH(AI8,$BN$6:$BN$53,0)),"")</f>
        <v>República Checa</v>
      </c>
      <c r="AM8" s="38">
        <f t="shared" ca="1" si="15"/>
        <v>3</v>
      </c>
      <c r="AN8" s="39">
        <f t="shared" ca="1" si="15"/>
        <v>3</v>
      </c>
      <c r="AO8" s="39">
        <f t="shared" ca="1" si="15"/>
        <v>1</v>
      </c>
      <c r="AP8" s="39">
        <f t="shared" ca="1" si="15"/>
        <v>0</v>
      </c>
      <c r="AQ8" s="39">
        <f t="shared" ca="1" si="15"/>
        <v>2</v>
      </c>
      <c r="AR8" s="39">
        <f t="shared" ca="1" si="15"/>
        <v>3</v>
      </c>
      <c r="AS8" s="39">
        <f t="shared" ca="1" si="15"/>
        <v>4</v>
      </c>
      <c r="AT8" s="43">
        <f t="shared" ca="1" si="15"/>
        <v>-1</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5</v>
      </c>
      <c r="BF8" s="16">
        <f t="shared" ca="1" si="41"/>
        <v>3</v>
      </c>
      <c r="BG8" s="16">
        <f t="shared" ca="1" si="17"/>
        <v>1</v>
      </c>
      <c r="BH8" s="16">
        <f t="shared" ca="1" si="18"/>
        <v>2</v>
      </c>
      <c r="BI8" s="16">
        <f t="shared" ca="1" si="19"/>
        <v>0</v>
      </c>
      <c r="BJ8" s="16">
        <f t="shared" ca="1" si="20"/>
        <v>2</v>
      </c>
      <c r="BK8" s="16">
        <f t="shared" ca="1" si="21"/>
        <v>1</v>
      </c>
      <c r="BL8" s="16">
        <f t="shared" ca="1" si="42"/>
        <v>1</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5</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5.95" customHeight="1" thickBot="1">
      <c r="A9" s="16"/>
      <c r="B9" s="16"/>
      <c r="C9" s="16"/>
      <c r="D9" s="16" t="str">
        <f t="shared" si="0"/>
        <v>Empate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e" cm="1" vm="2">
        <f t="array" aca="1" ref="AB9" ca="1">Ver_flag_local</f>
        <v>#VALUE!</v>
      </c>
      <c r="AC9" s="53">
        <v>0</v>
      </c>
      <c r="AD9" s="54">
        <v>0</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2</v>
      </c>
      <c r="AS9" s="47">
        <f t="shared" ca="1" si="15"/>
        <v>4</v>
      </c>
      <c r="AT9" s="48">
        <f t="shared" ca="1" si="15"/>
        <v>-2</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3</v>
      </c>
      <c r="BF9" s="16">
        <f t="shared" ca="1" si="41"/>
        <v>3</v>
      </c>
      <c r="BG9" s="16">
        <f t="shared" ca="1" si="17"/>
        <v>1</v>
      </c>
      <c r="BH9" s="16">
        <f t="shared" ca="1" si="18"/>
        <v>0</v>
      </c>
      <c r="BI9" s="16">
        <f t="shared" ca="1" si="19"/>
        <v>2</v>
      </c>
      <c r="BJ9" s="16">
        <f t="shared" ca="1" si="20"/>
        <v>3</v>
      </c>
      <c r="BK9" s="16">
        <f t="shared" ca="1" si="21"/>
        <v>4</v>
      </c>
      <c r="BL9" s="16">
        <f t="shared" ca="1" si="42"/>
        <v>-1</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3</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6</v>
      </c>
      <c r="BF10" s="16">
        <f t="shared" ca="1" si="41"/>
        <v>3</v>
      </c>
      <c r="BG10" s="16">
        <f t="shared" ca="1" si="17"/>
        <v>2</v>
      </c>
      <c r="BH10" s="16">
        <f t="shared" ca="1" si="18"/>
        <v>0</v>
      </c>
      <c r="BI10" s="16">
        <f t="shared" ca="1" si="19"/>
        <v>1</v>
      </c>
      <c r="BJ10" s="16">
        <f t="shared" ca="1" si="20"/>
        <v>4</v>
      </c>
      <c r="BK10" s="16">
        <f t="shared" ca="1" si="21"/>
        <v>2</v>
      </c>
      <c r="BL10" s="16">
        <f t="shared" ca="1" si="42"/>
        <v>2</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6</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1</v>
      </c>
      <c r="BF11" s="16">
        <f t="shared" ca="1" si="41"/>
        <v>3</v>
      </c>
      <c r="BG11" s="16">
        <f t="shared" ca="1" si="17"/>
        <v>0</v>
      </c>
      <c r="BH11" s="16">
        <f t="shared" ca="1" si="18"/>
        <v>1</v>
      </c>
      <c r="BI11" s="16">
        <f t="shared" ca="1" si="19"/>
        <v>2</v>
      </c>
      <c r="BJ11" s="16">
        <f t="shared" ca="1" si="20"/>
        <v>2</v>
      </c>
      <c r="BK11" s="16">
        <f t="shared" ca="1" si="21"/>
        <v>6</v>
      </c>
      <c r="BL11" s="16">
        <f t="shared" ca="1" si="42"/>
        <v>-4</v>
      </c>
      <c r="BM11" s="16" t="str">
        <f t="shared" ca="1" si="22"/>
        <v>4B</v>
      </c>
      <c r="BN11" s="16" t="str">
        <f t="shared" ca="1" si="23"/>
        <v>4B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1</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P.3 (2)</v>
      </c>
      <c r="BU11" s="16">
        <f t="shared" ca="1" si="24"/>
        <v>0</v>
      </c>
      <c r="BV11" s="16">
        <f t="shared" ca="1" si="25"/>
        <v>1</v>
      </c>
      <c r="BW11" s="16">
        <f t="shared" ca="1" si="26"/>
        <v>0</v>
      </c>
      <c r="BX11" s="16">
        <f t="shared" ca="1" si="48"/>
        <v>1</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P.3 (2)</v>
      </c>
      <c r="CA11" s="16">
        <f t="shared" ca="1" si="27"/>
        <v>1</v>
      </c>
      <c r="CB11" s="16">
        <f t="shared" ca="1" si="28"/>
        <v>1</v>
      </c>
      <c r="CC11" s="16">
        <f t="shared" ca="1" si="49"/>
        <v>0</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P.3 (2)</v>
      </c>
      <c r="CF11" s="16">
        <f t="shared" ca="1" si="29"/>
        <v>1</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P.3 (2)</v>
      </c>
      <c r="CI11" s="16">
        <f t="shared" ca="1" si="30"/>
        <v>0</v>
      </c>
      <c r="CJ11" s="16">
        <f t="shared" ca="1" si="31"/>
        <v>1</v>
      </c>
      <c r="CK11" s="16">
        <f t="shared" ca="1" si="32"/>
        <v>0</v>
      </c>
      <c r="CL11" s="16">
        <f t="shared" ca="1" si="50"/>
        <v>1</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P.3 (2)</v>
      </c>
      <c r="CO11" s="16">
        <f t="shared" ca="1" si="33"/>
        <v>1</v>
      </c>
      <c r="CP11" s="16">
        <f t="shared" ca="1" si="34"/>
        <v>1</v>
      </c>
      <c r="CQ11" s="16">
        <f t="shared" ca="1" si="51"/>
        <v>0</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P.3 (2)</v>
      </c>
      <c r="CT11" s="16">
        <f t="shared" ca="1" si="35"/>
        <v>1</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P.3 (2)</v>
      </c>
      <c r="CW11" s="16">
        <f t="shared" ca="1" si="36"/>
        <v>-4</v>
      </c>
      <c r="CX11" s="16">
        <f ca="1">CU11+COUNTIFS($CV$6:$CV$53,CV11,$CW$6:CW$53,"&gt;"&amp;CW11,$BC$6:$BC$53,INDEX(T_Equipos[Grupo],MATCH(BD11,T_Equipos[NombreEquipo],0)))</f>
        <v>4</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4</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4</v>
      </c>
      <c r="DE11" s="16"/>
      <c r="DF11" s="16">
        <f t="shared" ca="1" si="52"/>
        <v>4</v>
      </c>
      <c r="DG11" s="16" t="str">
        <f ca="1">IF(DB11="-","-",COUNTIFS(DF$6:DF$53,"&lt;"&amp;DF11,$BC$6:$BC$53,INDEX(T_Equipos[Grupo],MATCH(BD11,T_Equipos[NombreEquipo],0))))</f>
        <v>-</v>
      </c>
      <c r="DH11" s="16">
        <f ca="1">DA11+COUNTIFS(DB$6:DB$53,DB11,DG$6:DG$53,"&lt;"&amp;DG11,$BC$6:$BC$53,INDEX(T_Equipos[Grupo],MATCH(BD11,T_Equipos[NombreEquipo],0)))</f>
        <v>4</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5.9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P.3 (2)</v>
      </c>
      <c r="G12" s="16"/>
      <c r="H12" s="16" t="str">
        <f t="shared" ref="H12:H17" ca="1" si="56">IF(D12="Pendiente","-",INDEX($BZ$6:$BZ$53,MATCH($AA12,$BD$6:$BD$53,0)))</f>
        <v>-</v>
      </c>
      <c r="I12" s="16" t="str">
        <f t="shared" ref="I12:I17" ca="1" si="57">IF(D12="Pendiente","-",INDEX($BZ$6:$BZ$53,MATCH($AF12,$BD$6:$BD$53,0)))</f>
        <v>P.3 (2)</v>
      </c>
      <c r="J12" s="16"/>
      <c r="K12" s="16" t="str">
        <f t="shared" ref="K12:K17" ca="1" si="58">IF(D12="Pendiente","-",INDEX($CE$6:$CE$53,MATCH($AA12,$BD$6:$BD$53,0)))</f>
        <v>-</v>
      </c>
      <c r="L12" s="16" t="str">
        <f t="shared" ref="L12:L17" ca="1" si="59">IF(D12="Pendiente","-",INDEX($CE$6:$CE$53,MATCH($AF12,$BD$6:$BD$53,0)))</f>
        <v>P.3 (2)</v>
      </c>
      <c r="M12" s="16"/>
      <c r="N12" s="16" t="str">
        <f t="shared" ref="N12:N17" ca="1" si="60">IF(D12="Pendiente","-",INDEX($CH$6:$CH$53,MATCH($AA12,$BD$6:$BD$53,0)))</f>
        <v>-</v>
      </c>
      <c r="O12" s="16" t="str">
        <f t="shared" ref="O12:O17" ca="1" si="61">IF(D12="Pendiente","-",INDEX($CH$6:$CH$53,MATCH($AF12,$BD$6:$BD$53,0)))</f>
        <v>P.3 (2)</v>
      </c>
      <c r="P12" s="16"/>
      <c r="Q12" s="16" t="str">
        <f t="shared" ref="Q12:Q17" ca="1" si="62">IF(D12="Pendiente","-",INDEX($CN$6:$CN$53,MATCH($AA12,$BD$6:$BD$53,0)))</f>
        <v>-</v>
      </c>
      <c r="R12" s="16" t="str">
        <f t="shared" ref="R12:R17" ca="1" si="63">IF(D12="Pendiente","-",INDEX($CN$6:$CN$53,MATCH($AF12,$BD$6:$BD$53,0)))</f>
        <v>P.3 (2)</v>
      </c>
      <c r="S12" s="16"/>
      <c r="T12" s="16" t="str">
        <f t="shared" ref="T12:T17" ca="1" si="64">IF(D12="Pendiente","-",INDEX($CS$6:$CS$53,MATCH($AA12,$BD$6:$BD$53,0)))</f>
        <v>-</v>
      </c>
      <c r="U12" s="16" t="str">
        <f t="shared" ref="U12:U17" ca="1" si="65">IF(D12="Pendiente","-",INDEX($CS$6:$CS$53,MATCH($AF12,$BD$6:$BD$53,0)))</f>
        <v>P.3 (2)</v>
      </c>
      <c r="V12" s="17"/>
      <c r="W12" s="670" t="s">
        <v>1</v>
      </c>
      <c r="X12" s="24">
        <f ca="1">Horarios!C12</f>
        <v>46185.875</v>
      </c>
      <c r="Y12" s="25">
        <f ca="1">Horarios!C12</f>
        <v>46185.875</v>
      </c>
      <c r="Z12" s="26" t="str">
        <f>$Z$4</f>
        <v>J1</v>
      </c>
      <c r="AA12" s="27" t="str">
        <f ca="1">A13</f>
        <v>Canadá</v>
      </c>
      <c r="AB12" s="49" t="e" cm="1" vm="5">
        <f t="array" aca="1" ref="AB12" ca="1">Ver_flag_local</f>
        <v>#VALUE!</v>
      </c>
      <c r="AC12" s="50">
        <v>2</v>
      </c>
      <c r="AD12" s="51">
        <v>0</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1</v>
      </c>
      <c r="BK12" s="16">
        <f t="shared" ca="1" si="21"/>
        <v>4</v>
      </c>
      <c r="BL12" s="16">
        <f t="shared" ca="1" si="42"/>
        <v>-3</v>
      </c>
      <c r="BM12" s="16" t="str">
        <f t="shared" ca="1" si="22"/>
        <v>3B</v>
      </c>
      <c r="BN12" s="16" t="str">
        <f t="shared" ca="1" si="23"/>
        <v>3B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P.3 (2)</v>
      </c>
      <c r="BU12" s="16">
        <f t="shared" ca="1" si="24"/>
        <v>0</v>
      </c>
      <c r="BV12" s="16">
        <f t="shared" ca="1" si="25"/>
        <v>1</v>
      </c>
      <c r="BW12" s="16">
        <f t="shared" ca="1" si="26"/>
        <v>0</v>
      </c>
      <c r="BX12" s="16">
        <f t="shared" ca="1" si="48"/>
        <v>1</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P.3 (2)</v>
      </c>
      <c r="CA12" s="16">
        <f t="shared" ca="1" si="27"/>
        <v>1</v>
      </c>
      <c r="CB12" s="16">
        <f t="shared" ca="1" si="28"/>
        <v>1</v>
      </c>
      <c r="CC12" s="16">
        <f t="shared" ca="1" si="49"/>
        <v>0</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P.3 (2)</v>
      </c>
      <c r="CF12" s="16">
        <f t="shared" ca="1" si="29"/>
        <v>1</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P.3 (2)</v>
      </c>
      <c r="CI12" s="16">
        <f t="shared" ca="1" si="30"/>
        <v>0</v>
      </c>
      <c r="CJ12" s="16">
        <f t="shared" ca="1" si="31"/>
        <v>1</v>
      </c>
      <c r="CK12" s="16">
        <f t="shared" ca="1" si="32"/>
        <v>0</v>
      </c>
      <c r="CL12" s="16">
        <f t="shared" ca="1" si="50"/>
        <v>1</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P.3 (2)</v>
      </c>
      <c r="CO12" s="16">
        <f t="shared" ca="1" si="33"/>
        <v>1</v>
      </c>
      <c r="CP12" s="16">
        <f t="shared" ca="1" si="34"/>
        <v>1</v>
      </c>
      <c r="CQ12" s="16">
        <f t="shared" ca="1" si="51"/>
        <v>0</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P.3 (2)</v>
      </c>
      <c r="CT12" s="16">
        <f t="shared" ca="1" si="35"/>
        <v>1</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P.3 (2)</v>
      </c>
      <c r="CW12" s="16">
        <f t="shared" ca="1" si="36"/>
        <v>-3</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3</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3</v>
      </c>
      <c r="DE12" s="16"/>
      <c r="DF12" s="16">
        <f t="shared" ca="1" si="52"/>
        <v>3</v>
      </c>
      <c r="DG12" s="16" t="str">
        <f ca="1">IF(DB12="-","-",COUNTIFS(DF$6:DF$53,"&lt;"&amp;DF12,$BC$6:$BC$53,INDEX(T_Equipos[Grupo],MATCH(BD12,T_Equipos[NombreEquipo],0))))</f>
        <v>-</v>
      </c>
      <c r="DH12" s="16">
        <f ca="1">DA12+COUNTIFS(DB$6:DB$53,DB12,DG$6:DG$53,"&lt;"&amp;DG12,$BC$6:$BC$53,INDEX(T_Equipos[Grupo],MATCH(BD12,T_Equipos[NombreEquipo],0)))</f>
        <v>3</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Catar</v>
      </c>
    </row>
    <row r="13" spans="1:121" ht="15.95" customHeight="1">
      <c r="A13" s="16" t="str">
        <f ca="1">+Equipos!B6</f>
        <v>Canadá</v>
      </c>
      <c r="B13" s="16"/>
      <c r="C13" s="16"/>
      <c r="D13" s="16" t="str">
        <f t="shared" si="53"/>
        <v>Visitante</v>
      </c>
      <c r="E13" s="16" t="str">
        <f t="shared" ca="1" si="54"/>
        <v>P.3 (2)</v>
      </c>
      <c r="F13" s="16" t="str">
        <f t="shared" ca="1" si="55"/>
        <v>-</v>
      </c>
      <c r="G13" s="16"/>
      <c r="H13" s="16" t="str">
        <f t="shared" ca="1" si="56"/>
        <v>P.3 (2)</v>
      </c>
      <c r="I13" s="16" t="str">
        <f t="shared" ca="1" si="57"/>
        <v>-</v>
      </c>
      <c r="J13" s="16"/>
      <c r="K13" s="16" t="str">
        <f t="shared" ca="1" si="58"/>
        <v>P.3 (2)</v>
      </c>
      <c r="L13" s="16" t="str">
        <f t="shared" ca="1" si="59"/>
        <v>-</v>
      </c>
      <c r="M13" s="16"/>
      <c r="N13" s="16" t="str">
        <f t="shared" ca="1" si="60"/>
        <v>P.3 (2)</v>
      </c>
      <c r="O13" s="16" t="str">
        <f t="shared" ca="1" si="61"/>
        <v>-</v>
      </c>
      <c r="P13" s="16"/>
      <c r="Q13" s="16" t="str">
        <f t="shared" ca="1" si="62"/>
        <v>P.3 (2)</v>
      </c>
      <c r="R13" s="16" t="str">
        <f t="shared" ca="1" si="63"/>
        <v>-</v>
      </c>
      <c r="S13" s="16"/>
      <c r="T13" s="16" t="str">
        <f t="shared" ca="1" si="64"/>
        <v>P.3 (2)</v>
      </c>
      <c r="U13" s="16" t="str">
        <f t="shared" ca="1" si="65"/>
        <v>-</v>
      </c>
      <c r="V13" s="17"/>
      <c r="W13" s="670"/>
      <c r="X13" s="24">
        <f ca="1">Horarios!C13</f>
        <v>46186.875</v>
      </c>
      <c r="Y13" s="25">
        <f ca="1">Horarios!C13</f>
        <v>46186.875</v>
      </c>
      <c r="Z13" s="26" t="str">
        <f>$Z$4</f>
        <v>J1</v>
      </c>
      <c r="AA13" s="27" t="str">
        <f ca="1">A15</f>
        <v>Catar</v>
      </c>
      <c r="AB13" s="49" t="e" cm="1" vm="7">
        <f t="array" aca="1" ref="AB13" ca="1">Ver_flag_local</f>
        <v>#VALUE!</v>
      </c>
      <c r="AC13" s="50">
        <v>0</v>
      </c>
      <c r="AD13" s="51">
        <v>2</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7</v>
      </c>
      <c r="BK13" s="16">
        <f t="shared" ca="1" si="21"/>
        <v>2</v>
      </c>
      <c r="BL13" s="16">
        <f t="shared" ca="1" si="42"/>
        <v>5</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Bosnia y Herzegovina</v>
      </c>
    </row>
    <row r="14" spans="1:121" ht="15.95" customHeight="1">
      <c r="A14" s="16" t="str">
        <f ca="1">+Equipos!B7</f>
        <v>Bosnia y Herzegovina</v>
      </c>
      <c r="B14" s="16"/>
      <c r="C14" s="16"/>
      <c r="D14" s="16" t="str">
        <f t="shared" si="53"/>
        <v>Local</v>
      </c>
      <c r="E14" s="16" t="str">
        <f t="shared" ca="1" si="54"/>
        <v>-</v>
      </c>
      <c r="F14" s="16" t="str">
        <f t="shared" ca="1" si="55"/>
        <v>P.3 (2)</v>
      </c>
      <c r="G14" s="16"/>
      <c r="H14" s="16" t="str">
        <f t="shared" ca="1" si="56"/>
        <v>-</v>
      </c>
      <c r="I14" s="16" t="str">
        <f t="shared" ca="1" si="57"/>
        <v>P.3 (2)</v>
      </c>
      <c r="J14" s="16"/>
      <c r="K14" s="16" t="str">
        <f t="shared" ca="1" si="58"/>
        <v>-</v>
      </c>
      <c r="L14" s="16" t="str">
        <f t="shared" ca="1" si="59"/>
        <v>P.3 (2)</v>
      </c>
      <c r="M14" s="16"/>
      <c r="N14" s="16" t="str">
        <f t="shared" ca="1" si="60"/>
        <v>-</v>
      </c>
      <c r="O14" s="16" t="str">
        <f t="shared" ca="1" si="61"/>
        <v>P.3 (2)</v>
      </c>
      <c r="P14" s="16"/>
      <c r="Q14" s="16" t="str">
        <f t="shared" ca="1" si="62"/>
        <v>-</v>
      </c>
      <c r="R14" s="16" t="str">
        <f t="shared" ca="1" si="63"/>
        <v>P.3 (2)</v>
      </c>
      <c r="S14" s="16"/>
      <c r="T14" s="16" t="str">
        <f t="shared" ca="1" si="64"/>
        <v>-</v>
      </c>
      <c r="U14" s="16" t="str">
        <f t="shared" ca="1" si="65"/>
        <v>P.3 (2)</v>
      </c>
      <c r="V14" s="17"/>
      <c r="W14" s="670"/>
      <c r="X14" s="24">
        <f ca="1">Horarios!C14</f>
        <v>46191.875</v>
      </c>
      <c r="Y14" s="25">
        <f ca="1">Horarios!C14</f>
        <v>46191.875</v>
      </c>
      <c r="Z14" s="26" t="str">
        <f>$Z$6</f>
        <v>J2</v>
      </c>
      <c r="AA14" s="27" t="str">
        <f ca="1">A16</f>
        <v>Suiza</v>
      </c>
      <c r="AB14" s="49" t="e" cm="1" vm="8">
        <f t="array" aca="1" ref="AB14" ca="1">Ver_flag_local</f>
        <v>#VALUE!</v>
      </c>
      <c r="AC14" s="50">
        <v>3</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7</v>
      </c>
      <c r="AS14" s="36">
        <f t="shared" ca="1" si="69"/>
        <v>2</v>
      </c>
      <c r="AT14" s="72">
        <f t="shared" ca="1" si="69"/>
        <v>5</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11</v>
      </c>
      <c r="BK14" s="16">
        <f t="shared" ca="1" si="21"/>
        <v>2</v>
      </c>
      <c r="BL14" s="16">
        <f t="shared" ca="1" si="42"/>
        <v>9</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5.95" customHeight="1">
      <c r="A15" s="16" t="str">
        <f ca="1">+Equipos!B8</f>
        <v>Catar</v>
      </c>
      <c r="B15" s="16"/>
      <c r="C15" s="16"/>
      <c r="D15" s="16" t="str">
        <f t="shared" si="53"/>
        <v>Local</v>
      </c>
      <c r="E15" s="16" t="str">
        <f t="shared" ca="1" si="54"/>
        <v>-</v>
      </c>
      <c r="F15" s="16" t="str">
        <f t="shared" ca="1" si="55"/>
        <v>P.3 (2)</v>
      </c>
      <c r="G15" s="16"/>
      <c r="H15" s="16" t="str">
        <f t="shared" ca="1" si="56"/>
        <v>-</v>
      </c>
      <c r="I15" s="16" t="str">
        <f t="shared" ca="1" si="57"/>
        <v>P.3 (2)</v>
      </c>
      <c r="J15" s="16"/>
      <c r="K15" s="16" t="str">
        <f t="shared" ca="1" si="58"/>
        <v>-</v>
      </c>
      <c r="L15" s="16" t="str">
        <f t="shared" ca="1" si="59"/>
        <v>P.3 (2)</v>
      </c>
      <c r="M15" s="16"/>
      <c r="N15" s="16" t="str">
        <f t="shared" ca="1" si="60"/>
        <v>-</v>
      </c>
      <c r="O15" s="16" t="str">
        <f t="shared" ca="1" si="61"/>
        <v>P.3 (2)</v>
      </c>
      <c r="P15" s="16"/>
      <c r="Q15" s="16" t="str">
        <f t="shared" ca="1" si="62"/>
        <v>-</v>
      </c>
      <c r="R15" s="16" t="str">
        <f t="shared" ca="1" si="63"/>
        <v>P.3 (2)</v>
      </c>
      <c r="S15" s="16"/>
      <c r="T15" s="16" t="str">
        <f t="shared" ca="1" si="64"/>
        <v>-</v>
      </c>
      <c r="U15" s="16" t="str">
        <f t="shared" ca="1" si="65"/>
        <v>P.3 (2)</v>
      </c>
      <c r="V15" s="17"/>
      <c r="W15" s="670"/>
      <c r="X15" s="24">
        <f ca="1">Horarios!C15</f>
        <v>46192</v>
      </c>
      <c r="Y15" s="25">
        <f ca="1">Horarios!C15</f>
        <v>46192</v>
      </c>
      <c r="Z15" s="26" t="str">
        <f>$Z$6</f>
        <v>J2</v>
      </c>
      <c r="AA15" s="27" t="str">
        <f ca="1">A13</f>
        <v>Canadá</v>
      </c>
      <c r="AB15" s="49" t="e" cm="1" vm="5">
        <f t="array" aca="1" ref="AB15" ca="1">Ver_flag_local</f>
        <v>#VALUE!</v>
      </c>
      <c r="AC15" s="50">
        <v>1</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6</v>
      </c>
      <c r="AN15" s="39">
        <f t="shared" ca="1" si="69"/>
        <v>3</v>
      </c>
      <c r="AO15" s="39">
        <f t="shared" ca="1" si="69"/>
        <v>2</v>
      </c>
      <c r="AP15" s="39">
        <f t="shared" ca="1" si="69"/>
        <v>0</v>
      </c>
      <c r="AQ15" s="39">
        <f t="shared" ca="1" si="69"/>
        <v>1</v>
      </c>
      <c r="AR15" s="39">
        <f t="shared" ca="1" si="69"/>
        <v>4</v>
      </c>
      <c r="AS15" s="39">
        <f t="shared" ca="1" si="69"/>
        <v>2</v>
      </c>
      <c r="AT15" s="74">
        <f t="shared" ca="1" si="69"/>
        <v>2</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6</v>
      </c>
      <c r="BK15" s="16">
        <f t="shared" ca="1" si="21"/>
        <v>3</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5.95"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70"/>
      <c r="X16" s="24">
        <f ca="1">Horarios!C16</f>
        <v>46197.875</v>
      </c>
      <c r="Y16" s="25">
        <f ca="1">Horarios!C16</f>
        <v>46197.875</v>
      </c>
      <c r="Z16" s="26" t="str">
        <f>$Z$8</f>
        <v>J3</v>
      </c>
      <c r="AA16" s="27" t="str">
        <f ca="1">A16</f>
        <v>Suiza</v>
      </c>
      <c r="AB16" s="49" t="e" cm="1" vm="8">
        <f t="array" aca="1" ref="AB16" ca="1">Ver_flag_local</f>
        <v>#VALUE!</v>
      </c>
      <c r="AC16" s="50">
        <v>2</v>
      </c>
      <c r="AD16" s="51">
        <v>1</v>
      </c>
      <c r="AE16" s="595" t="e" cm="1" vm="5">
        <f t="array" aca="1" ref="AE16" ca="1">Ver_flag_visit</f>
        <v>#VALUE!</v>
      </c>
      <c r="AF16" s="32" t="str">
        <f ca="1">A13</f>
        <v>Canadá</v>
      </c>
      <c r="AG16" s="323">
        <f t="shared" si="66"/>
        <v>1</v>
      </c>
      <c r="AH16" s="195">
        <v>51</v>
      </c>
      <c r="AI16" s="181" t="str">
        <f t="shared" si="70"/>
        <v>3B</v>
      </c>
      <c r="AJ16" s="73">
        <v>3</v>
      </c>
      <c r="AK16" s="602" t="e" cm="1" vm="7">
        <f t="array" aca="1" ref="AK16" ca="1">Ver_flag_visit</f>
        <v>#VALUE!</v>
      </c>
      <c r="AL16" s="37" t="str">
        <f ca="1">IFERROR(INDEX($BD$6:$BD$53,MATCH(AI16,$BN$6:$BN$53,0)),"")</f>
        <v>Catar</v>
      </c>
      <c r="AM16" s="38">
        <f t="shared" ca="1" si="69"/>
        <v>1</v>
      </c>
      <c r="AN16" s="39">
        <f t="shared" ca="1" si="69"/>
        <v>3</v>
      </c>
      <c r="AO16" s="39">
        <f t="shared" ca="1" si="69"/>
        <v>0</v>
      </c>
      <c r="AP16" s="39">
        <f t="shared" ca="1" si="69"/>
        <v>1</v>
      </c>
      <c r="AQ16" s="39">
        <f t="shared" ca="1" si="69"/>
        <v>2</v>
      </c>
      <c r="AR16" s="39">
        <f t="shared" ca="1" si="69"/>
        <v>1</v>
      </c>
      <c r="AS16" s="39">
        <f t="shared" ca="1" si="69"/>
        <v>4</v>
      </c>
      <c r="AT16" s="74">
        <f t="shared" ca="1" si="69"/>
        <v>-3</v>
      </c>
      <c r="AU16" s="330">
        <f ca="1">INDEX($DL$6:$DL$53,MATCH(AI16,$DP$6:$DP$53,0))</f>
        <v>1</v>
      </c>
      <c r="AV16" s="182" t="str">
        <f ca="1">INDEX($BD$6:$BD$53,MATCH(AI16,$BM$6:$BM$53,0))</f>
        <v>Catar</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9</v>
      </c>
      <c r="BL16" s="16">
        <f t="shared" ca="1" si="42"/>
        <v>-9</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Empate</v>
      </c>
      <c r="E17" s="16" t="str">
        <f t="shared" ca="1" si="54"/>
        <v>P.3 (2)</v>
      </c>
      <c r="F17" s="16" t="str">
        <f t="shared" ca="1" si="55"/>
        <v>P.3 (2)</v>
      </c>
      <c r="G17" s="16"/>
      <c r="H17" s="16" t="str">
        <f t="shared" ca="1" si="56"/>
        <v>P.3 (2)</v>
      </c>
      <c r="I17" s="16" t="str">
        <f t="shared" ca="1" si="57"/>
        <v>P.3 (2)</v>
      </c>
      <c r="J17" s="16"/>
      <c r="K17" s="16" t="str">
        <f t="shared" ca="1" si="58"/>
        <v>P.3 (2)</v>
      </c>
      <c r="L17" s="16" t="str">
        <f t="shared" ca="1" si="59"/>
        <v>P.3 (2)</v>
      </c>
      <c r="M17" s="16"/>
      <c r="N17" s="16" t="str">
        <f t="shared" ca="1" si="60"/>
        <v>P.3 (2)</v>
      </c>
      <c r="O17" s="16" t="str">
        <f t="shared" ca="1" si="61"/>
        <v>P.3 (2)</v>
      </c>
      <c r="P17" s="16"/>
      <c r="Q17" s="16" t="str">
        <f t="shared" ca="1" si="62"/>
        <v>P.3 (2)</v>
      </c>
      <c r="R17" s="16" t="str">
        <f t="shared" ca="1" si="63"/>
        <v>P.3 (2)</v>
      </c>
      <c r="S17" s="16"/>
      <c r="T17" s="16" t="str">
        <f t="shared" ca="1" si="64"/>
        <v>P.3 (2)</v>
      </c>
      <c r="U17" s="16" t="str">
        <f t="shared" ca="1" si="65"/>
        <v>P.3 (2)</v>
      </c>
      <c r="V17" s="17"/>
      <c r="W17" s="671"/>
      <c r="X17" s="28">
        <f ca="1">Horarios!C17</f>
        <v>46197.875</v>
      </c>
      <c r="Y17" s="29">
        <f ca="1">Horarios!C17</f>
        <v>46197.875</v>
      </c>
      <c r="Z17" s="30" t="str">
        <f>$Z$8</f>
        <v>J3</v>
      </c>
      <c r="AA17" s="31" t="str">
        <f ca="1">A14</f>
        <v>Bosnia y Herzegovina</v>
      </c>
      <c r="AB17" s="52" t="e" cm="1" vm="6">
        <f t="array" aca="1" ref="AB17" ca="1">Ver_flag_local</f>
        <v>#VALUE!</v>
      </c>
      <c r="AC17" s="53">
        <v>1</v>
      </c>
      <c r="AD17" s="54">
        <v>1</v>
      </c>
      <c r="AE17" s="596" t="e" cm="1" vm="7">
        <f t="array" aca="1" ref="AE17" ca="1">Ver_flag_visit</f>
        <v>#VALUE!</v>
      </c>
      <c r="AF17" s="33" t="str">
        <f ca="1">A15</f>
        <v>Catar</v>
      </c>
      <c r="AG17" s="323">
        <f t="shared" si="66"/>
        <v>1</v>
      </c>
      <c r="AH17" s="195">
        <v>52</v>
      </c>
      <c r="AI17" s="181" t="str">
        <f t="shared" si="70"/>
        <v>4B</v>
      </c>
      <c r="AJ17" s="75">
        <v>4</v>
      </c>
      <c r="AK17" s="603" t="e" cm="1" vm="6">
        <f t="array" aca="1" ref="AK17" ca="1">Ver_flag_visit</f>
        <v>#VALUE!</v>
      </c>
      <c r="AL17" s="76" t="str">
        <f ca="1">IFERROR(INDEX($BD$6:$BD$53,MATCH(AI17,$BN$6:$BN$53,0)),"")</f>
        <v>Bosnia y Herzegovina</v>
      </c>
      <c r="AM17" s="77">
        <f t="shared" ca="1" si="69"/>
        <v>1</v>
      </c>
      <c r="AN17" s="78">
        <f t="shared" ca="1" si="69"/>
        <v>3</v>
      </c>
      <c r="AO17" s="78">
        <f t="shared" ca="1" si="69"/>
        <v>0</v>
      </c>
      <c r="AP17" s="78">
        <f t="shared" ca="1" si="69"/>
        <v>1</v>
      </c>
      <c r="AQ17" s="78">
        <f t="shared" ca="1" si="69"/>
        <v>2</v>
      </c>
      <c r="AR17" s="78">
        <f t="shared" ca="1" si="69"/>
        <v>2</v>
      </c>
      <c r="AS17" s="78">
        <f t="shared" ca="1" si="69"/>
        <v>6</v>
      </c>
      <c r="AT17" s="79">
        <f t="shared" ca="1" si="69"/>
        <v>-4</v>
      </c>
      <c r="AU17" s="330">
        <f ca="1">INDEX($DL$6:$DL$53,MATCH(AI17,$DP$6:$DP$53,0))</f>
        <v>1</v>
      </c>
      <c r="AV17" s="182" t="str">
        <f ca="1">INDEX($BD$6:$BD$53,MATCH(AI17,$BM$6:$BM$53,0))</f>
        <v>Bosnia y Herzegovina</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3</v>
      </c>
      <c r="BK17" s="16">
        <f t="shared" ca="1" si="21"/>
        <v>6</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4</v>
      </c>
      <c r="BK18" s="16">
        <f t="shared" ca="1" si="21"/>
        <v>1</v>
      </c>
      <c r="BL18" s="16">
        <f t="shared" ca="1" si="42"/>
        <v>3</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3</v>
      </c>
      <c r="BF19" s="16">
        <f t="shared" ca="1" si="41"/>
        <v>3</v>
      </c>
      <c r="BG19" s="16">
        <f t="shared" ca="1" si="17"/>
        <v>1</v>
      </c>
      <c r="BH19" s="16">
        <f t="shared" ca="1" si="18"/>
        <v>0</v>
      </c>
      <c r="BI19" s="16">
        <f t="shared" ca="1" si="19"/>
        <v>2</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3</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Turquía</v>
      </c>
    </row>
    <row r="20" spans="1:121" ht="15.9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79" t="s">
        <v>2</v>
      </c>
      <c r="X20" s="24">
        <f ca="1">Horarios!C20</f>
        <v>46187</v>
      </c>
      <c r="Y20" s="25">
        <f ca="1">Horarios!C20</f>
        <v>46187</v>
      </c>
      <c r="Z20" s="26" t="str">
        <f>$Z$4</f>
        <v>J1</v>
      </c>
      <c r="AA20" s="27" t="str">
        <f ca="1">A21</f>
        <v>Brasil</v>
      </c>
      <c r="AB20" s="49" t="e" cm="1" vm="9">
        <f t="array" aca="1" ref="AB20" ca="1">Ver_flag_local</f>
        <v>#VALUE!</v>
      </c>
      <c r="AC20" s="50">
        <v>3</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2</v>
      </c>
      <c r="BK20" s="16">
        <f t="shared" ca="1" si="21"/>
        <v>4</v>
      </c>
      <c r="BL20" s="16">
        <f t="shared" ca="1" si="42"/>
        <v>-2</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e" cm="1" vm="11">
        <f t="array" aca="1" ref="AB21" ca="1">Ver_flag_local</f>
        <v>#VALUE!</v>
      </c>
      <c r="AC21" s="50">
        <v>0</v>
      </c>
      <c r="AD21" s="51">
        <v>2</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6</v>
      </c>
      <c r="BF21" s="16">
        <f t="shared" ca="1" si="41"/>
        <v>3</v>
      </c>
      <c r="BG21" s="16">
        <f t="shared" ca="1" si="17"/>
        <v>2</v>
      </c>
      <c r="BH21" s="16">
        <f t="shared" ca="1" si="18"/>
        <v>0</v>
      </c>
      <c r="BI21" s="16">
        <f t="shared" ca="1" si="19"/>
        <v>1</v>
      </c>
      <c r="BJ21" s="16">
        <f t="shared" ca="1" si="20"/>
        <v>3</v>
      </c>
      <c r="BK21" s="16">
        <f t="shared" ca="1" si="21"/>
        <v>2</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6</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5.9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79"/>
      <c r="X22" s="24">
        <f ca="1">Horarios!C22</f>
        <v>46193</v>
      </c>
      <c r="Y22" s="25">
        <f ca="1">Horarios!C22</f>
        <v>46193</v>
      </c>
      <c r="Z22" s="26" t="str">
        <f>$Z$6</f>
        <v>J2</v>
      </c>
      <c r="AA22" s="27" t="str">
        <f ca="1">A24</f>
        <v>Escocia</v>
      </c>
      <c r="AB22" s="49" t="e" cm="1" vm="12">
        <f t="array" aca="1" ref="AB22" ca="1">Ver_flag_local</f>
        <v>#VALUE!</v>
      </c>
      <c r="AC22" s="50">
        <v>0</v>
      </c>
      <c r="AD22" s="51">
        <v>3</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11</v>
      </c>
      <c r="AS22" s="36">
        <f t="shared" ca="1" si="87"/>
        <v>2</v>
      </c>
      <c r="AT22" s="41">
        <f t="shared" ca="1" si="87"/>
        <v>9</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10</v>
      </c>
      <c r="BK22" s="16">
        <f t="shared" ca="1" si="21"/>
        <v>1</v>
      </c>
      <c r="BL22" s="16">
        <f t="shared" ca="1" si="42"/>
        <v>9</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9"/>
      <c r="X23" s="24">
        <f ca="1">Horarios!C23</f>
        <v>46193.104166666664</v>
      </c>
      <c r="Y23" s="25">
        <f ca="1">Horarios!C23</f>
        <v>46193.104166666664</v>
      </c>
      <c r="Z23" s="26" t="str">
        <f>$Z$6</f>
        <v>J2</v>
      </c>
      <c r="AA23" s="27" t="str">
        <f ca="1">A21</f>
        <v>Brasil</v>
      </c>
      <c r="AB23" s="49" t="e" cm="1" vm="9">
        <f t="array" aca="1" ref="AB23" ca="1">Ver_flag_local</f>
        <v>#VALUE!</v>
      </c>
      <c r="AC23" s="50">
        <v>5</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6</v>
      </c>
      <c r="AS23" s="39">
        <f t="shared" ca="1" si="87"/>
        <v>3</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12</v>
      </c>
      <c r="BL23" s="16">
        <f t="shared" ca="1" si="42"/>
        <v>-12</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Ecuador</v>
      </c>
    </row>
    <row r="24" spans="1:121" ht="15.9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79"/>
      <c r="X24" s="24">
        <f ca="1">Horarios!C24</f>
        <v>46198</v>
      </c>
      <c r="Y24" s="25">
        <f ca="1">Horarios!C24</f>
        <v>46198</v>
      </c>
      <c r="Z24" s="26" t="str">
        <f>$Z$8</f>
        <v>J3</v>
      </c>
      <c r="AA24" s="27" t="str">
        <f ca="1">A24</f>
        <v>Escocia</v>
      </c>
      <c r="AB24" s="49" t="e" cm="1" vm="12">
        <f t="array" aca="1" ref="AB24" ca="1">Ver_flag_local</f>
        <v>#VALUE!</v>
      </c>
      <c r="AC24" s="50">
        <v>1</v>
      </c>
      <c r="AD24" s="51">
        <v>3</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3</v>
      </c>
      <c r="AS24" s="39">
        <f t="shared" ca="1" si="87"/>
        <v>6</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3</v>
      </c>
      <c r="BK24" s="16">
        <f t="shared" ca="1" si="21"/>
        <v>4</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5.9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80"/>
      <c r="X25" s="28">
        <f ca="1">Horarios!C25</f>
        <v>46198</v>
      </c>
      <c r="Y25" s="29">
        <f ca="1">Horarios!C25</f>
        <v>46198</v>
      </c>
      <c r="Z25" s="30" t="str">
        <f>$Z$8</f>
        <v>J3</v>
      </c>
      <c r="AA25" s="31" t="str">
        <f ca="1">A22</f>
        <v>Marruecos</v>
      </c>
      <c r="AB25" s="52" t="e" cm="1" vm="10">
        <f t="array" aca="1" ref="AB25" ca="1">Ver_flag_local</f>
        <v>#VALUE!</v>
      </c>
      <c r="AC25" s="53">
        <v>2</v>
      </c>
      <c r="AD25" s="54">
        <v>0</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9</v>
      </c>
      <c r="AT25" s="48">
        <f t="shared" ca="1" si="87"/>
        <v>-9</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7</v>
      </c>
      <c r="BK25" s="16">
        <f t="shared" ca="1" si="21"/>
        <v>3</v>
      </c>
      <c r="BL25" s="16">
        <f t="shared" ca="1" si="42"/>
        <v>4</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5</v>
      </c>
      <c r="BK26" s="16">
        <f t="shared" ca="1" si="21"/>
        <v>1</v>
      </c>
      <c r="BL26" s="16">
        <f t="shared" ca="1" si="42"/>
        <v>4</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3</v>
      </c>
      <c r="BK27" s="16">
        <f t="shared" ca="1" si="21"/>
        <v>3</v>
      </c>
      <c r="BL27" s="16">
        <f t="shared" ca="1" si="42"/>
        <v>0</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5.9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e" cm="1" vm="13">
        <f t="array" aca="1" ref="AB28" ca="1">Ver_flag_local</f>
        <v>#VALUE!</v>
      </c>
      <c r="AC28" s="50">
        <v>1</v>
      </c>
      <c r="AD28" s="51">
        <v>0</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3</v>
      </c>
      <c r="BF28" s="16">
        <f t="shared" ca="1" si="41"/>
        <v>3</v>
      </c>
      <c r="BG28" s="16">
        <f t="shared" ca="1" si="17"/>
        <v>1</v>
      </c>
      <c r="BH28" s="16">
        <f t="shared" ca="1" si="18"/>
        <v>0</v>
      </c>
      <c r="BI28" s="16">
        <f t="shared" ca="1" si="19"/>
        <v>2</v>
      </c>
      <c r="BJ28" s="16">
        <f t="shared" ca="1" si="20"/>
        <v>3</v>
      </c>
      <c r="BK28" s="16">
        <f t="shared" ca="1" si="21"/>
        <v>5</v>
      </c>
      <c r="BL28" s="16">
        <f t="shared" ca="1" si="42"/>
        <v>-2</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P.3 (2)</v>
      </c>
      <c r="BU28" s="16">
        <f t="shared" ca="1" si="24"/>
        <v>1</v>
      </c>
      <c r="BV28" s="16">
        <f t="shared" ca="1" si="25"/>
        <v>0</v>
      </c>
      <c r="BW28" s="16">
        <f t="shared" ca="1" si="26"/>
        <v>0</v>
      </c>
      <c r="BX28" s="16">
        <f t="shared" ca="1" si="48"/>
        <v>3</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e" cm="1" vm="15">
        <f t="array" aca="1" ref="AB29" ca="1">Ver_flag_local</f>
        <v>#VALUE!</v>
      </c>
      <c r="AC29" s="50">
        <v>0</v>
      </c>
      <c r="AD29" s="51">
        <v>1</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3</v>
      </c>
      <c r="BF29" s="16">
        <f t="shared" ca="1" si="41"/>
        <v>3</v>
      </c>
      <c r="BG29" s="16">
        <f t="shared" ca="1" si="17"/>
        <v>1</v>
      </c>
      <c r="BH29" s="16">
        <f t="shared" ca="1" si="18"/>
        <v>0</v>
      </c>
      <c r="BI29" s="16">
        <f t="shared" ca="1" si="19"/>
        <v>2</v>
      </c>
      <c r="BJ29" s="16">
        <f t="shared" ca="1" si="20"/>
        <v>2</v>
      </c>
      <c r="BK29" s="16">
        <f t="shared" ca="1" si="21"/>
        <v>4</v>
      </c>
      <c r="BL29" s="16">
        <f t="shared" ca="1" si="42"/>
        <v>-2</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3</v>
      </c>
      <c r="BS29" s="16">
        <f ca="1">BP29+COUNTIFS($BQ$6:$BQ$53,BQ29,$BR$6:BR$53,"&gt;"&amp;BR29,$BC$6:$BC$53,INDEX(T_Equipos[Grupo],MATCH(BD29,T_Equipos[NombreEquipo],0)))</f>
        <v>3</v>
      </c>
      <c r="BT29" s="16" t="str">
        <f ca="1">IF(COUNTIFS($BS$6:$BS$53,BS29,$BC$6:$BC$53,INDEX(T_Equipos[Grupo],MATCH(BD29,T_Equipos[NombreEquipo],0)))=1,"-","P."&amp;BS29&amp;" ("&amp;COUNTIFS($BS$6:$BS$53,BS29,$BC$6:$BC$53,INDEX(T_Equipos[Grupo],MATCH(BD29,T_Equipos[NombreEquipo],0)))&amp;")")</f>
        <v>P.3 (2)</v>
      </c>
      <c r="BU29" s="16">
        <f t="shared" ca="1" si="24"/>
        <v>0</v>
      </c>
      <c r="BV29" s="16">
        <f t="shared" ca="1" si="25"/>
        <v>0</v>
      </c>
      <c r="BW29" s="16">
        <f t="shared" ca="1" si="26"/>
        <v>1</v>
      </c>
      <c r="BX29" s="16">
        <f t="shared" ca="1" si="48"/>
        <v>0</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5" customHeight="1">
      <c r="A30" s="16" t="str">
        <f ca="1">+Equipos!B15</f>
        <v>Paraguay</v>
      </c>
      <c r="B30" s="16"/>
      <c r="C30" s="16"/>
      <c r="D30" s="16" t="str">
        <f t="shared" si="91"/>
        <v>Empate</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e" cm="1" vm="13">
        <f t="array" aca="1" ref="AB30" ca="1">Ver_flag_local</f>
        <v>#VALUE!</v>
      </c>
      <c r="AC30" s="50">
        <v>1</v>
      </c>
      <c r="AD30" s="51">
        <v>1</v>
      </c>
      <c r="AE30" s="595" t="e" cm="1" vm="15">
        <f t="array" aca="1" ref="AE30" ca="1">Ver_flag_visit</f>
        <v>#VALUE!</v>
      </c>
      <c r="AF30" s="32" t="str">
        <f ca="1">A31</f>
        <v>Australia</v>
      </c>
      <c r="AG30" s="323">
        <f t="shared" si="104"/>
        <v>1</v>
      </c>
      <c r="AH30" s="195">
        <v>32</v>
      </c>
      <c r="AI30" s="181" t="str">
        <f>AJ30&amp;$B$28</f>
        <v>1D</v>
      </c>
      <c r="AJ30" s="40">
        <v>1</v>
      </c>
      <c r="AK30" s="601" t="e" cm="1" vm="13">
        <f t="array" aca="1" ref="AK30" ca="1">Ver_flag_visit</f>
        <v>#VALUE!</v>
      </c>
      <c r="AL30" s="34" t="str">
        <f ca="1">IFERROR(INDEX($BD$6:$BD$53,MATCH(AI30,$BN$6:$BN$53,0)),"")</f>
        <v>Estados Unidos</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4</v>
      </c>
      <c r="AS30" s="36">
        <f t="shared" ca="1" si="107"/>
        <v>1</v>
      </c>
      <c r="AT30" s="41">
        <f t="shared" ca="1" si="107"/>
        <v>3</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e" cm="1" vm="16">
        <f t="array" aca="1" ref="AB31" ca="1">Ver_flag_local</f>
        <v>#VALUE!</v>
      </c>
      <c r="AC31" s="50">
        <v>2</v>
      </c>
      <c r="AD31" s="51">
        <v>0</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6">
        <f t="array" aca="1" ref="AK31" ca="1">Ver_flag_visit</f>
        <v>#VALUE!</v>
      </c>
      <c r="AL31" s="37" t="str">
        <f ca="1">IFERROR(INDEX($BD$6:$BD$53,MATCH(AI31,$BN$6:$BN$53,0)),"")</f>
        <v>Turquía</v>
      </c>
      <c r="AM31" s="38">
        <f t="shared" ca="1" si="107"/>
        <v>6</v>
      </c>
      <c r="AN31" s="39">
        <f t="shared" ca="1" si="107"/>
        <v>3</v>
      </c>
      <c r="AO31" s="39">
        <f t="shared" ca="1" si="107"/>
        <v>2</v>
      </c>
      <c r="AP31" s="39">
        <f t="shared" ca="1" si="107"/>
        <v>0</v>
      </c>
      <c r="AQ31" s="39">
        <f t="shared" ca="1" si="107"/>
        <v>1</v>
      </c>
      <c r="AR31" s="39">
        <f t="shared" ca="1" si="107"/>
        <v>3</v>
      </c>
      <c r="AS31" s="39">
        <f t="shared" ca="1" si="107"/>
        <v>2</v>
      </c>
      <c r="AT31" s="43">
        <f t="shared" ca="1" si="107"/>
        <v>1</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2</v>
      </c>
      <c r="BK31" s="16">
        <f t="shared" ca="1" si="21"/>
        <v>1</v>
      </c>
      <c r="BL31" s="16">
        <f t="shared" ca="1" si="42"/>
        <v>1</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5.95" customHeight="1">
      <c r="A32" s="16" t="str">
        <f ca="1">+Equipos!B17</f>
        <v>Turquía</v>
      </c>
      <c r="B32" s="16"/>
      <c r="C32" s="16"/>
      <c r="D32" s="16" t="str">
        <f t="shared" si="91"/>
        <v>Visitante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e" cm="1" vm="16">
        <f t="array" aca="1" ref="AB32" ca="1">Ver_flag_local</f>
        <v>#VALUE!</v>
      </c>
      <c r="AC32" s="50">
        <v>0</v>
      </c>
      <c r="AD32" s="51">
        <v>2</v>
      </c>
      <c r="AE32" s="595" t="e" cm="1" vm="13">
        <f t="array" aca="1" ref="AE32" ca="1">Ver_flag_visit</f>
        <v>#VALUE!</v>
      </c>
      <c r="AF32" s="32" t="str">
        <f ca="1">A29</f>
        <v>Estados Unidos</v>
      </c>
      <c r="AG32" s="323">
        <f t="shared" si="104"/>
        <v>1</v>
      </c>
      <c r="AH32" s="195">
        <v>59</v>
      </c>
      <c r="AI32" s="181" t="str">
        <f t="shared" si="108"/>
        <v>3D</v>
      </c>
      <c r="AJ32" s="42">
        <v>3</v>
      </c>
      <c r="AK32" s="602" t="e" cm="1" vm="14">
        <f t="array" aca="1" ref="AK32" ca="1">Ver_flag_visit</f>
        <v>#VALUE!</v>
      </c>
      <c r="AL32" s="37" t="str">
        <f ca="1">IFERROR(INDEX($BD$6:$BD$53,MATCH(AI32,$BN$6:$BN$53,0)),"")</f>
        <v>Paraguay</v>
      </c>
      <c r="AM32" s="38">
        <f t="shared" ca="1" si="107"/>
        <v>3</v>
      </c>
      <c r="AN32" s="39">
        <f t="shared" ca="1" si="107"/>
        <v>3</v>
      </c>
      <c r="AO32" s="39">
        <f t="shared" ca="1" si="107"/>
        <v>1</v>
      </c>
      <c r="AP32" s="39">
        <f t="shared" ca="1" si="107"/>
        <v>0</v>
      </c>
      <c r="AQ32" s="39">
        <f t="shared" ca="1" si="107"/>
        <v>2</v>
      </c>
      <c r="AR32" s="39">
        <f t="shared" ca="1" si="107"/>
        <v>2</v>
      </c>
      <c r="AS32" s="39">
        <f t="shared" ca="1" si="107"/>
        <v>4</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1</v>
      </c>
      <c r="BK32" s="16">
        <f t="shared" ca="1" si="21"/>
        <v>4</v>
      </c>
      <c r="BL32" s="16">
        <f t="shared" ca="1" si="42"/>
        <v>-3</v>
      </c>
      <c r="BM32" s="16" t="str">
        <f t="shared" ca="1" si="22"/>
        <v>4G</v>
      </c>
      <c r="BN32" s="16" t="str">
        <f t="shared" ca="1" si="23"/>
        <v>4G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4</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4</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4</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4</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4</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4</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4</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52"/>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Nueva Zelanda</v>
      </c>
    </row>
    <row r="33" spans="1:121" ht="15.9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e" cm="1" vm="14">
        <f t="array" aca="1" ref="AB33" ca="1">Ver_flag_local</f>
        <v>#VALUE!</v>
      </c>
      <c r="AC33" s="53">
        <v>2</v>
      </c>
      <c r="AD33" s="54">
        <v>1</v>
      </c>
      <c r="AE33" s="596" t="e" cm="1" vm="15">
        <f t="array" aca="1" ref="AE33" ca="1">Ver_flag_visit</f>
        <v>#VALUE!</v>
      </c>
      <c r="AF33" s="33" t="str">
        <f ca="1">A31</f>
        <v>Australia</v>
      </c>
      <c r="AG33" s="323">
        <f t="shared" si="104"/>
        <v>1</v>
      </c>
      <c r="AH33" s="195">
        <v>60</v>
      </c>
      <c r="AI33" s="181" t="str">
        <f t="shared" si="108"/>
        <v>4D</v>
      </c>
      <c r="AJ33" s="44">
        <v>4</v>
      </c>
      <c r="AK33" s="604" t="e" cm="1" vm="15">
        <f t="array" aca="1" ref="AK33" ca="1">Ver_flag_visit</f>
        <v>#VALUE!</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2</v>
      </c>
      <c r="AS33" s="47">
        <f t="shared" ca="1" si="107"/>
        <v>4</v>
      </c>
      <c r="AT33" s="48">
        <f t="shared" ca="1" si="107"/>
        <v>-2</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3</v>
      </c>
      <c r="BF33" s="16">
        <f t="shared" ca="1" si="41"/>
        <v>3</v>
      </c>
      <c r="BG33" s="16">
        <f t="shared" ca="1" si="17"/>
        <v>1</v>
      </c>
      <c r="BH33" s="16">
        <f t="shared" ca="1" si="18"/>
        <v>0</v>
      </c>
      <c r="BI33" s="16">
        <f t="shared" ca="1" si="19"/>
        <v>2</v>
      </c>
      <c r="BJ33" s="16">
        <f t="shared" ca="1" si="20"/>
        <v>3</v>
      </c>
      <c r="BK33" s="16">
        <f t="shared" ca="1" si="21"/>
        <v>5</v>
      </c>
      <c r="BL33" s="16">
        <f t="shared" ca="1" si="42"/>
        <v>-2</v>
      </c>
      <c r="BM33" s="16" t="str">
        <f t="shared" ca="1" si="22"/>
        <v>3G</v>
      </c>
      <c r="BN33" s="16" t="str">
        <f t="shared" ca="1" si="23"/>
        <v>3G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3</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3</v>
      </c>
      <c r="DE33" s="16"/>
      <c r="DF33" s="16">
        <f t="shared" ca="1" si="52"/>
        <v>3</v>
      </c>
      <c r="DG33" s="16" t="str">
        <f ca="1">IF(DB33="-","-",COUNTIFS(DF$6:DF$53,"&lt;"&amp;DF33,$BC$6:$BC$53,INDEX(T_Equipos[Grupo],MATCH(BD33,T_Equipos[NombreEquipo],0))))</f>
        <v>-</v>
      </c>
      <c r="DH33" s="16">
        <f ca="1">DA33+COUNTIFS(DB$6:DB$53,DB33,DG$6:DG$53,"&lt;"&amp;DG33,$BC$6:$BC$53,INDEX(T_Equipos[Grupo],MATCH(BD33,T_Equipos[NombreEquipo],0)))</f>
        <v>3</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Irán</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9</v>
      </c>
      <c r="BK34" s="16">
        <f t="shared" ca="1" si="21"/>
        <v>0</v>
      </c>
      <c r="BL34" s="16">
        <f t="shared" ca="1" si="42"/>
        <v>9</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1</v>
      </c>
      <c r="BK35" s="16">
        <f t="shared" ca="1" si="21"/>
        <v>10</v>
      </c>
      <c r="BL35" s="16">
        <f t="shared" ca="1" si="42"/>
        <v>-9</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e" cm="1" vm="17">
        <f t="array" aca="1" ref="AB36" ca="1">Ver_flag_local</f>
        <v>#VALUE!</v>
      </c>
      <c r="AC36" s="50">
        <v>5</v>
      </c>
      <c r="AD36" s="51">
        <v>0</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2</v>
      </c>
      <c r="BK36" s="16">
        <f t="shared" ca="1" si="21"/>
        <v>6</v>
      </c>
      <c r="BL36" s="16">
        <f t="shared" ca="1" si="42"/>
        <v>-4</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46188.041666666664</v>
      </c>
      <c r="Y37" s="25">
        <f ca="1">Horarios!C37</f>
        <v>46188.041666666664</v>
      </c>
      <c r="Z37" s="26" t="str">
        <f>$Z$4</f>
        <v>J1</v>
      </c>
      <c r="AA37" s="27" t="str">
        <f ca="1">A39</f>
        <v>Costa de Marfil</v>
      </c>
      <c r="AB37" s="49" t="e" cm="1" vm="19">
        <f t="array" aca="1" ref="AB37" ca="1">Ver_flag_local</f>
        <v>#VALUE!</v>
      </c>
      <c r="AC37" s="50">
        <v>0</v>
      </c>
      <c r="AD37" s="51">
        <v>2</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6</v>
      </c>
      <c r="BK37" s="16">
        <f t="shared" ca="1" si="21"/>
        <v>2</v>
      </c>
      <c r="BL37" s="16">
        <f t="shared" ca="1" si="42"/>
        <v>4</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5.9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46193.916666666664</v>
      </c>
      <c r="Y38" s="25">
        <f ca="1">Horarios!C38</f>
        <v>46193.916666666664</v>
      </c>
      <c r="Z38" s="26" t="str">
        <f>$Z$6</f>
        <v>J2</v>
      </c>
      <c r="AA38" s="27" t="str">
        <f ca="1">A37</f>
        <v>Alemania</v>
      </c>
      <c r="AB38" s="49" t="e" cm="1" vm="17">
        <f t="array" aca="1" ref="AB38" ca="1">Ver_flag_local</f>
        <v>#VALUE!</v>
      </c>
      <c r="AC38" s="50">
        <v>2</v>
      </c>
      <c r="AD38" s="51">
        <v>0</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10</v>
      </c>
      <c r="AS38" s="36">
        <f t="shared" ca="1" si="127"/>
        <v>1</v>
      </c>
      <c r="AT38" s="41">
        <f t="shared" ca="1" si="127"/>
        <v>9</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1</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e" cm="1" vm="20">
        <f t="array" aca="1" ref="AB39" ca="1">Ver_flag_local</f>
        <v>#VALUE!</v>
      </c>
      <c r="AC39" s="50">
        <v>4</v>
      </c>
      <c r="AD39" s="51">
        <v>0</v>
      </c>
      <c r="AE39" s="595" t="e" cm="1" vm="18">
        <f t="array" aca="1" ref="AE39" ca="1">Ver_flag_visit</f>
        <v>#VALUE!</v>
      </c>
      <c r="AF39" s="32" t="str">
        <f ca="1">A38</f>
        <v>Curazao</v>
      </c>
      <c r="AG39" s="323">
        <f t="shared" si="124"/>
        <v>1</v>
      </c>
      <c r="AH39" s="195">
        <v>34</v>
      </c>
      <c r="AI39" s="181" t="str">
        <f t="shared" ref="AI39:AI41" si="128">AJ39&amp;$B$36</f>
        <v>2E</v>
      </c>
      <c r="AJ39" s="42">
        <v>2</v>
      </c>
      <c r="AK39" s="602" t="e" cm="1" vm="20">
        <f t="array" aca="1" ref="AK39" ca="1">Ver_flag_visit</f>
        <v>#VALUE!</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7</v>
      </c>
      <c r="AS39" s="39">
        <f t="shared" ca="1" si="127"/>
        <v>3</v>
      </c>
      <c r="AT39" s="43">
        <f t="shared" ca="1" si="127"/>
        <v>4</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2</v>
      </c>
      <c r="BK39" s="16">
        <f t="shared" ca="1" si="21"/>
        <v>6</v>
      </c>
      <c r="BL39" s="16">
        <f t="shared" ca="1" si="42"/>
        <v>-4</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46198.916666666664</v>
      </c>
      <c r="Y40" s="25">
        <f ca="1">Horarios!C40</f>
        <v>46198.916666666664</v>
      </c>
      <c r="Z40" s="26" t="str">
        <f>$Z$8</f>
        <v>J3</v>
      </c>
      <c r="AA40" s="27" t="str">
        <f ca="1">A38</f>
        <v>Curazao</v>
      </c>
      <c r="AB40" s="49" t="e" cm="1" vm="18">
        <f t="array" aca="1" ref="AB40" ca="1">Ver_flag_local</f>
        <v>#VALUE!</v>
      </c>
      <c r="AC40" s="50">
        <v>0</v>
      </c>
      <c r="AD40" s="51">
        <v>3</v>
      </c>
      <c r="AE40" s="595" t="e" cm="1" vm="19">
        <f t="array" aca="1" ref="AE40" ca="1">Ver_flag_visit</f>
        <v>#VALUE!</v>
      </c>
      <c r="AF40" s="32" t="str">
        <f ca="1">A39</f>
        <v>Costa de Marfil</v>
      </c>
      <c r="AG40" s="323">
        <f t="shared" si="124"/>
        <v>1</v>
      </c>
      <c r="AH40" s="195">
        <v>55</v>
      </c>
      <c r="AI40" s="181" t="str">
        <f t="shared" si="128"/>
        <v>3E</v>
      </c>
      <c r="AJ40" s="42">
        <v>3</v>
      </c>
      <c r="AK40" s="602" t="e" cm="1" vm="19">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3</v>
      </c>
      <c r="AS40" s="39">
        <f t="shared" ca="1" si="127"/>
        <v>4</v>
      </c>
      <c r="AT40" s="43">
        <f t="shared" ca="1" si="127"/>
        <v>-1</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6</v>
      </c>
      <c r="BL40" s="16">
        <f t="shared" ca="1" si="42"/>
        <v>-5</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e" cm="1" vm="20">
        <f t="array" aca="1" ref="AB41" ca="1">Ver_flag_local</f>
        <v>#VALUE!</v>
      </c>
      <c r="AC41" s="53">
        <v>1</v>
      </c>
      <c r="AD41" s="54">
        <v>3</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12</v>
      </c>
      <c r="AT41" s="48">
        <f t="shared" ca="1" si="127"/>
        <v>-12</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5</v>
      </c>
      <c r="BK41" s="16">
        <f t="shared" ca="1" si="21"/>
        <v>2</v>
      </c>
      <c r="BL41" s="16">
        <f t="shared" ca="1" si="42"/>
        <v>3</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7</v>
      </c>
      <c r="BF42" s="16">
        <f t="shared" ca="1" si="41"/>
        <v>3</v>
      </c>
      <c r="BG42" s="16">
        <f t="shared" ca="1" si="17"/>
        <v>2</v>
      </c>
      <c r="BH42" s="16">
        <f t="shared" ca="1" si="18"/>
        <v>1</v>
      </c>
      <c r="BI42" s="16">
        <f t="shared" ca="1" si="19"/>
        <v>0</v>
      </c>
      <c r="BJ42" s="16">
        <f t="shared" ca="1" si="20"/>
        <v>5</v>
      </c>
      <c r="BK42" s="16">
        <f t="shared" ca="1" si="21"/>
        <v>1</v>
      </c>
      <c r="BL42" s="16">
        <f t="shared" ca="1" si="42"/>
        <v>4</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7</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P.1 (2)</v>
      </c>
      <c r="BU42" s="16">
        <f t="shared" ca="1" si="24"/>
        <v>0</v>
      </c>
      <c r="BV42" s="16">
        <f t="shared" ca="1" si="25"/>
        <v>1</v>
      </c>
      <c r="BW42" s="16">
        <f t="shared" ca="1" si="26"/>
        <v>0</v>
      </c>
      <c r="BX42" s="16">
        <f t="shared" ca="1" si="48"/>
        <v>1</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P.1 (2)</v>
      </c>
      <c r="CA42" s="16">
        <f t="shared" ca="1" si="27"/>
        <v>1</v>
      </c>
      <c r="CB42" s="16">
        <f t="shared" ca="1" si="28"/>
        <v>1</v>
      </c>
      <c r="CC42" s="16">
        <f t="shared" ca="1" si="49"/>
        <v>0</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P.1 (2)</v>
      </c>
      <c r="CF42" s="16">
        <f t="shared" ca="1" si="29"/>
        <v>1</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P.1 (2)</v>
      </c>
      <c r="CI42" s="16">
        <f t="shared" ca="1" si="30"/>
        <v>0</v>
      </c>
      <c r="CJ42" s="16">
        <f t="shared" ca="1" si="31"/>
        <v>1</v>
      </c>
      <c r="CK42" s="16">
        <f t="shared" ca="1" si="32"/>
        <v>0</v>
      </c>
      <c r="CL42" s="16">
        <f t="shared" ca="1" si="50"/>
        <v>1</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P.1 (2)</v>
      </c>
      <c r="CO42" s="16">
        <f t="shared" ca="1" si="33"/>
        <v>1</v>
      </c>
      <c r="CP42" s="16">
        <f t="shared" ca="1" si="34"/>
        <v>1</v>
      </c>
      <c r="CQ42" s="16">
        <f t="shared" ca="1" si="51"/>
        <v>0</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P.1 (2)</v>
      </c>
      <c r="CT42" s="16">
        <f t="shared" ca="1" si="35"/>
        <v>1</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P.1 (2)</v>
      </c>
      <c r="CW42" s="16">
        <f t="shared" ca="1" si="36"/>
        <v>4</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P.1 (2)</v>
      </c>
      <c r="CZ42" s="16">
        <f t="shared" ca="1" si="37"/>
        <v>5</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P.1 (2)</v>
      </c>
      <c r="DC42" s="16">
        <f ca="1">IF(DB42="-","-",COUNTIFS(T_Equipos[Rank],"&lt;"&amp;INDEX(T_Equipos[Rank],MATCH(BD42,T_Equipos[NombreEquipo],0)),$BC$6:$BC$53,INDEX(T_Equipos[Grupo],MATCH(BD42,T_Equipos[NombreEquipo],0)))+1)</f>
        <v>1</v>
      </c>
      <c r="DD42" s="16">
        <f ca="1">DA42+COUNTIFS($DB$6:$DB$53,DB42,$DC$6:DC$53,"&lt;"&amp;DC42,$BC$6:$BC$53,INDEX(T_Equipos[Grupo],MATCH(BD42,T_Equipos[NombreEquipo],0)))</f>
        <v>1</v>
      </c>
      <c r="DE42" s="16"/>
      <c r="DF42" s="16">
        <f t="shared" ca="1" si="52"/>
        <v>1.0009999999999999</v>
      </c>
      <c r="DG42" s="16">
        <f ca="1">IF(DB42="-","-",COUNTIFS(DF$6:DF$53,"&lt;"&amp;DF42,$BC$6:$BC$53,INDEX(T_Equipos[Grupo],MATCH(BD42,T_Equipos[NombreEquipo],0))))</f>
        <v>0</v>
      </c>
      <c r="DH42" s="16">
        <f ca="1">DA42+COUNTIFS(DB$6:DB$53,DB42,DG$6:DG$53,"&lt;"&amp;DG42,$BC$6:$BC$53,INDEX(T_Equipos[Grupo],MATCH(BD42,T_Equipos[NombreEquipo],0)))</f>
        <v>1</v>
      </c>
      <c r="DI42" s="16"/>
      <c r="DJ42" s="16">
        <f t="shared" ca="1" si="38"/>
        <v>1</v>
      </c>
      <c r="DK42" s="16">
        <f t="shared" ca="1" si="39"/>
        <v>12</v>
      </c>
      <c r="DL42" s="16">
        <f t="shared" ca="1" si="40"/>
        <v>2</v>
      </c>
      <c r="DM42" s="16" t="str">
        <f t="shared" ca="1" si="46"/>
        <v>1.2</v>
      </c>
      <c r="DN42" s="16" t="e" cm="1" vm="21">
        <f t="array" aca="1" ref="DN42" ca="1">OFFSET(Horarios!$P$3,DJ42-1,0,DL42,1)</f>
        <v>#VALUE!</v>
      </c>
      <c r="DO42" s="16"/>
      <c r="DP42" s="16" t="s">
        <v>687</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1</v>
      </c>
      <c r="BF43" s="16">
        <f t="shared" ca="1" si="41"/>
        <v>3</v>
      </c>
      <c r="BG43" s="16">
        <f t="shared" ca="1" si="17"/>
        <v>0</v>
      </c>
      <c r="BH43" s="16">
        <f t="shared" ca="1" si="18"/>
        <v>1</v>
      </c>
      <c r="BI43" s="16">
        <f t="shared" ca="1" si="19"/>
        <v>2</v>
      </c>
      <c r="BJ43" s="16">
        <f t="shared" ca="1" si="20"/>
        <v>0</v>
      </c>
      <c r="BK43" s="16">
        <f t="shared" ca="1" si="21"/>
        <v>4</v>
      </c>
      <c r="BL43" s="16">
        <f t="shared" ca="1" si="42"/>
        <v>-4</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1</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P.3 (2)</v>
      </c>
      <c r="BU43" s="16">
        <f t="shared" ca="1" si="24"/>
        <v>0</v>
      </c>
      <c r="BV43" s="16">
        <f t="shared" ca="1" si="25"/>
        <v>1</v>
      </c>
      <c r="BW43" s="16">
        <f t="shared" ca="1" si="26"/>
        <v>0</v>
      </c>
      <c r="BX43" s="16">
        <f t="shared" ca="1" si="48"/>
        <v>1</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P.3 (2)</v>
      </c>
      <c r="CA43" s="16">
        <f t="shared" ca="1" si="27"/>
        <v>0</v>
      </c>
      <c r="CB43" s="16">
        <f t="shared" ca="1" si="28"/>
        <v>0</v>
      </c>
      <c r="CC43" s="16">
        <f t="shared" ca="1" si="49"/>
        <v>0</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P.3 (2)</v>
      </c>
      <c r="CF43" s="16">
        <f t="shared" ca="1" si="29"/>
        <v>0</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P.3 (2)</v>
      </c>
      <c r="CI43" s="16">
        <f t="shared" ca="1" si="30"/>
        <v>0</v>
      </c>
      <c r="CJ43" s="16">
        <f t="shared" ca="1" si="31"/>
        <v>1</v>
      </c>
      <c r="CK43" s="16">
        <f t="shared" ca="1" si="32"/>
        <v>0</v>
      </c>
      <c r="CL43" s="16">
        <f t="shared" ca="1" si="50"/>
        <v>1</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P.3 (2)</v>
      </c>
      <c r="CO43" s="16">
        <f t="shared" ca="1" si="33"/>
        <v>0</v>
      </c>
      <c r="CP43" s="16">
        <f t="shared" ca="1" si="34"/>
        <v>0</v>
      </c>
      <c r="CQ43" s="16">
        <f t="shared" ca="1" si="51"/>
        <v>0</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P.3 (2)</v>
      </c>
      <c r="CT43" s="16">
        <f t="shared" ca="1" si="35"/>
        <v>0</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P.3 (2)</v>
      </c>
      <c r="CW43" s="16">
        <f t="shared" ca="1" si="36"/>
        <v>-4</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P.3 (2)</v>
      </c>
      <c r="CZ43" s="16">
        <f t="shared" ca="1" si="37"/>
        <v>0</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P.3 (2)</v>
      </c>
      <c r="DC43" s="16">
        <f ca="1">IF(DB43="-","-",COUNTIFS(T_Equipos[Rank],"&lt;"&amp;INDEX(T_Equipos[Rank],MATCH(BD43,T_Equipos[NombreEquipo],0)),$BC$6:$BC$53,INDEX(T_Equipos[Grupo],MATCH(BD43,T_Equipos[NombreEquipo],0)))+1)</f>
        <v>2</v>
      </c>
      <c r="DD43" s="16">
        <f ca="1">DA43+COUNTIFS($DB$6:$DB$53,DB43,$DC$6:DC$53,"&lt;"&amp;DC43,$BC$6:$BC$53,INDEX(T_Equipos[Grupo],MATCH(BD43,T_Equipos[NombreEquipo],0)))</f>
        <v>3</v>
      </c>
      <c r="DE43" s="16"/>
      <c r="DF43" s="16">
        <f t="shared" ca="1" si="52"/>
        <v>3.0030000000000001</v>
      </c>
      <c r="DG43" s="16">
        <f ca="1">IF(DB43="-","-",COUNTIFS(DF$6:DF$53,"&lt;"&amp;DF43,$BC$6:$BC$53,INDEX(T_Equipos[Grupo],MATCH(BD43,T_Equipos[NombreEquipo],0))))</f>
        <v>2</v>
      </c>
      <c r="DH43" s="16">
        <f ca="1">DA43+COUNTIFS(DB$6:DB$53,DB43,DG$6:DG$53,"&lt;"&amp;DG43,$BC$6:$BC$53,INDEX(T_Equipos[Grupo],MATCH(BD43,T_Equipos[NombreEquipo],0)))</f>
        <v>3</v>
      </c>
      <c r="DI43" s="16"/>
      <c r="DJ43" s="16">
        <f t="shared" ca="1" si="38"/>
        <v>1</v>
      </c>
      <c r="DK43" s="16">
        <f t="shared" ca="1" si="39"/>
        <v>12</v>
      </c>
      <c r="DL43" s="16">
        <f t="shared" ca="1" si="40"/>
        <v>2</v>
      </c>
      <c r="DM43" s="16" t="str">
        <f t="shared" ca="1" si="46"/>
        <v>1.2</v>
      </c>
      <c r="DN43" s="16" t="e" cm="1" vm="21">
        <f t="array" aca="1" ref="DN43" ca="1">OFFSET(Horarios!$P$3,DJ43-1,0,DL43,1)</f>
        <v>#VALUE!</v>
      </c>
      <c r="DO43" s="16"/>
      <c r="DP43" s="16" t="s">
        <v>688</v>
      </c>
      <c r="DQ43" s="16" t="str">
        <f t="shared" ca="1" si="47"/>
        <v>Austria</v>
      </c>
    </row>
    <row r="44" spans="1:121" ht="15.95"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e" cm="1" vm="22">
        <f t="array" aca="1" ref="AB44" ca="1">Ver_flag_local</f>
        <v>#VALUE!</v>
      </c>
      <c r="AC44" s="50">
        <v>1</v>
      </c>
      <c r="AD44" s="51">
        <v>1</v>
      </c>
      <c r="AE44" s="595" t="e" cm="1" vm="23">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7</v>
      </c>
      <c r="BF44" s="16">
        <f t="shared" ca="1" si="41"/>
        <v>3</v>
      </c>
      <c r="BG44" s="16">
        <f t="shared" ca="1" si="17"/>
        <v>2</v>
      </c>
      <c r="BH44" s="16">
        <f t="shared" ca="1" si="18"/>
        <v>1</v>
      </c>
      <c r="BI44" s="16">
        <f t="shared" ca="1" si="19"/>
        <v>0</v>
      </c>
      <c r="BJ44" s="16">
        <f t="shared" ca="1" si="20"/>
        <v>5</v>
      </c>
      <c r="BK44" s="16">
        <f t="shared" ca="1" si="21"/>
        <v>1</v>
      </c>
      <c r="BL44" s="16">
        <f t="shared" ca="1" si="42"/>
        <v>4</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7</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P.1 (2)</v>
      </c>
      <c r="BU44" s="16">
        <f t="shared" ca="1" si="24"/>
        <v>0</v>
      </c>
      <c r="BV44" s="16">
        <f t="shared" ca="1" si="25"/>
        <v>1</v>
      </c>
      <c r="BW44" s="16">
        <f t="shared" ca="1" si="26"/>
        <v>0</v>
      </c>
      <c r="BX44" s="16">
        <f t="shared" ca="1" si="48"/>
        <v>1</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P.1 (2)</v>
      </c>
      <c r="CA44" s="16">
        <f t="shared" ca="1" si="27"/>
        <v>1</v>
      </c>
      <c r="CB44" s="16">
        <f t="shared" ca="1" si="28"/>
        <v>1</v>
      </c>
      <c r="CC44" s="16">
        <f t="shared" ca="1" si="49"/>
        <v>0</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P.1 (2)</v>
      </c>
      <c r="CF44" s="16">
        <f t="shared" ca="1" si="29"/>
        <v>1</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P.1 (2)</v>
      </c>
      <c r="CI44" s="16">
        <f t="shared" ca="1" si="30"/>
        <v>0</v>
      </c>
      <c r="CJ44" s="16">
        <f t="shared" ca="1" si="31"/>
        <v>1</v>
      </c>
      <c r="CK44" s="16">
        <f t="shared" ca="1" si="32"/>
        <v>0</v>
      </c>
      <c r="CL44" s="16">
        <f t="shared" ca="1" si="50"/>
        <v>1</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P.1 (2)</v>
      </c>
      <c r="CO44" s="16">
        <f t="shared" ca="1" si="33"/>
        <v>1</v>
      </c>
      <c r="CP44" s="16">
        <f t="shared" ca="1" si="34"/>
        <v>1</v>
      </c>
      <c r="CQ44" s="16">
        <f t="shared" ca="1" si="51"/>
        <v>0</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P.1 (2)</v>
      </c>
      <c r="CT44" s="16">
        <f t="shared" ca="1" si="35"/>
        <v>1</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P.1 (2)</v>
      </c>
      <c r="CW44" s="16">
        <f t="shared" ca="1" si="36"/>
        <v>4</v>
      </c>
      <c r="CX44" s="16">
        <f ca="1">CU44+COUNTIFS($CV$6:$CV$53,CV44,$CW$6:CW$53,"&gt;"&amp;CW44,$BC$6:$BC$53,INDEX(T_Equipos[Grupo],MATCH(BD44,T_Equipos[NombreEquipo],0)))</f>
        <v>1</v>
      </c>
      <c r="CY44" s="16" t="str">
        <f ca="1">IF(COUNTIFS($CX$6:$CX$53,CX44,$BC$6:$BC$53,INDEX(T_Equipos[Grupo],MATCH(BD44,T_Equipos[NombreEquipo],0)))=1,"-","P."&amp;CX44&amp;" ("&amp;COUNTIFS($CX$6:$CX$53,CX44,$BC$6:$BC$53,INDEX(T_Equipos[Grupo],MATCH(BD44,T_Equipos[NombreEquipo],0)))&amp;")")</f>
        <v>P.1 (2)</v>
      </c>
      <c r="CZ44" s="16">
        <f t="shared" ca="1" si="37"/>
        <v>5</v>
      </c>
      <c r="DA44" s="16">
        <f ca="1">CX44+COUNTIFS($CY$6:$CY$53,CY44,$CZ$6:CZ$53,"&gt;"&amp;CZ44,$BC$6:$BC$53,INDEX(T_Equipos[Grupo],MATCH(BD44,T_Equipos[NombreEquipo],0)))</f>
        <v>1</v>
      </c>
      <c r="DB44" s="16" t="str">
        <f ca="1">IF(COUNTIFS($DA$6:$DA$53,DA44,$BC$6:$BC$53,INDEX(T_Equipos[Grupo],MATCH(BD44,T_Equipos[NombreEquipo],0)))=1,"-","P."&amp;DA44&amp;" ("&amp;COUNTIFS($DA$6:$DA$53,DA44,$BC$6:$BC$53,INDEX(T_Equipos[Grupo],MATCH(BD44,T_Equipos[NombreEquipo],0)))&amp;")")</f>
        <v>P.1 (2)</v>
      </c>
      <c r="DC44" s="16">
        <f ca="1">IF(DB44="-","-",COUNTIFS(T_Equipos[Rank],"&lt;"&amp;INDEX(T_Equipos[Rank],MATCH(BD44,T_Equipos[NombreEquipo],0)),$BC$6:$BC$53,INDEX(T_Equipos[Grupo],MATCH(BD44,T_Equipos[NombreEquipo],0)))+1)</f>
        <v>3</v>
      </c>
      <c r="DD44" s="16">
        <f ca="1">DA44+COUNTIFS($DB$6:$DB$53,DB44,$DC$6:DC$53,"&lt;"&amp;DC44,$BC$6:$BC$53,INDEX(T_Equipos[Grupo],MATCH(BD44,T_Equipos[NombreEquipo],0)))</f>
        <v>2</v>
      </c>
      <c r="DE44" s="16"/>
      <c r="DF44" s="16">
        <f t="shared" ca="1" si="52"/>
        <v>2.0019999999999998</v>
      </c>
      <c r="DG44" s="16">
        <f ca="1">IF(DB44="-","-",COUNTIFS(DF$6:DF$53,"&lt;"&amp;DF44,$BC$6:$BC$53,INDEX(T_Equipos[Grupo],MATCH(BD44,T_Equipos[NombreEquipo],0))))</f>
        <v>1</v>
      </c>
      <c r="DH44" s="16">
        <f ca="1">DA44+COUNTIFS(DB$6:DB$53,DB44,DG$6:DG$53,"&lt;"&amp;DG44,$BC$6:$BC$53,INDEX(T_Equipos[Grupo],MATCH(BD44,T_Equipos[NombreEquipo],0)))</f>
        <v>2</v>
      </c>
      <c r="DI44" s="16"/>
      <c r="DJ44" s="16">
        <f t="shared" ca="1" si="38"/>
        <v>3</v>
      </c>
      <c r="DK44" s="16">
        <f t="shared" ca="1" si="39"/>
        <v>12</v>
      </c>
      <c r="DL44" s="16">
        <f t="shared" ca="1" si="40"/>
        <v>2</v>
      </c>
      <c r="DM44" s="16" t="str">
        <f t="shared" ca="1" si="46"/>
        <v>3.2</v>
      </c>
      <c r="DN44" s="16" t="e" cm="1" vm="21">
        <f t="array" aca="1" ref="DN44" ca="1">OFFSET(Horarios!$P$3,DJ44-1,0,DL44,1)</f>
        <v>#VALUE!</v>
      </c>
      <c r="DO44" s="16"/>
      <c r="DP44" s="16" t="s">
        <v>451</v>
      </c>
      <c r="DQ44" s="16" t="str">
        <f t="shared" ca="1" si="47"/>
        <v>Argelia</v>
      </c>
    </row>
    <row r="45" spans="1:121" ht="15.95" customHeight="1">
      <c r="A45" s="16" t="str">
        <f ca="1">+Equipos!B22</f>
        <v>Países Bajos</v>
      </c>
      <c r="B45" s="16"/>
      <c r="C45" s="16"/>
      <c r="D45" s="16" t="str">
        <f t="shared" si="131"/>
        <v>Local</v>
      </c>
      <c r="E45" s="16" t="str">
        <f t="shared" ca="1" si="132"/>
        <v>P.3 (2)</v>
      </c>
      <c r="F45" s="16" t="str">
        <f t="shared" ca="1" si="133"/>
        <v>P.3 (2)</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46188.166666666664</v>
      </c>
      <c r="Y45" s="25">
        <f ca="1">Horarios!C45</f>
        <v>46188.166666666664</v>
      </c>
      <c r="Z45" s="26" t="str">
        <f>$Z$4</f>
        <v>J1</v>
      </c>
      <c r="AA45" s="27" t="str">
        <f ca="1">A47</f>
        <v>Suecia</v>
      </c>
      <c r="AB45" s="49" t="e" cm="1" vm="24">
        <f t="array" aca="1" ref="AB45" ca="1">Ver_flag_local</f>
        <v>#VALUE!</v>
      </c>
      <c r="AC45" s="50">
        <v>2</v>
      </c>
      <c r="AD45" s="51">
        <v>1</v>
      </c>
      <c r="AE45" s="595" t="e" cm="1" vm="25">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0</v>
      </c>
      <c r="BK45" s="16">
        <f t="shared" ca="1" si="21"/>
        <v>4</v>
      </c>
      <c r="BL45" s="16">
        <f t="shared" ca="1" si="42"/>
        <v>-4</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0</v>
      </c>
      <c r="CB45" s="16">
        <f t="shared" ca="1" si="28"/>
        <v>0</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0</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0</v>
      </c>
      <c r="CP45" s="16">
        <f t="shared" ca="1" si="34"/>
        <v>0</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0</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-4</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P.3 (2)</v>
      </c>
      <c r="CZ45" s="16">
        <f t="shared" ca="1" si="37"/>
        <v>0</v>
      </c>
      <c r="DA45" s="16">
        <f ca="1">CX45+COUNTIFS($CY$6:$CY$53,CY45,$CZ$6:CZ$53,"&gt;"&amp;CZ45,$BC$6:$BC$53,INDEX(T_Equipos[Grupo],MATCH(BD45,T_Equipos[NombreEquipo],0)))</f>
        <v>3</v>
      </c>
      <c r="DB45" s="16" t="str">
        <f ca="1">IF(COUNTIFS($DA$6:$DA$53,DA45,$BC$6:$BC$53,INDEX(T_Equipos[Grupo],MATCH(BD45,T_Equipos[NombreEquipo],0)))=1,"-","P."&amp;DA45&amp;" ("&amp;COUNTIFS($DA$6:$DA$53,DA45,$BC$6:$BC$53,INDEX(T_Equipos[Grupo],MATCH(BD45,T_Equipos[NombreEquipo],0)))&amp;")")</f>
        <v>P.3 (2)</v>
      </c>
      <c r="DC45" s="16">
        <f ca="1">IF(DB45="-","-",COUNTIFS(T_Equipos[Rank],"&lt;"&amp;INDEX(T_Equipos[Rank],MATCH(BD45,T_Equipos[NombreEquipo],0)),$BC$6:$BC$53,INDEX(T_Equipos[Grupo],MATCH(BD45,T_Equipos[NombreEquipo],0)))+1)</f>
        <v>4</v>
      </c>
      <c r="DD45" s="16">
        <f ca="1">DA45+COUNTIFS($DB$6:$DB$53,DB45,$DC$6:DC$53,"&lt;"&amp;DC45,$BC$6:$BC$53,INDEX(T_Equipos[Grupo],MATCH(BD45,T_Equipos[NombreEquipo],0)))</f>
        <v>4</v>
      </c>
      <c r="DE45" s="16"/>
      <c r="DF45" s="16">
        <f t="shared" ca="1" si="52"/>
        <v>4.0039999999999996</v>
      </c>
      <c r="DG45" s="16">
        <f ca="1">IF(DB45="-","-",COUNTIFS(DF$6:DF$53,"&lt;"&amp;DF45,$BC$6:$BC$53,INDEX(T_Equipos[Grupo],MATCH(BD45,T_Equipos[NombreEquipo],0))))</f>
        <v>3</v>
      </c>
      <c r="DH45" s="16">
        <f ca="1">DA45+COUNTIFS(DB$6:DB$53,DB45,DG$6:DG$53,"&lt;"&amp;DG45,$BC$6:$BC$53,INDEX(T_Equipos[Grupo],MATCH(BD45,T_Equipos[NombreEquipo],0)))</f>
        <v>4</v>
      </c>
      <c r="DI45" s="16"/>
      <c r="DJ45" s="16">
        <f t="shared" ca="1" si="38"/>
        <v>3</v>
      </c>
      <c r="DK45" s="16">
        <f t="shared" ca="1" si="39"/>
        <v>12</v>
      </c>
      <c r="DL45" s="16">
        <f t="shared" ca="1" si="40"/>
        <v>2</v>
      </c>
      <c r="DM45" s="16" t="str">
        <f t="shared" ca="1" si="46"/>
        <v>3.2</v>
      </c>
      <c r="DN45" s="16" t="e" cm="1" vm="21">
        <f t="array" aca="1" ref="DN45" ca="1">OFFSET(Horarios!$P$3,DJ45-1,0,DL45,1)</f>
        <v>#VALUE!</v>
      </c>
      <c r="DO45" s="16"/>
      <c r="DP45" s="16" t="s">
        <v>689</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P.3 (2)</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e" cm="1" vm="22">
        <f t="array" aca="1" ref="AB46" ca="1">Ver_flag_local</f>
        <v>#VALUE!</v>
      </c>
      <c r="AC46" s="50">
        <v>2</v>
      </c>
      <c r="AD46" s="51">
        <v>0</v>
      </c>
      <c r="AE46" s="595" t="e" cm="1" vm="24">
        <f t="array" aca="1" ref="AE46" ca="1">Ver_flag_visit</f>
        <v>#VALUE!</v>
      </c>
      <c r="AF46" s="32" t="str">
        <f ca="1">A47</f>
        <v>Suecia</v>
      </c>
      <c r="AG46" s="323">
        <f t="shared" si="144"/>
        <v>1</v>
      </c>
      <c r="AH46" s="195">
        <v>35</v>
      </c>
      <c r="AI46" s="181" t="str">
        <f>AJ46&amp;$B$44</f>
        <v>1F</v>
      </c>
      <c r="AJ46" s="40">
        <v>1</v>
      </c>
      <c r="AK46" s="601" t="e" cm="1" vm="22">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5</v>
      </c>
      <c r="AS46" s="36">
        <f t="shared" ca="1" si="147"/>
        <v>1</v>
      </c>
      <c r="AT46" s="41">
        <f t="shared" ca="1" si="147"/>
        <v>4</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9</v>
      </c>
      <c r="BK46" s="16">
        <f t="shared" ca="1" si="21"/>
        <v>0</v>
      </c>
      <c r="BL46" s="16">
        <f t="shared" ca="1" si="42"/>
        <v>9</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5.95" customHeight="1">
      <c r="A47" s="16" t="str">
        <f ca="1">+Equipos!B24</f>
        <v>Suecia</v>
      </c>
      <c r="B47" s="16"/>
      <c r="C47" s="16"/>
      <c r="D47" s="16" t="str">
        <f t="shared" si="131"/>
        <v>Local</v>
      </c>
      <c r="E47" s="16" t="str">
        <f t="shared" ca="1" si="132"/>
        <v>P.3 (2)</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46194.25</v>
      </c>
      <c r="Y47" s="25">
        <f ca="1">Horarios!C47</f>
        <v>46194.25</v>
      </c>
      <c r="Z47" s="26" t="str">
        <f>$Z$6</f>
        <v>J2</v>
      </c>
      <c r="AA47" s="27" t="str">
        <f ca="1">A48</f>
        <v>Túnez</v>
      </c>
      <c r="AB47" s="49" t="e" cm="1" vm="25">
        <f t="array" aca="1" ref="AB47" ca="1">Ver_flag_local</f>
        <v>#VALUE!</v>
      </c>
      <c r="AC47" s="50">
        <v>1</v>
      </c>
      <c r="AD47" s="51">
        <v>0</v>
      </c>
      <c r="AE47" s="595" t="e" cm="1" vm="23">
        <f t="array" aca="1" ref="AE47" ca="1">Ver_flag_visit</f>
        <v>#VALUE!</v>
      </c>
      <c r="AF47" s="32" t="str">
        <f ca="1">A46</f>
        <v>Japón</v>
      </c>
      <c r="AG47" s="323">
        <f t="shared" si="144"/>
        <v>1</v>
      </c>
      <c r="AH47" s="195">
        <v>36</v>
      </c>
      <c r="AI47" s="181" t="str">
        <f t="shared" ref="AI47:AI49" si="148">AJ47&amp;$B$44</f>
        <v>2F</v>
      </c>
      <c r="AJ47" s="42">
        <v>2</v>
      </c>
      <c r="AK47" s="602" t="e" cm="1" vm="23">
        <f t="array" aca="1" ref="AK47" ca="1">Ver_flag_visit</f>
        <v>#VALUE!</v>
      </c>
      <c r="AL47" s="37" t="str">
        <f ca="1">IFERROR(INDEX($BD$6:$BD$53,MATCH(AI47,$BN$6:$BN$53,0)),"")</f>
        <v>Japón</v>
      </c>
      <c r="AM47" s="38">
        <f t="shared" ca="1" si="147"/>
        <v>4</v>
      </c>
      <c r="AN47" s="39">
        <f t="shared" ca="1" si="147"/>
        <v>3</v>
      </c>
      <c r="AO47" s="39">
        <f t="shared" ca="1" si="147"/>
        <v>1</v>
      </c>
      <c r="AP47" s="39">
        <f t="shared" ca="1" si="147"/>
        <v>1</v>
      </c>
      <c r="AQ47" s="39">
        <f t="shared" ca="1" si="147"/>
        <v>1</v>
      </c>
      <c r="AR47" s="39">
        <f t="shared" ca="1" si="147"/>
        <v>3</v>
      </c>
      <c r="AS47" s="39">
        <f t="shared" ca="1" si="147"/>
        <v>3</v>
      </c>
      <c r="AT47" s="43">
        <f t="shared" ca="1" si="147"/>
        <v>0</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0</v>
      </c>
      <c r="BF47" s="16">
        <f t="shared" ca="1" si="41"/>
        <v>3</v>
      </c>
      <c r="BG47" s="16">
        <f t="shared" ca="1" si="17"/>
        <v>0</v>
      </c>
      <c r="BH47" s="16">
        <f t="shared" ca="1" si="18"/>
        <v>0</v>
      </c>
      <c r="BI47" s="16">
        <f t="shared" ca="1" si="19"/>
        <v>3</v>
      </c>
      <c r="BJ47" s="16">
        <f t="shared" ca="1" si="20"/>
        <v>0</v>
      </c>
      <c r="BK47" s="16">
        <f t="shared" ca="1" si="21"/>
        <v>7</v>
      </c>
      <c r="BL47" s="16">
        <f t="shared" ca="1" si="42"/>
        <v>-7</v>
      </c>
      <c r="BM47" s="16" t="str">
        <f t="shared" ca="1" si="22"/>
        <v>4K</v>
      </c>
      <c r="BN47" s="16" t="str">
        <f t="shared" ca="1" si="23"/>
        <v>4K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0</v>
      </c>
      <c r="BS47" s="16">
        <f ca="1">BP47+COUNTIFS($BQ$6:$BQ$53,BQ47,$BR$6:BR$53,"&gt;"&amp;BR47,$BC$6:$BC$53,INDEX(T_Equipos[Grupo],MATCH(BD47,T_Equipos[NombreEquipo],0)))</f>
        <v>4</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4</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4</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4</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4</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4</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4</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52"/>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5.95" customHeight="1">
      <c r="A48" s="16" t="str">
        <f ca="1">+Equipos!B25</f>
        <v>Túnez</v>
      </c>
      <c r="B48" s="16"/>
      <c r="C48" s="16"/>
      <c r="D48" s="16" t="str">
        <f t="shared" si="131"/>
        <v>Local</v>
      </c>
      <c r="E48" s="16" t="str">
        <f t="shared" ca="1" si="132"/>
        <v>-</v>
      </c>
      <c r="F48" s="16" t="str">
        <f t="shared" ca="1" si="133"/>
        <v>P.3 (2)</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46199.041666666664</v>
      </c>
      <c r="Y48" s="25">
        <f ca="1">Horarios!C48</f>
        <v>46199.041666666664</v>
      </c>
      <c r="Z48" s="26" t="str">
        <f>$Z$8</f>
        <v>J3</v>
      </c>
      <c r="AA48" s="27" t="str">
        <f ca="1">A46</f>
        <v>Japón</v>
      </c>
      <c r="AB48" s="49" t="e" cm="1" vm="23">
        <f t="array" aca="1" ref="AB48" ca="1">Ver_flag_local</f>
        <v>#VALUE!</v>
      </c>
      <c r="AC48" s="50">
        <v>2</v>
      </c>
      <c r="AD48" s="51">
        <v>1</v>
      </c>
      <c r="AE48" s="595" t="e" cm="1" vm="24">
        <f t="array" aca="1" ref="AE48" ca="1">Ver_flag_visit</f>
        <v>#VALUE!</v>
      </c>
      <c r="AF48" s="32" t="str">
        <f ca="1">A47</f>
        <v>Suecia</v>
      </c>
      <c r="AG48" s="323">
        <f t="shared" si="144"/>
        <v>1</v>
      </c>
      <c r="AH48" s="195">
        <v>57</v>
      </c>
      <c r="AI48" s="181" t="str">
        <f t="shared" si="148"/>
        <v>3F</v>
      </c>
      <c r="AJ48" s="42">
        <v>3</v>
      </c>
      <c r="AK48" s="602" t="e" cm="1" vm="24">
        <f t="array" aca="1" ref="AK48" ca="1">Ver_flag_visit</f>
        <v>#VALUE!</v>
      </c>
      <c r="AL48" s="37" t="str">
        <f ca="1">IFERROR(INDEX($BD$6:$BD$53,MATCH(AI48,$BN$6:$BN$53,0)),"")</f>
        <v>Suecia</v>
      </c>
      <c r="AM48" s="38">
        <f t="shared" ca="1" si="147"/>
        <v>3</v>
      </c>
      <c r="AN48" s="39">
        <f t="shared" ca="1" si="147"/>
        <v>3</v>
      </c>
      <c r="AO48" s="39">
        <f t="shared" ca="1" si="147"/>
        <v>1</v>
      </c>
      <c r="AP48" s="39">
        <f t="shared" ca="1" si="147"/>
        <v>0</v>
      </c>
      <c r="AQ48" s="39">
        <f t="shared" ca="1" si="147"/>
        <v>2</v>
      </c>
      <c r="AR48" s="39">
        <f t="shared" ca="1" si="147"/>
        <v>3</v>
      </c>
      <c r="AS48" s="39">
        <f t="shared" ca="1" si="147"/>
        <v>5</v>
      </c>
      <c r="AT48" s="43">
        <f t="shared" ca="1" si="147"/>
        <v>-2</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3</v>
      </c>
      <c r="BF48" s="16">
        <f t="shared" ca="1" si="41"/>
        <v>3</v>
      </c>
      <c r="BG48" s="16">
        <f t="shared" ca="1" si="17"/>
        <v>1</v>
      </c>
      <c r="BH48" s="16">
        <f t="shared" ca="1" si="18"/>
        <v>0</v>
      </c>
      <c r="BI48" s="16">
        <f t="shared" ca="1" si="19"/>
        <v>2</v>
      </c>
      <c r="BJ48" s="16">
        <f t="shared" ca="1" si="20"/>
        <v>1</v>
      </c>
      <c r="BK48" s="16">
        <f t="shared" ca="1" si="21"/>
        <v>5</v>
      </c>
      <c r="BL48" s="16">
        <f t="shared" ca="1" si="42"/>
        <v>-4</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3</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52"/>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Uzbekistán</v>
      </c>
    </row>
    <row r="49" spans="1:121" ht="15.95" customHeight="1" thickBot="1">
      <c r="A49" s="16"/>
      <c r="B49" s="16"/>
      <c r="C49" s="16"/>
      <c r="D49" s="16" t="str">
        <f t="shared" si="131"/>
        <v>Visitante</v>
      </c>
      <c r="E49" s="16" t="str">
        <f t="shared" ca="1" si="132"/>
        <v>P.3 (2)</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e" cm="1" vm="25">
        <f t="array" aca="1" ref="AB49" ca="1">Ver_flag_local</f>
        <v>#VALUE!</v>
      </c>
      <c r="AC49" s="53">
        <v>0</v>
      </c>
      <c r="AD49" s="54">
        <v>2</v>
      </c>
      <c r="AE49" s="596" t="e" cm="1" vm="22">
        <f t="array" aca="1" ref="AE49" ca="1">Ver_flag_visit</f>
        <v>#VALUE!</v>
      </c>
      <c r="AF49" s="33" t="str">
        <f ca="1">A45</f>
        <v>Países Bajos</v>
      </c>
      <c r="AG49" s="323">
        <f t="shared" si="144"/>
        <v>1</v>
      </c>
      <c r="AH49" s="195">
        <v>58</v>
      </c>
      <c r="AI49" s="181" t="str">
        <f t="shared" si="148"/>
        <v>4F</v>
      </c>
      <c r="AJ49" s="44">
        <v>4</v>
      </c>
      <c r="AK49" s="604" t="e" cm="1" vm="25">
        <f t="array" aca="1" ref="AK49" ca="1">Ver_flag_visit</f>
        <v>#VALUE!</v>
      </c>
      <c r="AL49" s="45" t="str">
        <f ca="1">IFERROR(INDEX($BD$6:$BD$53,MATCH(AI49,$BN$6:$BN$53,0)),"")</f>
        <v>Túnez</v>
      </c>
      <c r="AM49" s="46">
        <f t="shared" ca="1" si="147"/>
        <v>3</v>
      </c>
      <c r="AN49" s="47">
        <f t="shared" ca="1" si="147"/>
        <v>3</v>
      </c>
      <c r="AO49" s="47">
        <f t="shared" ca="1" si="147"/>
        <v>1</v>
      </c>
      <c r="AP49" s="47">
        <f t="shared" ca="1" si="147"/>
        <v>0</v>
      </c>
      <c r="AQ49" s="47">
        <f t="shared" ca="1" si="147"/>
        <v>2</v>
      </c>
      <c r="AR49" s="47">
        <f t="shared" ca="1" si="147"/>
        <v>2</v>
      </c>
      <c r="AS49" s="47">
        <f t="shared" ca="1" si="147"/>
        <v>4</v>
      </c>
      <c r="AT49" s="48">
        <f t="shared" ca="1" si="147"/>
        <v>-2</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4</v>
      </c>
      <c r="BK49" s="16">
        <f t="shared" ca="1" si="21"/>
        <v>2</v>
      </c>
      <c r="BL49" s="16">
        <f t="shared" ca="1" si="42"/>
        <v>2</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RD Congo</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5</v>
      </c>
      <c r="BK50" s="16">
        <f t="shared" ca="1" si="21"/>
        <v>1</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(2)</v>
      </c>
      <c r="BU50" s="16">
        <f t="shared" ca="1" si="24"/>
        <v>0</v>
      </c>
      <c r="BV50" s="16">
        <f t="shared" ca="1" si="25"/>
        <v>1</v>
      </c>
      <c r="BW50" s="16">
        <f t="shared" ca="1" si="26"/>
        <v>0</v>
      </c>
      <c r="BX50" s="16">
        <f t="shared" ca="1" si="48"/>
        <v>1</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(2)</v>
      </c>
      <c r="CA50" s="16">
        <f t="shared" ca="1" si="27"/>
        <v>1</v>
      </c>
      <c r="CB50" s="16">
        <f t="shared" ca="1" si="28"/>
        <v>1</v>
      </c>
      <c r="CC50" s="16">
        <f t="shared" ca="1" si="49"/>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(2)</v>
      </c>
      <c r="CF50" s="16">
        <f t="shared" ca="1" si="29"/>
        <v>1</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(2)</v>
      </c>
      <c r="CI50" s="16">
        <f t="shared" ca="1" si="30"/>
        <v>0</v>
      </c>
      <c r="CJ50" s="16">
        <f t="shared" ca="1" si="31"/>
        <v>1</v>
      </c>
      <c r="CK50" s="16">
        <f t="shared" ca="1" si="32"/>
        <v>0</v>
      </c>
      <c r="CL50" s="16">
        <f t="shared" ca="1" si="50"/>
        <v>1</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(2)</v>
      </c>
      <c r="CO50" s="16">
        <f t="shared" ca="1" si="33"/>
        <v>1</v>
      </c>
      <c r="CP50" s="16">
        <f t="shared" ca="1" si="34"/>
        <v>1</v>
      </c>
      <c r="CQ50" s="16">
        <f t="shared" ca="1" si="51"/>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(2)</v>
      </c>
      <c r="CT50" s="16">
        <f t="shared" ca="1" si="35"/>
        <v>1</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(2)</v>
      </c>
      <c r="CW50" s="16">
        <f t="shared" ca="1" si="36"/>
        <v>4</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3</v>
      </c>
      <c r="BF51" s="16">
        <f t="shared" ca="1" si="41"/>
        <v>3</v>
      </c>
      <c r="BG51" s="16">
        <f t="shared" ca="1" si="17"/>
        <v>1</v>
      </c>
      <c r="BH51" s="16">
        <f t="shared" ca="1" si="18"/>
        <v>0</v>
      </c>
      <c r="BI51" s="16">
        <f t="shared" ca="1" si="19"/>
        <v>2</v>
      </c>
      <c r="BJ51" s="16">
        <f t="shared" ca="1" si="20"/>
        <v>3</v>
      </c>
      <c r="BK51" s="16">
        <f t="shared" ca="1" si="21"/>
        <v>3</v>
      </c>
      <c r="BL51" s="16">
        <f t="shared" ca="1" si="42"/>
        <v>0</v>
      </c>
      <c r="BM51" s="16" t="str">
        <f t="shared" ca="1" si="22"/>
        <v>3L</v>
      </c>
      <c r="BN51" s="16" t="str">
        <f t="shared" ca="1" si="23"/>
        <v>3L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3</v>
      </c>
      <c r="BS51" s="16">
        <f ca="1">BP51+COUNTIFS($BQ$6:$BQ$53,BQ51,$BR$6:BR$53,"&gt;"&amp;BR51,$BC$6:$BC$53,INDEX(T_Equipos[Grupo],MATCH(BD51,T_Equipos[NombreEquipo],0)))</f>
        <v>3</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3</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3</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3</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3</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3</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3</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3</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3</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3</v>
      </c>
      <c r="DE51" s="16"/>
      <c r="DF51" s="16">
        <f t="shared" ca="1" si="52"/>
        <v>3</v>
      </c>
      <c r="DG51" s="16" t="str">
        <f ca="1">IF(DB51="-","-",COUNTIFS(DF$6:DF$53,"&lt;"&amp;DF51,$BC$6:$BC$53,INDEX(T_Equipos[Grupo],MATCH(BD51,T_Equipos[NombreEquipo],0))))</f>
        <v>-</v>
      </c>
      <c r="DH51" s="16">
        <f ca="1">DA51+COUNTIFS(DB$6:DB$53,DB51,DG$6:DG$53,"&lt;"&amp;DG51,$BC$6:$BC$53,INDEX(T_Equipos[Grupo],MATCH(BD51,T_Equipos[NombreEquipo],0)))</f>
        <v>3</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Ghana</v>
      </c>
    </row>
    <row r="52" spans="1:121" ht="15.95"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e" cm="1" vm="26">
        <f t="array" aca="1" ref="AB52" ca="1">Ver_flag_local</f>
        <v>#VALUE!</v>
      </c>
      <c r="AC52" s="50">
        <v>1</v>
      </c>
      <c r="AD52" s="51">
        <v>1</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7</v>
      </c>
      <c r="BF52" s="16">
        <f t="shared" ca="1" si="41"/>
        <v>3</v>
      </c>
      <c r="BG52" s="16">
        <f t="shared" ca="1" si="17"/>
        <v>2</v>
      </c>
      <c r="BH52" s="16">
        <f t="shared" ca="1" si="18"/>
        <v>1</v>
      </c>
      <c r="BI52" s="16">
        <f t="shared" ca="1" si="19"/>
        <v>0</v>
      </c>
      <c r="BJ52" s="16">
        <f t="shared" ca="1" si="20"/>
        <v>5</v>
      </c>
      <c r="BK52" s="16">
        <f t="shared" ca="1" si="21"/>
        <v>2</v>
      </c>
      <c r="BL52" s="16">
        <f t="shared" ca="1" si="42"/>
        <v>3</v>
      </c>
      <c r="BM52" s="16" t="str">
        <f t="shared" ca="1" si="22"/>
        <v>2L</v>
      </c>
      <c r="BN52" s="16" t="str">
        <f t="shared" ca="1" si="23"/>
        <v>2L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7</v>
      </c>
      <c r="BS52" s="16">
        <f ca="1">BP52+COUNTIFS($BQ$6:$BQ$53,BQ52,$BR$6:BR$53,"&gt;"&amp;BR52,$BC$6:$BC$53,INDEX(T_Equipos[Grupo],MATCH(BD52,T_Equipos[NombreEquipo],0)))</f>
        <v>1</v>
      </c>
      <c r="BT52" s="16" t="str">
        <f ca="1">IF(COUNTIFS($BS$6:$BS$53,BS52,$BC$6:$BC$53,INDEX(T_Equipos[Grupo],MATCH(BD52,T_Equipos[NombreEquipo],0)))=1,"-","P."&amp;BS52&amp;" ("&amp;COUNTIFS($BS$6:$BS$53,BS52,$BC$6:$BC$53,INDEX(T_Equipos[Grupo],MATCH(BD52,T_Equipos[NombreEquipo],0)))&amp;")")</f>
        <v>P.1 (2)</v>
      </c>
      <c r="BU52" s="16">
        <f t="shared" ca="1" si="24"/>
        <v>0</v>
      </c>
      <c r="BV52" s="16">
        <f t="shared" ca="1" si="25"/>
        <v>1</v>
      </c>
      <c r="BW52" s="16">
        <f t="shared" ca="1" si="26"/>
        <v>0</v>
      </c>
      <c r="BX52" s="16">
        <f t="shared" ca="1" si="48"/>
        <v>1</v>
      </c>
      <c r="BY52" s="16">
        <f ca="1">BS52+COUNTIFS($BT$6:$BT$53,BT52,$BX$6:BX$53,"&gt;"&amp;BX52,$BC$6:$BC$53,INDEX(T_Equipos[Grupo],MATCH(BD52,T_Equipos[NombreEquipo],0)))</f>
        <v>1</v>
      </c>
      <c r="BZ52" s="16" t="str">
        <f ca="1">IF(COUNTIFS($BY$6:$BY$53,BY52,$BC$6:$BC$53,INDEX(T_Equipos[Grupo],MATCH(BD52,T_Equipos[NombreEquipo],0)))=1,"-","P."&amp;BY52&amp;" ("&amp;COUNTIFS($BY$6:$BY$53,BY52,$BC$6:$BC$53,INDEX(T_Equipos[Grupo],MATCH(BD52,T_Equipos[NombreEquipo],0)))&amp;")")</f>
        <v>P.1 (2)</v>
      </c>
      <c r="CA52" s="16">
        <f t="shared" ca="1" si="27"/>
        <v>1</v>
      </c>
      <c r="CB52" s="16">
        <f t="shared" ca="1" si="28"/>
        <v>1</v>
      </c>
      <c r="CC52" s="16">
        <f t="shared" ca="1" si="49"/>
        <v>0</v>
      </c>
      <c r="CD52" s="16">
        <f ca="1">BY52+COUNTIFS($BZ$6:$BZ$53,BZ52,$CC$6:CC$53,"&gt;"&amp;CC52,$BC$6:$BC$53,INDEX(T_Equipos[Grupo],MATCH(BD52,T_Equipos[NombreEquipo],0)))</f>
        <v>1</v>
      </c>
      <c r="CE52" s="16" t="str">
        <f ca="1">IF(COUNTIFS($CD$6:$CD$53,CD52,$BC$6:$BC$53,INDEX(T_Equipos[Grupo],MATCH(BD52,T_Equipos[NombreEquipo],0)))=1,"-","P."&amp;CD52&amp;" ("&amp;COUNTIFS($CD$6:$CD$53,CD52,$BC$6:$BC$53,INDEX(T_Equipos[Grupo],MATCH(BD52,T_Equipos[NombreEquipo],0)))&amp;")")</f>
        <v>P.1 (2)</v>
      </c>
      <c r="CF52" s="16">
        <f t="shared" ca="1" si="29"/>
        <v>1</v>
      </c>
      <c r="CG52" s="16">
        <f ca="1">CD52+COUNTIFS($CE$6:$CE$53,CE52,$CF$6:CF$53,"&gt;"&amp;CF52,$BC$6:$BC$53,INDEX(T_Equipos[Grupo],MATCH(BD52,T_Equipos[NombreEquipo],0)))</f>
        <v>1</v>
      </c>
      <c r="CH52" s="16" t="str">
        <f ca="1">IF(COUNTIFS($CG$6:$CG$53,CG52,$BC$6:$BC$53,INDEX(T_Equipos[Grupo],MATCH(BD52,T_Equipos[NombreEquipo],0)))=1,"-","P."&amp;CG52&amp;" ("&amp;COUNTIFS($CG$6:$CG$53,CG52,$BC$6:$BC$53,INDEX(T_Equipos[Grupo],MATCH(BD52,T_Equipos[NombreEquipo],0)))&amp;")")</f>
        <v>P.1 (2)</v>
      </c>
      <c r="CI52" s="16">
        <f t="shared" ca="1" si="30"/>
        <v>0</v>
      </c>
      <c r="CJ52" s="16">
        <f t="shared" ca="1" si="31"/>
        <v>1</v>
      </c>
      <c r="CK52" s="16">
        <f t="shared" ca="1" si="32"/>
        <v>0</v>
      </c>
      <c r="CL52" s="16">
        <f t="shared" ca="1" si="50"/>
        <v>1</v>
      </c>
      <c r="CM52" s="16">
        <f ca="1">CG52+COUNTIFS($CH$6:$CH$53,CH52,$CL$6:CL$53,"&gt;"&amp;CL52,$BC$6:$BC$53,INDEX(T_Equipos[Grupo],MATCH(BD52,T_Equipos[NombreEquipo],0)))</f>
        <v>1</v>
      </c>
      <c r="CN52" s="16" t="str">
        <f ca="1">IF(COUNTIFS($CM$6:$CM$53,CM52,$BC$6:$BC$53,INDEX(T_Equipos[Grupo],MATCH(BD52,T_Equipos[NombreEquipo],0)))=1,"-","P."&amp;CM52&amp;" ("&amp;COUNTIFS($CM$6:$CM$53,CM52,$BC$6:$BC$53,INDEX(T_Equipos[Grupo],MATCH(BD52,T_Equipos[NombreEquipo],0)))&amp;")")</f>
        <v>P.1 (2)</v>
      </c>
      <c r="CO52" s="16">
        <f t="shared" ca="1" si="33"/>
        <v>1</v>
      </c>
      <c r="CP52" s="16">
        <f t="shared" ca="1" si="34"/>
        <v>1</v>
      </c>
      <c r="CQ52" s="16">
        <f t="shared" ca="1" si="51"/>
        <v>0</v>
      </c>
      <c r="CR52" s="16">
        <f ca="1">CM52+COUNTIFS($CN$6:$CN$53,CN52,$CQ$6:CQ$53,"&gt;"&amp;CQ52,$BC$6:$BC$53,INDEX(T_Equipos[Grupo],MATCH(BD52,T_Equipos[NombreEquipo],0)))</f>
        <v>1</v>
      </c>
      <c r="CS52" s="16" t="str">
        <f ca="1">IF(COUNTIFS($CR$6:$CR$53,CR52,$BC$6:$BC$53,INDEX(T_Equipos[Grupo],MATCH(BD52,T_Equipos[NombreEquipo],0)))=1,"-","P."&amp;CR52&amp;" ("&amp;COUNTIFS($CR$6:$CR$53,CR52,$BC$6:$BC$53,INDEX(T_Equipos[Grupo],MATCH(BD52,T_Equipos[NombreEquipo],0)))&amp;")")</f>
        <v>P.1 (2)</v>
      </c>
      <c r="CT52" s="16">
        <f t="shared" ca="1" si="35"/>
        <v>1</v>
      </c>
      <c r="CU52" s="16">
        <f ca="1">CR52+COUNTIFS($CS$6:$CS$53,CS52,$CT$6:CT$53,"&gt;"&amp;CT52,$BC$6:$BC$53,INDEX(T_Equipos[Grupo],MATCH(BD52,T_Equipos[NombreEquipo],0)))</f>
        <v>1</v>
      </c>
      <c r="CV52" s="16" t="str">
        <f ca="1">IF(COUNTIFS($CU$6:$CU$53,CU52,$BC$6:$BC$53,INDEX(T_Equipos[Grupo],MATCH(BD52,T_Equipos[NombreEquipo],0)))=1,"-","P."&amp;CU52&amp;" ("&amp;COUNTIFS($CU$6:$CU$53,CU52,$BC$6:$BC$53,INDEX(T_Equipos[Grupo],MATCH(BD52,T_Equipos[NombreEquipo],0)))&amp;")")</f>
        <v>P.1 (2)</v>
      </c>
      <c r="CW52" s="16">
        <f t="shared" ca="1" si="36"/>
        <v>3</v>
      </c>
      <c r="CX52" s="16">
        <f ca="1">CU52+COUNTIFS($CV$6:$CV$53,CV52,$CW$6:CW$53,"&gt;"&amp;CW52,$BC$6:$BC$53,INDEX(T_Equipos[Grupo],MATCH(BD52,T_Equipos[NombreEquipo],0)))</f>
        <v>2</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2</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2</v>
      </c>
      <c r="DE52" s="16"/>
      <c r="DF52" s="16">
        <f t="shared" ca="1" si="52"/>
        <v>2</v>
      </c>
      <c r="DG52" s="16" t="str">
        <f ca="1">IF(DB52="-","-",COUNTIFS(DF$6:DF$53,"&lt;"&amp;DF52,$BC$6:$BC$53,INDEX(T_Equipos[Grupo],MATCH(BD52,T_Equipos[NombreEquipo],0))))</f>
        <v>-</v>
      </c>
      <c r="DH52" s="16">
        <f ca="1">DA52+COUNTIFS(DB$6:DB$53,DB52,DG$6:DG$53,"&lt;"&amp;DG52,$BC$6:$BC$53,INDEX(T_Equipos[Grupo],MATCH(BD52,T_Equipos[NombreEquipo],0)))</f>
        <v>2</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Croacia</v>
      </c>
    </row>
    <row r="53" spans="1:121" ht="15.95" customHeight="1">
      <c r="A53" s="16" t="str">
        <f ca="1">+Equipos!B26</f>
        <v>Bélgica</v>
      </c>
      <c r="B53" s="16"/>
      <c r="C53" s="16"/>
      <c r="D53" s="16" t="str">
        <f t="shared" si="149"/>
        <v>Visitante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66"/>
      <c r="X53" s="24">
        <f ca="1">Horarios!C53</f>
        <v>46189.125</v>
      </c>
      <c r="Y53" s="25">
        <f ca="1">Horarios!C53</f>
        <v>46189.125</v>
      </c>
      <c r="Z53" s="26" t="str">
        <f>$Z$4</f>
        <v>J1</v>
      </c>
      <c r="AA53" s="27" t="str">
        <f ca="1">A55</f>
        <v>Irán</v>
      </c>
      <c r="AB53" s="49" t="e" cm="1" vm="28">
        <f t="array" aca="1" ref="AB53" ca="1">Ver_flag_local</f>
        <v>#VALUE!</v>
      </c>
      <c r="AC53" s="50">
        <v>1</v>
      </c>
      <c r="AD53" s="51">
        <v>2</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7</v>
      </c>
      <c r="BL53" s="16">
        <f t="shared" ca="1" si="42"/>
        <v>-7</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66"/>
      <c r="X54" s="24">
        <f ca="1">Horarios!C54</f>
        <v>46194.875</v>
      </c>
      <c r="Y54" s="25">
        <f ca="1">Horarios!C54</f>
        <v>46194.875</v>
      </c>
      <c r="Z54" s="26" t="str">
        <f>$Z$6</f>
        <v>J2</v>
      </c>
      <c r="AA54" s="27" t="str">
        <f ca="1">A53</f>
        <v>Bélgica</v>
      </c>
      <c r="AB54" s="49" t="e" cm="1" vm="26">
        <f t="array" aca="1" ref="AB54" ca="1">Ver_flag_local</f>
        <v>#VALUE!</v>
      </c>
      <c r="AC54" s="50">
        <v>2</v>
      </c>
      <c r="AD54" s="51">
        <v>0</v>
      </c>
      <c r="AE54" s="595" t="e" cm="1" vm="28">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6</v>
      </c>
      <c r="AS54" s="36">
        <f t="shared" ca="1" si="165"/>
        <v>2</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66"/>
      <c r="X55" s="24">
        <f ca="1">Horarios!C55</f>
        <v>46195.125</v>
      </c>
      <c r="Y55" s="25">
        <f ca="1">Horarios!C55</f>
        <v>46195.125</v>
      </c>
      <c r="Z55" s="26" t="str">
        <f>$Z$6</f>
        <v>J2</v>
      </c>
      <c r="AA55" s="27" t="str">
        <f ca="1">A56</f>
        <v>Nueva Zelanda</v>
      </c>
      <c r="AB55" s="49" t="e" cm="1" vm="29">
        <f t="array" aca="1" ref="AB55" ca="1">Ver_flag_local</f>
        <v>#VALUE!</v>
      </c>
      <c r="AC55" s="50">
        <v>0</v>
      </c>
      <c r="AD55" s="51">
        <v>1</v>
      </c>
      <c r="AE55" s="595" t="e" cm="1" vm="27">
        <f t="array" aca="1" ref="AE55" ca="1">Ver_flag_visit</f>
        <v>#VALUE!</v>
      </c>
      <c r="AF55" s="32" t="str">
        <f ca="1">A54</f>
        <v>Egipto</v>
      </c>
      <c r="AG55" s="323">
        <f t="shared" si="162"/>
        <v>1</v>
      </c>
      <c r="AH55" s="195">
        <v>40</v>
      </c>
      <c r="AI55" s="181" t="str">
        <f t="shared" ref="AI55:AI57" si="166">AJ55&amp;$B$52</f>
        <v>2G</v>
      </c>
      <c r="AJ55" s="42">
        <v>2</v>
      </c>
      <c r="AK55" s="602" t="e" cm="1" vm="27">
        <f t="array" aca="1" ref="AK55" ca="1">Ver_flag_visit</f>
        <v>#VALUE!</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2</v>
      </c>
      <c r="AS55" s="39">
        <f t="shared" ca="1" si="165"/>
        <v>1</v>
      </c>
      <c r="AT55" s="43">
        <f t="shared" ca="1" si="165"/>
        <v>1</v>
      </c>
      <c r="AU55" s="330">
        <f ca="1">INDEX($DL$6:$DL$53,MATCH(AI55,$DP$6:$DP$53,0))</f>
        <v>1</v>
      </c>
      <c r="AV55" s="182" t="str">
        <f ca="1">INDEX($BD$6:$BD$53,MATCH(AI55,$BM$6:$BM$53,0))</f>
        <v>Egipto</v>
      </c>
      <c r="AW55" s="210"/>
      <c r="AX55" s="171"/>
      <c r="AY55" s="203" t="str">
        <f ca="1">+A54</f>
        <v>Egipto</v>
      </c>
      <c r="AZ55" s="204"/>
      <c r="BA55" s="176"/>
    </row>
    <row r="56" spans="1:121" ht="15.95" customHeight="1">
      <c r="A56" s="16" t="str">
        <f ca="1">+Equipos!B29</f>
        <v>Nueva Zelanda</v>
      </c>
      <c r="B56" s="16"/>
      <c r="C56" s="16"/>
      <c r="D56" s="16" t="str">
        <f t="shared" si="149"/>
        <v>Empate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66"/>
      <c r="X56" s="24">
        <f ca="1">Horarios!C56</f>
        <v>46200.208333333336</v>
      </c>
      <c r="Y56" s="25">
        <f ca="1">Horarios!C56</f>
        <v>46200.208333333336</v>
      </c>
      <c r="Z56" s="26" t="str">
        <f>$Z$8</f>
        <v>J3</v>
      </c>
      <c r="AA56" s="27" t="str">
        <f ca="1">A54</f>
        <v>Egipto</v>
      </c>
      <c r="AB56" s="49" t="e" cm="1" vm="27">
        <f t="array" aca="1" ref="AB56" ca="1">Ver_flag_local</f>
        <v>#VALUE!</v>
      </c>
      <c r="AC56" s="50">
        <v>0</v>
      </c>
      <c r="AD56" s="51">
        <v>0</v>
      </c>
      <c r="AE56" s="595" t="e" cm="1" vm="28">
        <f t="array" aca="1" ref="AE56" ca="1">Ver_flag_visit</f>
        <v>#VALUE!</v>
      </c>
      <c r="AF56" s="32" t="str">
        <f ca="1">A55</f>
        <v>Irán</v>
      </c>
      <c r="AG56" s="323">
        <f t="shared" si="162"/>
        <v>1</v>
      </c>
      <c r="AH56" s="195">
        <v>63</v>
      </c>
      <c r="AI56" s="181" t="str">
        <f t="shared" si="166"/>
        <v>3G</v>
      </c>
      <c r="AJ56" s="42">
        <v>3</v>
      </c>
      <c r="AK56" s="602" t="e" cm="1" vm="29">
        <f t="array" aca="1" ref="AK56" ca="1">Ver_flag_visit</f>
        <v>#VALUE!</v>
      </c>
      <c r="AL56" s="37" t="str">
        <f ca="1">IFERROR(INDEX($BD$6:$BD$53,MATCH(AI56,$BN$6:$BN$53,0)),"")</f>
        <v>Nueva Zelanda</v>
      </c>
      <c r="AM56" s="38">
        <f t="shared" ca="1" si="165"/>
        <v>3</v>
      </c>
      <c r="AN56" s="39">
        <f t="shared" ca="1" si="165"/>
        <v>3</v>
      </c>
      <c r="AO56" s="39">
        <f t="shared" ca="1" si="165"/>
        <v>1</v>
      </c>
      <c r="AP56" s="39">
        <f t="shared" ca="1" si="165"/>
        <v>0</v>
      </c>
      <c r="AQ56" s="39">
        <f t="shared" ca="1" si="165"/>
        <v>2</v>
      </c>
      <c r="AR56" s="39">
        <f t="shared" ca="1" si="165"/>
        <v>3</v>
      </c>
      <c r="AS56" s="39">
        <f t="shared" ca="1" si="165"/>
        <v>5</v>
      </c>
      <c r="AT56" s="43">
        <f t="shared" ca="1" si="165"/>
        <v>-2</v>
      </c>
      <c r="AU56" s="330">
        <f ca="1">INDEX($DL$6:$DL$53,MATCH(AI56,$DP$6:$DP$53,0))</f>
        <v>1</v>
      </c>
      <c r="AV56" s="182" t="str">
        <f ca="1">INDEX($BD$6:$BD$53,MATCH(AI56,$BM$6:$BM$53,0))</f>
        <v>Nueva Zelanda</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e" cm="1" vm="29">
        <f t="array" aca="1" ref="AB57" ca="1">Ver_flag_local</f>
        <v>#VALUE!</v>
      </c>
      <c r="AC57" s="53">
        <v>1</v>
      </c>
      <c r="AD57" s="54">
        <v>3</v>
      </c>
      <c r="AE57" s="596" t="e" cm="1" vm="26">
        <f t="array" aca="1" ref="AE57" ca="1">Ver_flag_visit</f>
        <v>#VALUE!</v>
      </c>
      <c r="AF57" s="33" t="str">
        <f ca="1">A53</f>
        <v>Bélgica</v>
      </c>
      <c r="AG57" s="323">
        <f t="shared" si="162"/>
        <v>1</v>
      </c>
      <c r="AH57" s="195">
        <v>64</v>
      </c>
      <c r="AI57" s="181" t="str">
        <f t="shared" si="166"/>
        <v>4G</v>
      </c>
      <c r="AJ57" s="44">
        <v>4</v>
      </c>
      <c r="AK57" s="604" t="e" cm="1" vm="28">
        <f t="array" aca="1" ref="AK57" ca="1">Ver_flag_visit</f>
        <v>#VALUE!</v>
      </c>
      <c r="AL57" s="45" t="str">
        <f ca="1">IFERROR(INDEX($BD$6:$BD$53,MATCH(AI57,$BN$6:$BN$53,0)),"")</f>
        <v>Irán</v>
      </c>
      <c r="AM57" s="46">
        <f t="shared" ca="1" si="165"/>
        <v>1</v>
      </c>
      <c r="AN57" s="47">
        <f t="shared" ca="1" si="165"/>
        <v>3</v>
      </c>
      <c r="AO57" s="47">
        <f t="shared" ca="1" si="165"/>
        <v>0</v>
      </c>
      <c r="AP57" s="47">
        <f t="shared" ca="1" si="165"/>
        <v>1</v>
      </c>
      <c r="AQ57" s="47">
        <f t="shared" ca="1" si="165"/>
        <v>2</v>
      </c>
      <c r="AR57" s="47">
        <f t="shared" ca="1" si="165"/>
        <v>1</v>
      </c>
      <c r="AS57" s="47">
        <f t="shared" ca="1" si="165"/>
        <v>4</v>
      </c>
      <c r="AT57" s="48">
        <f t="shared" ca="1" si="165"/>
        <v>-3</v>
      </c>
      <c r="AU57" s="330">
        <f ca="1">INDEX($DL$6:$DL$53,MATCH(AI57,$DP$6:$DP$53,0))</f>
        <v>1</v>
      </c>
      <c r="AV57" s="182" t="str">
        <f ca="1">INDEX($BD$6:$BD$53,MATCH(AI57,$BM$6:$BM$53,0))</f>
        <v>Irán</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-1</v>
      </c>
      <c r="BM58" s="16">
        <f ca="1">CB58</f>
        <v>3</v>
      </c>
      <c r="BN58" s="16">
        <f ca="1">CF58</f>
        <v>2</v>
      </c>
      <c r="BO58" s="16" t="str">
        <f t="shared" ref="BO58:BO69" si="174">"4"&amp;BC58</f>
        <v>4A</v>
      </c>
      <c r="BP58" s="16"/>
      <c r="BQ58" s="16"/>
      <c r="BR58" s="16">
        <f t="shared" ref="BR58:BR69" ca="1" si="175">+BE58</f>
        <v>3</v>
      </c>
      <c r="BS58" s="16">
        <f ca="1">COUNTIFS(BR$58:BR$69,"&gt;"&amp;BR58)+1</f>
        <v>1</v>
      </c>
      <c r="BT58" s="16" t="str">
        <f ca="1">IF(COUNTIF(BS$58:BS$69,BS58)=1,"-","Pos. "&amp;BS58&amp;" ("&amp;COUNTIF(BS$58:BS$69,BS58)&amp;")")</f>
        <v>Pos. 1 (10)</v>
      </c>
      <c r="BU58" s="16">
        <f t="shared" ref="BU58:BU69" ca="1" si="176">IF(BT58="-","-",BL58)</f>
        <v>-1</v>
      </c>
      <c r="BV58" s="16">
        <f t="shared" ref="BV58:BV69" ca="1" si="177">BS58+COUNTIFS(BT$58:BT$69,BT58,BU$58:BU$69,"&gt;"&amp;BU58)</f>
        <v>2</v>
      </c>
      <c r="BW58" s="16" t="str">
        <f t="shared" ref="BW58:BW69" ca="1" si="178">IF(COUNTIF(BV$58:BV$69,BV58)=1,"-","Pos. "&amp;BV58&amp;" ("&amp;COUNTIF(BV$58:BV$69,BV58)&amp;")")</f>
        <v>Pos. 2 (2)</v>
      </c>
      <c r="BX58" s="16">
        <f t="shared" ref="BX58:BX69" ca="1" si="179">IF(BW58="-","-",BJ58)</f>
        <v>3</v>
      </c>
      <c r="BY58" s="16">
        <f t="shared" ref="BY58:BY69" ca="1" si="180">BV58+COUNTIFS(BW$58:BW$69,BW58,BX$58:BX$69,"&gt;"&amp;BX58)</f>
        <v>2</v>
      </c>
      <c r="BZ58" s="16" t="str">
        <f t="shared" ref="BZ58:BZ69" ca="1" si="181">IF(COUNTIF(BY$58:BY$69,BY58)=1,"-","Pos. "&amp;BY58&amp;" ("&amp;COUNTIF(BY$58:BY$69,BY58)&amp;")")</f>
        <v>Pos. 2 (2)</v>
      </c>
      <c r="CA58" s="16">
        <f t="shared" ref="CA58:CA69" ca="1" si="182">IF(BZ58="-","-",COUNTIF($BD$58:$BD$69,"&gt;"&amp;BD58))</f>
        <v>3</v>
      </c>
      <c r="CB58" s="16">
        <f ca="1">BY58+COUNTIFS(BZ$58:BZ$69,BZ58,CA$58:CA$69,"&gt;"&amp;CA58)</f>
        <v>3</v>
      </c>
      <c r="CC58" s="16"/>
      <c r="CD58" s="16">
        <f t="shared" ref="CD58:CD69" ca="1" si="183">IF(OR(INDEX($AW$102:$AW$113,MATCH($BD58,$AV$102:$AV$113,0))="",BZ58="-"),CB58,INDEX($AW$102:$AW$113,MATCH($BD58,$AV$102:$AV$113,0))+CB58/1000)</f>
        <v>2.0030000000000001</v>
      </c>
      <c r="CE58" s="16">
        <f ca="1">IF(BZ58="-","-",COUNTIF(CD$58:CD$69,"&lt;"&amp;CD58))</f>
        <v>1</v>
      </c>
      <c r="CF58" s="16">
        <f ca="1">BY58+COUNTIFS(BZ$58:BZ$69,BZ58,CE$58:CE$69,"&lt;"&amp;CE58)</f>
        <v>2</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Croacia</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Catar</v>
      </c>
      <c r="BE59" s="16">
        <f t="shared" ref="BE59:BE69" ca="1" si="188">CHOOSE($BB$57,
  (BG59*3 + BH59)+IF($AZ$3="No",0,INDEX($AZ$6:$AZ$97,MATCH(BD59,$AY$6:$AY$97,0))),
  (BG59*3 + BH59)+IF($AZ$3="No",0,INDEX($AZ$6:$AZ$97,MATCH(BD59,$AY$6:$AY$97,0))),
  IFERROR((BG59*3 + BH59+IF($AZ$3="No",0,INDEX($AZ$6:$AZ$97,MATCH(BD59,$AY$6:$AY$97,0)))) / BF59, 0)
)</f>
        <v>1</v>
      </c>
      <c r="BF59" s="16">
        <f t="shared" ref="BF59:BF69" ca="1" si="189">+BG59+BH59+BI59</f>
        <v>3</v>
      </c>
      <c r="BG59" s="16">
        <f t="shared" ca="1" si="169"/>
        <v>0</v>
      </c>
      <c r="BH59" s="16">
        <f t="shared" ca="1" si="170"/>
        <v>1</v>
      </c>
      <c r="BI59" s="16">
        <f t="shared" ca="1" si="171"/>
        <v>2</v>
      </c>
      <c r="BJ59" s="16">
        <f t="shared" ca="1" si="172"/>
        <v>1</v>
      </c>
      <c r="BK59" s="16">
        <f t="shared" ca="1" si="173"/>
        <v>4</v>
      </c>
      <c r="BL59" s="16">
        <f t="shared" ref="BL59:BL69" ca="1" si="190">+BJ59-BK59</f>
        <v>-3</v>
      </c>
      <c r="BM59" s="16">
        <f t="shared" ref="BM59:BM69" ca="1" si="191">CB59</f>
        <v>11</v>
      </c>
      <c r="BN59" s="16">
        <f t="shared" ref="BN59:BN69" ca="1" si="192">CF59</f>
        <v>11</v>
      </c>
      <c r="BO59" s="16" t="str">
        <f t="shared" si="174"/>
        <v>4B</v>
      </c>
      <c r="BP59" s="16"/>
      <c r="BQ59" s="16"/>
      <c r="BR59" s="16">
        <f t="shared" ca="1" si="175"/>
        <v>1</v>
      </c>
      <c r="BS59" s="16">
        <f t="shared" ref="BS59:BS69" ca="1" si="193">COUNTIFS(BR$58:BR$69,"&gt;"&amp;BR59)+1</f>
        <v>11</v>
      </c>
      <c r="BT59" s="16" t="str">
        <f t="shared" ref="BT59:BT69" ca="1" si="194">IF(COUNTIF(BS$58:BS$69,BS59)=1,"-","Pos. "&amp;BS59&amp;" ("&amp;COUNTIF(BS$58:BS$69,BS59)&amp;")")</f>
        <v>Pos. 11 (2)</v>
      </c>
      <c r="BU59" s="16">
        <f t="shared" ca="1" si="176"/>
        <v>-3</v>
      </c>
      <c r="BV59" s="16">
        <f t="shared" ca="1" si="177"/>
        <v>11</v>
      </c>
      <c r="BW59" s="16" t="str">
        <f t="shared" ca="1" si="178"/>
        <v>-</v>
      </c>
      <c r="BX59" s="16" t="str">
        <f t="shared" ca="1" si="179"/>
        <v>-</v>
      </c>
      <c r="BY59" s="16">
        <f t="shared" ca="1" si="180"/>
        <v>11</v>
      </c>
      <c r="BZ59" s="16" t="str">
        <f t="shared" ca="1" si="181"/>
        <v>-</v>
      </c>
      <c r="CA59" s="16" t="str">
        <f t="shared" ca="1" si="182"/>
        <v>-</v>
      </c>
      <c r="CB59" s="16">
        <f t="shared" ref="CB59:CB68" ca="1" si="195">BY59+COUNTIFS(BZ$58:BZ$69,BZ59,CA$58:CA$69,"&gt;"&amp;CA59)</f>
        <v>11</v>
      </c>
      <c r="CC59" s="16"/>
      <c r="CD59" s="16">
        <f t="shared" ca="1" si="183"/>
        <v>11</v>
      </c>
      <c r="CE59" s="16" t="str">
        <f t="shared" ref="CE59:CE69" ca="1" si="196">IF(BZ59="-","-",COUNTIF(CD$58:CD$69,"&lt;"&amp;CD59))</f>
        <v>-</v>
      </c>
      <c r="CF59" s="16">
        <f t="shared" ref="CF59:CF69" ca="1" si="197">BY59+COUNTIFS(BZ$58:BZ$69,BZ59,CE$58:CE$69,"&lt;"&amp;CE59)</f>
        <v>11</v>
      </c>
      <c r="DJ59" s="16">
        <f t="shared" ca="1" si="184"/>
        <v>2</v>
      </c>
      <c r="DK59" s="16"/>
      <c r="DL59" s="16">
        <f t="shared" ca="1" si="185"/>
        <v>2</v>
      </c>
      <c r="DM59" s="16" t="str">
        <f t="shared" ca="1" si="186"/>
        <v>2.2</v>
      </c>
      <c r="DN59" s="16" t="e" cm="1" vm="21">
        <f t="array" aca="1" ref="DN59" ca="1">OFFSET(Horarios!$P$3,DJ59-1,0,DL59,1)</f>
        <v>#VALUE!</v>
      </c>
      <c r="DO59" s="16"/>
      <c r="DP59" s="16">
        <v>2</v>
      </c>
      <c r="DQ59" s="16" t="str">
        <f t="shared" ref="DQ59:DQ69" ca="1" si="198">INDEX($BD$58:$BD$69,MATCH(DP59,$BM$58:$BM$69,0))</f>
        <v>Costa de Marfil</v>
      </c>
    </row>
    <row r="60" spans="1:121" ht="15.9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e" cm="1" vm="30">
        <f t="array" aca="1" ref="AB60" ca="1">Ver_flag_local</f>
        <v>#VALUE!</v>
      </c>
      <c r="AC60" s="50">
        <v>4</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3</v>
      </c>
      <c r="BK60" s="16">
        <f t="shared" ca="1" si="173"/>
        <v>6</v>
      </c>
      <c r="BL60" s="16">
        <f t="shared" ca="1" si="190"/>
        <v>-3</v>
      </c>
      <c r="BM60" s="16">
        <f t="shared" ca="1" si="191"/>
        <v>7</v>
      </c>
      <c r="BN60" s="16">
        <f t="shared" ca="1" si="192"/>
        <v>7</v>
      </c>
      <c r="BO60" s="16" t="str">
        <f t="shared" si="174"/>
        <v>4C</v>
      </c>
      <c r="BP60" s="16"/>
      <c r="BQ60" s="16"/>
      <c r="BR60" s="16">
        <f t="shared" ca="1" si="175"/>
        <v>3</v>
      </c>
      <c r="BS60" s="16">
        <f t="shared" ca="1" si="193"/>
        <v>1</v>
      </c>
      <c r="BT60" s="16" t="str">
        <f t="shared" ca="1" si="194"/>
        <v>Pos. 1 (10)</v>
      </c>
      <c r="BU60" s="16">
        <f t="shared" ca="1" si="176"/>
        <v>-3</v>
      </c>
      <c r="BV60" s="16">
        <f t="shared" ca="1" si="177"/>
        <v>7</v>
      </c>
      <c r="BW60" s="16" t="str">
        <f t="shared" ca="1" si="178"/>
        <v>-</v>
      </c>
      <c r="BX60" s="16" t="str">
        <f t="shared" ca="1" si="179"/>
        <v>-</v>
      </c>
      <c r="BY60" s="16">
        <f t="shared" ca="1" si="180"/>
        <v>7</v>
      </c>
      <c r="BZ60" s="16" t="str">
        <f t="shared" ca="1" si="181"/>
        <v>-</v>
      </c>
      <c r="CA60" s="16" t="str">
        <f t="shared" ca="1" si="182"/>
        <v>-</v>
      </c>
      <c r="CB60" s="16">
        <f t="shared" ca="1" si="195"/>
        <v>7</v>
      </c>
      <c r="CC60" s="16"/>
      <c r="CD60" s="16">
        <f t="shared" ca="1" si="183"/>
        <v>7</v>
      </c>
      <c r="CE60" s="16" t="str">
        <f t="shared" ca="1" si="196"/>
        <v>-</v>
      </c>
      <c r="CF60" s="16">
        <f t="shared" ca="1" si="197"/>
        <v>7</v>
      </c>
      <c r="DJ60" s="16">
        <f t="shared" ca="1" si="184"/>
        <v>2</v>
      </c>
      <c r="DK60" s="16"/>
      <c r="DL60" s="16">
        <f t="shared" ca="1" si="185"/>
        <v>2</v>
      </c>
      <c r="DM60" s="16" t="str">
        <f t="shared" ca="1" si="186"/>
        <v>2.2</v>
      </c>
      <c r="DN60" s="16" t="e" cm="1" vm="21">
        <f t="array" aca="1" ref="DN60" ca="1">OFFSET(Horarios!$P$3,DJ60-1,0,DL60,1)</f>
        <v>#VALUE!</v>
      </c>
      <c r="DO60" s="16"/>
      <c r="DP60" s="16">
        <v>3</v>
      </c>
      <c r="DQ60" s="16" t="str">
        <f t="shared" ca="1" si="198"/>
        <v>República Checa</v>
      </c>
    </row>
    <row r="61" spans="1:121" ht="15.9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8"/>
      <c r="X61" s="24">
        <f ca="1">Horarios!C61</f>
        <v>46189</v>
      </c>
      <c r="Y61" s="25">
        <f ca="1">Horarios!C61</f>
        <v>46189</v>
      </c>
      <c r="Z61" s="26" t="str">
        <f>$Z$4</f>
        <v>J1</v>
      </c>
      <c r="AA61" s="27" t="str">
        <f ca="1">A63</f>
        <v>Arabia Saudita</v>
      </c>
      <c r="AB61" s="49" t="e" cm="1" vm="32">
        <f t="array" aca="1" ref="AB61" ca="1">Ver_flag_local</f>
        <v>#VALUE!</v>
      </c>
      <c r="AC61" s="50">
        <v>0</v>
      </c>
      <c r="AD61" s="51">
        <v>2</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3</v>
      </c>
      <c r="BF61" s="16">
        <f t="shared" ca="1" si="189"/>
        <v>3</v>
      </c>
      <c r="BG61" s="16">
        <f t="shared" ca="1" si="169"/>
        <v>1</v>
      </c>
      <c r="BH61" s="16">
        <f t="shared" ca="1" si="170"/>
        <v>0</v>
      </c>
      <c r="BI61" s="16">
        <f t="shared" ca="1" si="171"/>
        <v>2</v>
      </c>
      <c r="BJ61" s="16">
        <f t="shared" ca="1" si="172"/>
        <v>2</v>
      </c>
      <c r="BK61" s="16">
        <f t="shared" ca="1" si="173"/>
        <v>4</v>
      </c>
      <c r="BL61" s="16">
        <f t="shared" ca="1" si="190"/>
        <v>-2</v>
      </c>
      <c r="BM61" s="16">
        <f t="shared" ca="1" si="191"/>
        <v>6</v>
      </c>
      <c r="BN61" s="16">
        <f t="shared" ca="1" si="192"/>
        <v>6</v>
      </c>
      <c r="BO61" s="16" t="str">
        <f t="shared" si="174"/>
        <v>4D</v>
      </c>
      <c r="BP61" s="16"/>
      <c r="BQ61" s="16"/>
      <c r="BR61" s="16">
        <f t="shared" ca="1" si="175"/>
        <v>3</v>
      </c>
      <c r="BS61" s="16">
        <f t="shared" ca="1" si="193"/>
        <v>1</v>
      </c>
      <c r="BT61" s="16" t="str">
        <f t="shared" ca="1" si="194"/>
        <v>Pos. 1 (10)</v>
      </c>
      <c r="BU61" s="16">
        <f t="shared" ca="1" si="176"/>
        <v>-2</v>
      </c>
      <c r="BV61" s="16">
        <f t="shared" ca="1" si="177"/>
        <v>4</v>
      </c>
      <c r="BW61" s="16" t="str">
        <f t="shared" ca="1" si="178"/>
        <v>Pos. 4 (3)</v>
      </c>
      <c r="BX61" s="16">
        <f t="shared" ca="1" si="179"/>
        <v>2</v>
      </c>
      <c r="BY61" s="16">
        <f t="shared" ca="1" si="180"/>
        <v>6</v>
      </c>
      <c r="BZ61" s="16" t="str">
        <f t="shared" ca="1" si="181"/>
        <v>-</v>
      </c>
      <c r="CA61" s="16" t="str">
        <f t="shared" ca="1" si="182"/>
        <v>-</v>
      </c>
      <c r="CB61" s="16">
        <f t="shared" ca="1" si="195"/>
        <v>6</v>
      </c>
      <c r="CC61" s="16"/>
      <c r="CD61" s="16">
        <f t="shared" ca="1" si="183"/>
        <v>6</v>
      </c>
      <c r="CE61" s="16" t="str">
        <f t="shared" ca="1" si="196"/>
        <v>-</v>
      </c>
      <c r="CF61" s="16">
        <f t="shared" ca="1" si="197"/>
        <v>6</v>
      </c>
      <c r="DJ61" s="16">
        <f t="shared" ca="1" si="184"/>
        <v>4</v>
      </c>
      <c r="DK61" s="16"/>
      <c r="DL61" s="16">
        <f t="shared" ca="1" si="185"/>
        <v>2</v>
      </c>
      <c r="DM61" s="16" t="str">
        <f t="shared" ca="1" si="186"/>
        <v>4.2</v>
      </c>
      <c r="DN61" s="16" t="e" cm="1" vm="21">
        <f t="array" aca="1" ref="DN61" ca="1">OFFSET(Horarios!$P$3,DJ61-1,0,DL61,1)</f>
        <v>#VALUE!</v>
      </c>
      <c r="DO61" s="16"/>
      <c r="DP61" s="16">
        <v>4</v>
      </c>
      <c r="DQ61" s="16" t="str">
        <f t="shared" ca="1" si="198"/>
        <v>Nueva Zelanda</v>
      </c>
    </row>
    <row r="62" spans="1:121" ht="15.9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8"/>
      <c r="X62" s="24">
        <f ca="1">Horarios!C62</f>
        <v>46194.75</v>
      </c>
      <c r="Y62" s="25">
        <f ca="1">Horarios!C62</f>
        <v>46194.75</v>
      </c>
      <c r="Z62" s="26" t="str">
        <f>$Z$6</f>
        <v>J2</v>
      </c>
      <c r="AA62" s="27" t="str">
        <f ca="1">A61</f>
        <v>España</v>
      </c>
      <c r="AB62" s="49" t="e" cm="1" vm="30">
        <f t="array" aca="1" ref="AB62" ca="1">Ver_flag_local</f>
        <v>#VALUE!</v>
      </c>
      <c r="AC62" s="50">
        <v>3</v>
      </c>
      <c r="AD62" s="51">
        <v>0</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9</v>
      </c>
      <c r="AS62" s="36">
        <f t="shared" ca="1" si="215"/>
        <v>0</v>
      </c>
      <c r="AT62" s="41">
        <f t="shared" ca="1" si="215"/>
        <v>9</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3</v>
      </c>
      <c r="BK62" s="16">
        <f t="shared" ca="1" si="173"/>
        <v>4</v>
      </c>
      <c r="BL62" s="16">
        <f t="shared" ca="1" si="190"/>
        <v>-1</v>
      </c>
      <c r="BM62" s="16">
        <f t="shared" ca="1" si="191"/>
        <v>2</v>
      </c>
      <c r="BN62" s="16">
        <f t="shared" ca="1" si="192"/>
        <v>3</v>
      </c>
      <c r="BO62" s="16" t="str">
        <f t="shared" si="174"/>
        <v>4E</v>
      </c>
      <c r="BP62" s="16"/>
      <c r="BQ62" s="16"/>
      <c r="BR62" s="16">
        <f t="shared" ca="1" si="175"/>
        <v>3</v>
      </c>
      <c r="BS62" s="16">
        <f t="shared" ca="1" si="193"/>
        <v>1</v>
      </c>
      <c r="BT62" s="16" t="str">
        <f t="shared" ca="1" si="194"/>
        <v>Pos. 1 (10)</v>
      </c>
      <c r="BU62" s="16">
        <f t="shared" ca="1" si="176"/>
        <v>-1</v>
      </c>
      <c r="BV62" s="16">
        <f t="shared" ca="1" si="177"/>
        <v>2</v>
      </c>
      <c r="BW62" s="16" t="str">
        <f t="shared" ca="1" si="178"/>
        <v>Pos. 2 (2)</v>
      </c>
      <c r="BX62" s="16">
        <f t="shared" ca="1" si="179"/>
        <v>3</v>
      </c>
      <c r="BY62" s="16">
        <f t="shared" ca="1" si="180"/>
        <v>2</v>
      </c>
      <c r="BZ62" s="16" t="str">
        <f t="shared" ca="1" si="181"/>
        <v>Pos. 2 (2)</v>
      </c>
      <c r="CA62" s="16">
        <f t="shared" ca="1" si="182"/>
        <v>8</v>
      </c>
      <c r="CB62" s="16">
        <f t="shared" ca="1" si="195"/>
        <v>2</v>
      </c>
      <c r="CC62" s="16"/>
      <c r="CD62" s="16">
        <f t="shared" ca="1" si="183"/>
        <v>3.0019999999999998</v>
      </c>
      <c r="CE62" s="16">
        <f t="shared" ca="1" si="196"/>
        <v>2</v>
      </c>
      <c r="CF62" s="16">
        <f t="shared" ca="1" si="197"/>
        <v>3</v>
      </c>
      <c r="DJ62" s="16">
        <f t="shared" ca="1" si="184"/>
        <v>4</v>
      </c>
      <c r="DK62" s="16"/>
      <c r="DL62" s="16">
        <f t="shared" ca="1" si="185"/>
        <v>2</v>
      </c>
      <c r="DM62" s="16" t="str">
        <f t="shared" ca="1" si="186"/>
        <v>4.2</v>
      </c>
      <c r="DN62" s="16" t="e" cm="1" vm="21">
        <f t="array" aca="1" ref="DN62" ca="1">OFFSET(Horarios!$P$3,DJ62-1,0,DL62,1)</f>
        <v>#VALUE!</v>
      </c>
      <c r="DO62" s="16"/>
      <c r="DP62" s="16">
        <v>5</v>
      </c>
      <c r="DQ62" s="16" t="str">
        <f t="shared" ca="1" si="198"/>
        <v>Suecia</v>
      </c>
    </row>
    <row r="63" spans="1:121" ht="15.9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8"/>
      <c r="X63" s="24">
        <f ca="1">Horarios!C63</f>
        <v>46195</v>
      </c>
      <c r="Y63" s="25">
        <f ca="1">Horarios!C63</f>
        <v>46195</v>
      </c>
      <c r="Z63" s="26" t="str">
        <f>$Z$6</f>
        <v>J2</v>
      </c>
      <c r="AA63" s="27" t="str">
        <f ca="1">A64</f>
        <v>Uruguay</v>
      </c>
      <c r="AB63" s="49" t="e" cm="1" vm="33">
        <f t="array" aca="1" ref="AB63" ca="1">Ver_flag_local</f>
        <v>#VALUE!</v>
      </c>
      <c r="AC63" s="50">
        <v>4</v>
      </c>
      <c r="AD63" s="51">
        <v>0</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6</v>
      </c>
      <c r="AS63" s="39">
        <f t="shared" ca="1" si="215"/>
        <v>2</v>
      </c>
      <c r="AT63" s="43">
        <f t="shared" ca="1" si="215"/>
        <v>4</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3</v>
      </c>
      <c r="BF63" s="16">
        <f t="shared" ca="1" si="189"/>
        <v>3</v>
      </c>
      <c r="BG63" s="16">
        <f t="shared" ca="1" si="169"/>
        <v>1</v>
      </c>
      <c r="BH63" s="16">
        <f t="shared" ca="1" si="170"/>
        <v>0</v>
      </c>
      <c r="BI63" s="16">
        <f t="shared" ca="1" si="171"/>
        <v>2</v>
      </c>
      <c r="BJ63" s="16">
        <f t="shared" ca="1" si="172"/>
        <v>3</v>
      </c>
      <c r="BK63" s="16">
        <f t="shared" ca="1" si="173"/>
        <v>5</v>
      </c>
      <c r="BL63" s="16">
        <f t="shared" ca="1" si="190"/>
        <v>-2</v>
      </c>
      <c r="BM63" s="16">
        <f t="shared" ca="1" si="191"/>
        <v>5</v>
      </c>
      <c r="BN63" s="16">
        <f t="shared" ca="1" si="192"/>
        <v>4</v>
      </c>
      <c r="BO63" s="16" t="str">
        <f t="shared" si="174"/>
        <v>4F</v>
      </c>
      <c r="BP63" s="16"/>
      <c r="BQ63" s="16"/>
      <c r="BR63" s="16">
        <f t="shared" ca="1" si="175"/>
        <v>3</v>
      </c>
      <c r="BS63" s="16">
        <f t="shared" ca="1" si="193"/>
        <v>1</v>
      </c>
      <c r="BT63" s="16" t="str">
        <f t="shared" ca="1" si="194"/>
        <v>Pos. 1 (10)</v>
      </c>
      <c r="BU63" s="16">
        <f t="shared" ca="1" si="176"/>
        <v>-2</v>
      </c>
      <c r="BV63" s="16">
        <f t="shared" ca="1" si="177"/>
        <v>4</v>
      </c>
      <c r="BW63" s="16" t="str">
        <f t="shared" ca="1" si="178"/>
        <v>Pos. 4 (3)</v>
      </c>
      <c r="BX63" s="16">
        <f t="shared" ca="1" si="179"/>
        <v>3</v>
      </c>
      <c r="BY63" s="16">
        <f t="shared" ca="1" si="180"/>
        <v>4</v>
      </c>
      <c r="BZ63" s="16" t="str">
        <f t="shared" ca="1" si="181"/>
        <v>Pos. 4 (2)</v>
      </c>
      <c r="CA63" s="16">
        <f t="shared" ca="1" si="182"/>
        <v>1</v>
      </c>
      <c r="CB63" s="16">
        <f t="shared" ca="1" si="195"/>
        <v>5</v>
      </c>
      <c r="CC63" s="16"/>
      <c r="CD63" s="16">
        <f t="shared" ca="1" si="183"/>
        <v>4.0049999999999999</v>
      </c>
      <c r="CE63" s="16">
        <f t="shared" ca="1" si="196"/>
        <v>3</v>
      </c>
      <c r="CF63" s="16">
        <f t="shared" ca="1" si="197"/>
        <v>4</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Paraguay</v>
      </c>
    </row>
    <row r="64" spans="1:121" ht="15.9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e" cm="1" vm="31">
        <f t="array" aca="1" ref="AB64" ca="1">Ver_flag_local</f>
        <v>#VALUE!</v>
      </c>
      <c r="AC64" s="50">
        <v>1</v>
      </c>
      <c r="AD64" s="51">
        <v>2</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2</v>
      </c>
      <c r="AS64" s="39">
        <f t="shared" ca="1" si="215"/>
        <v>6</v>
      </c>
      <c r="AT64" s="43">
        <f t="shared" ca="1" si="215"/>
        <v>-4</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Nueva Zelanda</v>
      </c>
      <c r="BE64" s="16">
        <f t="shared" ca="1" si="188"/>
        <v>3</v>
      </c>
      <c r="BF64" s="16">
        <f t="shared" ca="1" si="189"/>
        <v>3</v>
      </c>
      <c r="BG64" s="16">
        <f t="shared" ca="1" si="169"/>
        <v>1</v>
      </c>
      <c r="BH64" s="16">
        <f t="shared" ca="1" si="170"/>
        <v>0</v>
      </c>
      <c r="BI64" s="16">
        <f t="shared" ca="1" si="171"/>
        <v>2</v>
      </c>
      <c r="BJ64" s="16">
        <f t="shared" ca="1" si="172"/>
        <v>3</v>
      </c>
      <c r="BK64" s="16">
        <f t="shared" ca="1" si="173"/>
        <v>5</v>
      </c>
      <c r="BL64" s="16">
        <f t="shared" ca="1" si="190"/>
        <v>-2</v>
      </c>
      <c r="BM64" s="16">
        <f t="shared" ca="1" si="191"/>
        <v>4</v>
      </c>
      <c r="BN64" s="16">
        <f t="shared" ca="1" si="192"/>
        <v>5</v>
      </c>
      <c r="BO64" s="16" t="str">
        <f t="shared" si="174"/>
        <v>4G</v>
      </c>
      <c r="BP64" s="16"/>
      <c r="BQ64" s="16"/>
      <c r="BR64" s="16">
        <f t="shared" ca="1" si="175"/>
        <v>3</v>
      </c>
      <c r="BS64" s="16">
        <f t="shared" ca="1" si="193"/>
        <v>1</v>
      </c>
      <c r="BT64" s="16" t="str">
        <f t="shared" ca="1" si="194"/>
        <v>Pos. 1 (10)</v>
      </c>
      <c r="BU64" s="16">
        <f t="shared" ca="1" si="176"/>
        <v>-2</v>
      </c>
      <c r="BV64" s="16">
        <f t="shared" ca="1" si="177"/>
        <v>4</v>
      </c>
      <c r="BW64" s="16" t="str">
        <f t="shared" ca="1" si="178"/>
        <v>Pos. 4 (3)</v>
      </c>
      <c r="BX64" s="16">
        <f t="shared" ca="1" si="179"/>
        <v>3</v>
      </c>
      <c r="BY64" s="16">
        <f t="shared" ca="1" si="180"/>
        <v>4</v>
      </c>
      <c r="BZ64" s="16" t="str">
        <f t="shared" ca="1" si="181"/>
        <v>Pos. 4 (2)</v>
      </c>
      <c r="CA64" s="16">
        <f t="shared" ca="1" si="182"/>
        <v>5</v>
      </c>
      <c r="CB64" s="16">
        <f t="shared" ca="1" si="195"/>
        <v>4</v>
      </c>
      <c r="CC64" s="16"/>
      <c r="CD64" s="16">
        <f t="shared" ca="1" si="183"/>
        <v>5.0039999999999996</v>
      </c>
      <c r="CE64" s="16">
        <f t="shared" ca="1" si="196"/>
        <v>4</v>
      </c>
      <c r="CF64" s="16">
        <f t="shared" ca="1" si="197"/>
        <v>5</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Escocia</v>
      </c>
    </row>
    <row r="65" spans="1:121" ht="15.9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e" cm="1" vm="33">
        <f t="array" aca="1" ref="AB65" ca="1">Ver_flag_local</f>
        <v>#VALUE!</v>
      </c>
      <c r="AC65" s="53">
        <v>0</v>
      </c>
      <c r="AD65" s="54">
        <v>2</v>
      </c>
      <c r="AE65" s="596" t="e" cm="1" vm="30">
        <f t="array" aca="1" ref="AE65" ca="1">Ver_flag_visit</f>
        <v>#VALUE!</v>
      </c>
      <c r="AF65" s="33" t="str">
        <f ca="1">A61</f>
        <v>España</v>
      </c>
      <c r="AG65" s="323">
        <f t="shared" si="212"/>
        <v>1</v>
      </c>
      <c r="AH65" s="195">
        <v>66</v>
      </c>
      <c r="AI65" s="181" t="str">
        <f t="shared" si="216"/>
        <v>4H</v>
      </c>
      <c r="AJ65" s="44">
        <v>4</v>
      </c>
      <c r="AK65" s="604"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1</v>
      </c>
      <c r="AS65" s="47">
        <f t="shared" ca="1" si="215"/>
        <v>10</v>
      </c>
      <c r="AT65" s="48">
        <f t="shared" ca="1" si="215"/>
        <v>-9</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2</v>
      </c>
      <c r="BK65" s="16">
        <f t="shared" ca="1" si="173"/>
        <v>6</v>
      </c>
      <c r="BL65" s="16">
        <f t="shared" ca="1" si="190"/>
        <v>-4</v>
      </c>
      <c r="BM65" s="16">
        <f t="shared" ca="1" si="191"/>
        <v>8</v>
      </c>
      <c r="BN65" s="16">
        <f t="shared" ca="1" si="192"/>
        <v>9</v>
      </c>
      <c r="BO65" s="16" t="str">
        <f t="shared" si="174"/>
        <v>4H</v>
      </c>
      <c r="BP65" s="16"/>
      <c r="BQ65" s="16"/>
      <c r="BR65" s="16">
        <f t="shared" ca="1" si="175"/>
        <v>3</v>
      </c>
      <c r="BS65" s="16">
        <f t="shared" ca="1" si="193"/>
        <v>1</v>
      </c>
      <c r="BT65" s="16" t="str">
        <f t="shared" ca="1" si="194"/>
        <v>Pos. 1 (10)</v>
      </c>
      <c r="BU65" s="16">
        <f t="shared" ca="1" si="176"/>
        <v>-4</v>
      </c>
      <c r="BV65" s="16">
        <f t="shared" ca="1" si="177"/>
        <v>8</v>
      </c>
      <c r="BW65" s="16" t="str">
        <f t="shared" ca="1" si="178"/>
        <v>Pos. 8 (3)</v>
      </c>
      <c r="BX65" s="16">
        <f t="shared" ca="1" si="179"/>
        <v>2</v>
      </c>
      <c r="BY65" s="16">
        <f t="shared" ca="1" si="180"/>
        <v>8</v>
      </c>
      <c r="BZ65" s="16" t="str">
        <f t="shared" ca="1" si="181"/>
        <v>Pos. 8 (2)</v>
      </c>
      <c r="CA65" s="16">
        <f t="shared" ca="1" si="182"/>
        <v>11</v>
      </c>
      <c r="CB65" s="16">
        <f t="shared" ca="1" si="195"/>
        <v>8</v>
      </c>
      <c r="CC65" s="16"/>
      <c r="CD65" s="16">
        <f t="shared" ca="1" si="183"/>
        <v>9.0079999999999991</v>
      </c>
      <c r="CE65" s="16">
        <f t="shared" ca="1" si="196"/>
        <v>8</v>
      </c>
      <c r="CF65" s="16">
        <f t="shared" ca="1" si="197"/>
        <v>9</v>
      </c>
      <c r="DJ65" s="16">
        <f t="shared" ca="1" si="184"/>
        <v>8</v>
      </c>
      <c r="DK65" s="16"/>
      <c r="DL65" s="16">
        <f t="shared" ca="1" si="185"/>
        <v>2</v>
      </c>
      <c r="DM65" s="16" t="str">
        <f t="shared" ca="1" si="186"/>
        <v>8.2</v>
      </c>
      <c r="DN65" s="16" t="e" cm="1" vm="21">
        <f t="array" aca="1" ref="DN65" ca="1">OFFSET(Horarios!$P$3,DJ65-1,0,DL65,1)</f>
        <v>#VALUE!</v>
      </c>
      <c r="DO65" s="16"/>
      <c r="DP65" s="16">
        <v>8</v>
      </c>
      <c r="DQ65" s="16" t="str">
        <f t="shared" ca="1" si="198"/>
        <v>Arabia Saudita</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2</v>
      </c>
      <c r="BK66" s="16">
        <f t="shared" ca="1" si="173"/>
        <v>6</v>
      </c>
      <c r="BL66" s="16">
        <f t="shared" ca="1" si="190"/>
        <v>-4</v>
      </c>
      <c r="BM66" s="16">
        <f t="shared" ca="1" si="191"/>
        <v>9</v>
      </c>
      <c r="BN66" s="16">
        <f t="shared" ca="1" si="192"/>
        <v>8</v>
      </c>
      <c r="BO66" s="16" t="str">
        <f t="shared" si="174"/>
        <v>4I</v>
      </c>
      <c r="BP66" s="16"/>
      <c r="BQ66" s="16"/>
      <c r="BR66" s="16">
        <f t="shared" ca="1" si="175"/>
        <v>3</v>
      </c>
      <c r="BS66" s="16">
        <f t="shared" ca="1" si="193"/>
        <v>1</v>
      </c>
      <c r="BT66" s="16" t="str">
        <f t="shared" ca="1" si="194"/>
        <v>Pos. 1 (10)</v>
      </c>
      <c r="BU66" s="16">
        <f t="shared" ca="1" si="176"/>
        <v>-4</v>
      </c>
      <c r="BV66" s="16">
        <f t="shared" ca="1" si="177"/>
        <v>8</v>
      </c>
      <c r="BW66" s="16" t="str">
        <f t="shared" ca="1" si="178"/>
        <v>Pos. 8 (3)</v>
      </c>
      <c r="BX66" s="16">
        <f t="shared" ca="1" si="179"/>
        <v>2</v>
      </c>
      <c r="BY66" s="16">
        <f t="shared" ca="1" si="180"/>
        <v>8</v>
      </c>
      <c r="BZ66" s="16" t="str">
        <f t="shared" ca="1" si="181"/>
        <v>Pos. 8 (2)</v>
      </c>
      <c r="CA66" s="16">
        <f t="shared" ca="1" si="182"/>
        <v>2</v>
      </c>
      <c r="CB66" s="16">
        <f t="shared" ca="1" si="195"/>
        <v>9</v>
      </c>
      <c r="CC66" s="16"/>
      <c r="CD66" s="16">
        <f t="shared" ca="1" si="183"/>
        <v>8.0090000000000003</v>
      </c>
      <c r="CE66" s="16">
        <f t="shared" ca="1" si="196"/>
        <v>7</v>
      </c>
      <c r="CF66" s="16">
        <f t="shared" ca="1" si="197"/>
        <v>8</v>
      </c>
      <c r="DJ66" s="16">
        <f t="shared" ca="1" si="184"/>
        <v>8</v>
      </c>
      <c r="DK66" s="16"/>
      <c r="DL66" s="16">
        <f t="shared" ca="1" si="185"/>
        <v>2</v>
      </c>
      <c r="DM66" s="16" t="str">
        <f t="shared" ca="1" si="186"/>
        <v>8.2</v>
      </c>
      <c r="DN66" s="16" t="e" cm="1" vm="21">
        <f t="array" aca="1" ref="DN66" ca="1">OFFSET(Horarios!$P$3,DJ66-1,0,DL66,1)</f>
        <v>#VALUE!</v>
      </c>
      <c r="DO66" s="16"/>
      <c r="DP66" s="16">
        <v>9</v>
      </c>
      <c r="DQ66" s="16" t="str">
        <f t="shared" ca="1" si="198"/>
        <v>Senegal</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1</v>
      </c>
      <c r="BF67" s="16">
        <f t="shared" ca="1" si="189"/>
        <v>3</v>
      </c>
      <c r="BG67" s="16">
        <f t="shared" ca="1" si="169"/>
        <v>0</v>
      </c>
      <c r="BH67" s="16">
        <f t="shared" ca="1" si="170"/>
        <v>1</v>
      </c>
      <c r="BI67" s="16">
        <f t="shared" ca="1" si="171"/>
        <v>2</v>
      </c>
      <c r="BJ67" s="16">
        <f t="shared" ca="1" si="172"/>
        <v>0</v>
      </c>
      <c r="BK67" s="16">
        <f t="shared" ca="1" si="173"/>
        <v>4</v>
      </c>
      <c r="BL67" s="16">
        <f t="shared" ca="1" si="190"/>
        <v>-4</v>
      </c>
      <c r="BM67" s="16">
        <f t="shared" ca="1" si="191"/>
        <v>12</v>
      </c>
      <c r="BN67" s="16">
        <f t="shared" ca="1" si="192"/>
        <v>12</v>
      </c>
      <c r="BO67" s="16" t="str">
        <f t="shared" si="174"/>
        <v>4J</v>
      </c>
      <c r="BP67" s="16"/>
      <c r="BQ67" s="16"/>
      <c r="BR67" s="16">
        <f t="shared" ca="1" si="175"/>
        <v>1</v>
      </c>
      <c r="BS67" s="16">
        <f t="shared" ca="1" si="193"/>
        <v>11</v>
      </c>
      <c r="BT67" s="16" t="str">
        <f t="shared" ca="1" si="194"/>
        <v>Pos. 11 (2)</v>
      </c>
      <c r="BU67" s="16">
        <f t="shared" ca="1" si="176"/>
        <v>-4</v>
      </c>
      <c r="BV67" s="16">
        <f t="shared" ca="1" si="177"/>
        <v>12</v>
      </c>
      <c r="BW67" s="16" t="str">
        <f t="shared" ca="1" si="178"/>
        <v>-</v>
      </c>
      <c r="BX67" s="16" t="str">
        <f t="shared" ca="1" si="179"/>
        <v>-</v>
      </c>
      <c r="BY67" s="16">
        <f t="shared" ca="1" si="180"/>
        <v>12</v>
      </c>
      <c r="BZ67" s="16" t="str">
        <f t="shared" ca="1" si="181"/>
        <v>-</v>
      </c>
      <c r="CA67" s="16" t="str">
        <f t="shared" ca="1" si="182"/>
        <v>-</v>
      </c>
      <c r="CB67" s="16">
        <f t="shared" ca="1" si="195"/>
        <v>12</v>
      </c>
      <c r="CC67" s="16"/>
      <c r="CD67" s="16">
        <f t="shared" ca="1" si="183"/>
        <v>12</v>
      </c>
      <c r="CE67" s="16" t="str">
        <f t="shared" ca="1" si="196"/>
        <v>-</v>
      </c>
      <c r="CF67" s="16">
        <f t="shared" ca="1" si="197"/>
        <v>12</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Uzbekistán</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448</v>
      </c>
      <c r="X68" s="24">
        <f ca="1">Horarios!C68</f>
        <v>46189.875</v>
      </c>
      <c r="Y68" s="25">
        <f ca="1">Horarios!C68</f>
        <v>46189.875</v>
      </c>
      <c r="Z68" s="26" t="str">
        <f>$Z$4</f>
        <v>J1</v>
      </c>
      <c r="AA68" s="27" t="str">
        <f ca="1">A69</f>
        <v>Francia</v>
      </c>
      <c r="AB68" s="49" t="e" cm="1" vm="34">
        <f t="array" aca="1" ref="AB68" ca="1">Ver_flag_local</f>
        <v>#VALUE!</v>
      </c>
      <c r="AC68" s="50">
        <v>3</v>
      </c>
      <c r="AD68" s="51">
        <v>0</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Uzbekistán</v>
      </c>
      <c r="BE68" s="16">
        <f t="shared" ca="1" si="188"/>
        <v>3</v>
      </c>
      <c r="BF68" s="16">
        <f t="shared" ca="1" si="189"/>
        <v>3</v>
      </c>
      <c r="BG68" s="16">
        <f t="shared" ca="1" si="169"/>
        <v>1</v>
      </c>
      <c r="BH68" s="16">
        <f t="shared" ca="1" si="170"/>
        <v>0</v>
      </c>
      <c r="BI68" s="16">
        <f t="shared" ca="1" si="171"/>
        <v>2</v>
      </c>
      <c r="BJ68" s="16">
        <f t="shared" ca="1" si="172"/>
        <v>1</v>
      </c>
      <c r="BK68" s="16">
        <f t="shared" ca="1" si="173"/>
        <v>5</v>
      </c>
      <c r="BL68" s="16">
        <f t="shared" ca="1" si="190"/>
        <v>-4</v>
      </c>
      <c r="BM68" s="16">
        <f t="shared" ca="1" si="191"/>
        <v>10</v>
      </c>
      <c r="BN68" s="16">
        <f t="shared" ca="1" si="192"/>
        <v>10</v>
      </c>
      <c r="BO68" s="16" t="str">
        <f t="shared" si="174"/>
        <v>4K</v>
      </c>
      <c r="BP68" s="16"/>
      <c r="BQ68" s="16"/>
      <c r="BR68" s="16">
        <f t="shared" ca="1" si="175"/>
        <v>3</v>
      </c>
      <c r="BS68" s="16">
        <f t="shared" ca="1" si="193"/>
        <v>1</v>
      </c>
      <c r="BT68" s="16" t="str">
        <f t="shared" ca="1" si="194"/>
        <v>Pos. 1 (10)</v>
      </c>
      <c r="BU68" s="16">
        <f t="shared" ca="1" si="176"/>
        <v>-4</v>
      </c>
      <c r="BV68" s="16">
        <f t="shared" ca="1" si="177"/>
        <v>8</v>
      </c>
      <c r="BW68" s="16" t="str">
        <f t="shared" ca="1" si="178"/>
        <v>Pos. 8 (3)</v>
      </c>
      <c r="BX68" s="16">
        <f t="shared" ca="1" si="179"/>
        <v>1</v>
      </c>
      <c r="BY68" s="16">
        <f t="shared" ca="1" si="180"/>
        <v>10</v>
      </c>
      <c r="BZ68" s="16" t="str">
        <f t="shared" ca="1" si="181"/>
        <v>-</v>
      </c>
      <c r="CA68" s="16" t="str">
        <f t="shared" ca="1" si="182"/>
        <v>-</v>
      </c>
      <c r="CB68" s="16">
        <f t="shared" ca="1" si="195"/>
        <v>10</v>
      </c>
      <c r="CC68" s="16"/>
      <c r="CD68" s="16">
        <f t="shared" ca="1" si="183"/>
        <v>10</v>
      </c>
      <c r="CE68" s="16" t="str">
        <f t="shared" ca="1" si="196"/>
        <v>-</v>
      </c>
      <c r="CF68" s="16">
        <f t="shared" ca="1" si="197"/>
        <v>10</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Catar</v>
      </c>
    </row>
    <row r="69" spans="1:121" ht="15.9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46190</v>
      </c>
      <c r="Y69" s="25">
        <f ca="1">Horarios!C69</f>
        <v>46190</v>
      </c>
      <c r="Z69" s="26" t="str">
        <f>$Z$4</f>
        <v>J1</v>
      </c>
      <c r="AA69" s="27" t="str">
        <f ca="1">A71</f>
        <v>Irak</v>
      </c>
      <c r="AB69" s="49" t="e" cm="1" vm="36">
        <f t="array" aca="1" ref="AB69" ca="1">Ver_flag_local</f>
        <v>#VALUE!</v>
      </c>
      <c r="AC69" s="50">
        <v>0</v>
      </c>
      <c r="AD69" s="51">
        <v>2</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Croacia</v>
      </c>
      <c r="BE69" s="16">
        <f t="shared" ca="1" si="188"/>
        <v>3</v>
      </c>
      <c r="BF69" s="16">
        <f t="shared" ca="1" si="189"/>
        <v>3</v>
      </c>
      <c r="BG69" s="16">
        <f t="shared" ca="1" si="169"/>
        <v>1</v>
      </c>
      <c r="BH69" s="16">
        <f t="shared" ca="1" si="170"/>
        <v>0</v>
      </c>
      <c r="BI69" s="16">
        <f t="shared" ca="1" si="171"/>
        <v>2</v>
      </c>
      <c r="BJ69" s="16">
        <f t="shared" ca="1" si="172"/>
        <v>3</v>
      </c>
      <c r="BK69" s="16">
        <f t="shared" ca="1" si="173"/>
        <v>3</v>
      </c>
      <c r="BL69" s="16">
        <f t="shared" ca="1" si="190"/>
        <v>0</v>
      </c>
      <c r="BM69" s="16">
        <f t="shared" ca="1" si="191"/>
        <v>1</v>
      </c>
      <c r="BN69" s="16">
        <f t="shared" ca="1" si="192"/>
        <v>1</v>
      </c>
      <c r="BO69" s="16" t="str">
        <f t="shared" si="174"/>
        <v>4L</v>
      </c>
      <c r="BP69" s="16"/>
      <c r="BQ69" s="16"/>
      <c r="BR69" s="16">
        <f t="shared" ca="1" si="175"/>
        <v>3</v>
      </c>
      <c r="BS69" s="16">
        <f t="shared" ca="1" si="193"/>
        <v>1</v>
      </c>
      <c r="BT69" s="16" t="str">
        <f t="shared" ca="1" si="194"/>
        <v>Pos. 1 (10)</v>
      </c>
      <c r="BU69" s="16">
        <f t="shared" ca="1" si="176"/>
        <v>0</v>
      </c>
      <c r="BV69" s="16">
        <f t="shared" ca="1" si="177"/>
        <v>1</v>
      </c>
      <c r="BW69" s="16" t="str">
        <f t="shared" ca="1" si="178"/>
        <v>-</v>
      </c>
      <c r="BX69" s="16" t="str">
        <f t="shared" ca="1" si="179"/>
        <v>-</v>
      </c>
      <c r="BY69" s="16">
        <f t="shared" ca="1" si="180"/>
        <v>1</v>
      </c>
      <c r="BZ69" s="16" t="str">
        <f t="shared" ca="1" si="181"/>
        <v>-</v>
      </c>
      <c r="CA69" s="16" t="str">
        <f t="shared" ca="1" si="182"/>
        <v>-</v>
      </c>
      <c r="CB69" s="16">
        <f ca="1">BY69+COUNTIFS(BZ$58:BZ$69,BZ69,CA$58:CA$69,"&gt;"&amp;CA69)</f>
        <v>1</v>
      </c>
      <c r="CC69" s="16"/>
      <c r="CD69" s="16">
        <f t="shared" ca="1" si="183"/>
        <v>1</v>
      </c>
      <c r="CE69" s="16" t="str">
        <f t="shared" ca="1" si="196"/>
        <v>-</v>
      </c>
      <c r="CF69" s="16">
        <f t="shared" ca="1" si="197"/>
        <v>1</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Argelia</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e" cm="1" vm="34">
        <f t="array" aca="1" ref="AB70" ca="1">Ver_flag_local</f>
        <v>#VALUE!</v>
      </c>
      <c r="AC70" s="50">
        <v>2</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1</v>
      </c>
      <c r="AT70" s="41">
        <f t="shared" ca="1" si="233"/>
        <v>6</v>
      </c>
      <c r="AU70" s="330">
        <f ca="1">INDEX($DL$6:$DL$53,MATCH(AI70,$DP$6:$DP$53,0))</f>
        <v>1</v>
      </c>
      <c r="AV70" s="182" t="str">
        <f ca="1">INDEX($BD$6:$BD$53,MATCH(AI70,$BM$6:$BM$53,0))</f>
        <v>Francia</v>
      </c>
      <c r="AW70" s="210"/>
      <c r="AX70" s="171"/>
      <c r="AY70" s="201" t="str">
        <f ca="1">+A69</f>
        <v>Francia</v>
      </c>
      <c r="AZ70" s="202"/>
      <c r="BA70" s="176"/>
      <c r="DN70" s="16"/>
    </row>
    <row r="71" spans="1:121" ht="15.95"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46196.083333333336</v>
      </c>
      <c r="Y71" s="25">
        <f ca="1">Horarios!C71</f>
        <v>46196.083333333336</v>
      </c>
      <c r="Z71" s="26" t="str">
        <f>$Z$6</f>
        <v>J2</v>
      </c>
      <c r="AA71" s="27" t="str">
        <f ca="1">A72</f>
        <v>Noruega</v>
      </c>
      <c r="AB71" s="49" t="e" cm="1" vm="37">
        <f t="array" aca="1" ref="AB71" ca="1">Ver_flag_local</f>
        <v>#VALUE!</v>
      </c>
      <c r="AC71" s="50">
        <v>2</v>
      </c>
      <c r="AD71" s="51">
        <v>0</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5</v>
      </c>
      <c r="AS71" s="39">
        <f t="shared" ca="1" si="233"/>
        <v>2</v>
      </c>
      <c r="AT71" s="43">
        <f t="shared" ca="1" si="233"/>
        <v>3</v>
      </c>
      <c r="AU71" s="330">
        <f ca="1">INDEX($DL$6:$DL$53,MATCH(AI71,$DP$6:$DP$53,0))</f>
        <v>1</v>
      </c>
      <c r="AV71" s="182" t="str">
        <f ca="1">INDEX($BD$6:$BD$53,MATCH(AI71,$BM$6:$BM$53,0))</f>
        <v>Noruega</v>
      </c>
      <c r="AW71" s="210"/>
      <c r="AX71" s="171"/>
      <c r="AY71" s="203" t="str">
        <f ca="1">+A70</f>
        <v>Senegal</v>
      </c>
      <c r="AZ71" s="204"/>
      <c r="BA71" s="176"/>
      <c r="DN71" s="16"/>
    </row>
    <row r="72" spans="1:121" ht="15.9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e" cm="1" vm="37">
        <f t="array" aca="1" ref="AB72" ca="1">Ver_flag_local</f>
        <v>#VALUE!</v>
      </c>
      <c r="AC72" s="50">
        <v>1</v>
      </c>
      <c r="AD72" s="51">
        <v>2</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2</v>
      </c>
      <c r="AS72" s="39">
        <f t="shared" ca="1" si="233"/>
        <v>6</v>
      </c>
      <c r="AT72" s="43">
        <f t="shared" ca="1" si="233"/>
        <v>-4</v>
      </c>
      <c r="AU72" s="330">
        <f ca="1">INDEX($DL$6:$DL$53,MATCH(AI72,$DP$6:$DP$53,0))</f>
        <v>1</v>
      </c>
      <c r="AV72" s="182" t="str">
        <f ca="1">INDEX($BD$6:$BD$53,MATCH(AI72,$BM$6:$BM$53,0))</f>
        <v>Senegal</v>
      </c>
      <c r="AW72" s="210"/>
      <c r="AX72" s="171"/>
      <c r="AY72" s="201" t="str">
        <f ca="1">+A71</f>
        <v>Irak</v>
      </c>
      <c r="AZ72" s="202"/>
      <c r="BA72" s="176"/>
      <c r="DN72" s="16"/>
    </row>
    <row r="73" spans="1:121" ht="15.9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e" cm="1" vm="35">
        <f t="array" aca="1" ref="AB73" ca="1">Ver_flag_local</f>
        <v>#VALUE!</v>
      </c>
      <c r="AC73" s="53">
        <v>2</v>
      </c>
      <c r="AD73" s="54">
        <v>1</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6</v>
      </c>
      <c r="AT73" s="48">
        <f t="shared" ca="1" si="233"/>
        <v>-5</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P.1 (2)</v>
      </c>
      <c r="F76" s="16" t="str">
        <f t="shared" ref="F76:F81" ca="1" si="237">IF(D76="Pendiente","-",INDEX($BT$6:$BT$53,MATCH($AF76,$BD$6:$BD$53,0)))</f>
        <v>P.3 (2)</v>
      </c>
      <c r="G76" s="16"/>
      <c r="H76" s="16" t="str">
        <f t="shared" ref="H76:H81" ca="1" si="238">IF(D76="Pendiente","-",INDEX($BZ$6:$BZ$53,MATCH($AA76,$BD$6:$BD$53,0)))</f>
        <v>P.1 (2)</v>
      </c>
      <c r="I76" s="16" t="str">
        <f t="shared" ref="I76:I81" ca="1" si="239">IF(D76="Pendiente","-",INDEX($BZ$6:$BZ$53,MATCH($AF76,$BD$6:$BD$53,0)))</f>
        <v>P.3 (2)</v>
      </c>
      <c r="J76" s="16"/>
      <c r="K76" s="16" t="str">
        <f t="shared" ref="K76:K81" ca="1" si="240">IF(D76="Pendiente","-",INDEX($CE$6:$CE$53,MATCH($AA76,$BD$6:$BD$53,0)))</f>
        <v>P.1 (2)</v>
      </c>
      <c r="L76" s="16" t="str">
        <f t="shared" ref="L76:L81" ca="1" si="241">IF(D76="Pendiente","-",INDEX($CE$6:$CE$53,MATCH($AF76,$BD$6:$BD$53,0)))</f>
        <v>P.3 (2)</v>
      </c>
      <c r="M76" s="16"/>
      <c r="N76" s="16" t="str">
        <f t="shared" ref="N76:N81" ca="1" si="242">IF(D76="Pendiente","-",INDEX($CH$6:$CH$53,MATCH($AA76,$BD$6:$BD$53,0)))</f>
        <v>P.1 (2)</v>
      </c>
      <c r="O76" s="16" t="str">
        <f t="shared" ref="O76:O81" ca="1" si="243">IF(D76="Pendiente","-",INDEX($CH$6:$CH$53,MATCH($AF76,$BD$6:$BD$53,0)))</f>
        <v>P.3 (2)</v>
      </c>
      <c r="P76" s="16"/>
      <c r="Q76" s="16" t="str">
        <f t="shared" ref="Q76:Q81" ca="1" si="244">IF(D76="Pendiente","-",INDEX($CN$6:$CN$53,MATCH($AA76,$BD$6:$BD$53,0)))</f>
        <v>P.1 (2)</v>
      </c>
      <c r="R76" s="16" t="str">
        <f t="shared" ref="R76:R81" ca="1" si="245">IF(D76="Pendiente","-",INDEX($CN$6:$CN$53,MATCH($AF76,$BD$6:$BD$53,0)))</f>
        <v>P.3 (2)</v>
      </c>
      <c r="S76" s="16"/>
      <c r="T76" s="16" t="str">
        <f t="shared" ref="T76:T81" ca="1" si="246">IF(D76="Pendiente","-",INDEX($CS$6:$CS$53,MATCH($AA76,$BD$6:$BD$53,0)))</f>
        <v>P.1 (2)</v>
      </c>
      <c r="U76" s="16" t="str">
        <f t="shared" ref="U76:U81" ca="1" si="247">IF(D76="Pendiente","-",INDEX($CS$6:$CS$53,MATCH($AF76,$BD$6:$BD$53,0)))</f>
        <v>P.3 (2)</v>
      </c>
      <c r="V76" s="17"/>
      <c r="W76" s="650" t="s">
        <v>5</v>
      </c>
      <c r="X76" s="24">
        <f ca="1">Horarios!C76</f>
        <v>46190.125</v>
      </c>
      <c r="Y76" s="25">
        <f ca="1">Horarios!C76</f>
        <v>46190.125</v>
      </c>
      <c r="Z76" s="26" t="str">
        <f>$Z$4</f>
        <v>J1</v>
      </c>
      <c r="AA76" s="27" t="str">
        <f ca="1">A77</f>
        <v>Argentina</v>
      </c>
      <c r="AB76" s="49" t="e" cm="1" vm="38">
        <f t="array" aca="1" ref="AB76" ca="1">Ver_flag_local</f>
        <v>#VALUE!</v>
      </c>
      <c r="AC76" s="50">
        <v>2</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¡EMPATE! Puedes seleccionar el orden de los empatados.</v>
      </c>
      <c r="AW76" s="167"/>
      <c r="AX76" s="167"/>
      <c r="AY76" s="154"/>
      <c r="AZ76" s="155"/>
      <c r="BA76" s="176"/>
      <c r="DN76" s="16"/>
    </row>
    <row r="77" spans="1:121" ht="15.95" customHeight="1">
      <c r="A77" s="16" t="str">
        <f ca="1">+Equipos!B38</f>
        <v>Argentina</v>
      </c>
      <c r="B77" s="16"/>
      <c r="C77" s="16"/>
      <c r="D77" s="16" t="str">
        <f t="shared" si="235"/>
        <v>Local</v>
      </c>
      <c r="E77" s="16" t="str">
        <f t="shared" ca="1" si="236"/>
        <v>P.1 (2)</v>
      </c>
      <c r="F77" s="16" t="str">
        <f t="shared" ca="1" si="237"/>
        <v>P.3 (2)</v>
      </c>
      <c r="G77" s="16"/>
      <c r="H77" s="16" t="str">
        <f t="shared" ca="1" si="238"/>
        <v>P.1 (2)</v>
      </c>
      <c r="I77" s="16" t="str">
        <f t="shared" ca="1" si="239"/>
        <v>P.3 (2)</v>
      </c>
      <c r="J77" s="16"/>
      <c r="K77" s="16" t="str">
        <f t="shared" ca="1" si="240"/>
        <v>P.1 (2)</v>
      </c>
      <c r="L77" s="16" t="str">
        <f t="shared" ca="1" si="241"/>
        <v>P.3 (2)</v>
      </c>
      <c r="M77" s="16"/>
      <c r="N77" s="16" t="str">
        <f t="shared" ca="1" si="242"/>
        <v>P.1 (2)</v>
      </c>
      <c r="O77" s="16" t="str">
        <f t="shared" ca="1" si="243"/>
        <v>P.3 (2)</v>
      </c>
      <c r="P77" s="16"/>
      <c r="Q77" s="16" t="str">
        <f t="shared" ca="1" si="244"/>
        <v>P.1 (2)</v>
      </c>
      <c r="R77" s="16" t="str">
        <f t="shared" ca="1" si="245"/>
        <v>P.3 (2)</v>
      </c>
      <c r="S77" s="16"/>
      <c r="T77" s="16" t="str">
        <f t="shared" ca="1" si="246"/>
        <v>P.1 (2)</v>
      </c>
      <c r="U77" s="16" t="str">
        <f t="shared" ca="1" si="247"/>
        <v>P.3 (2)</v>
      </c>
      <c r="V77" s="17"/>
      <c r="W77" s="650"/>
      <c r="X77" s="24">
        <f ca="1">Horarios!C77</f>
        <v>46190.25</v>
      </c>
      <c r="Y77" s="25">
        <f ca="1">Horarios!C77</f>
        <v>46190.25</v>
      </c>
      <c r="Z77" s="26" t="str">
        <f>$Z$4</f>
        <v>J1</v>
      </c>
      <c r="AA77" s="27" t="str">
        <f ca="1">A79</f>
        <v>Austria</v>
      </c>
      <c r="AB77" s="49" t="e" cm="1" vm="40">
        <f t="array" aca="1" ref="AB77" ca="1">Ver_flag_local</f>
        <v>#VALUE!</v>
      </c>
      <c r="AC77" s="50">
        <v>2</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4</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Empate</v>
      </c>
      <c r="E78" s="16" t="str">
        <f t="shared" ca="1" si="236"/>
        <v>P.1 (2)</v>
      </c>
      <c r="F78" s="16" t="str">
        <f t="shared" ca="1" si="237"/>
        <v>P.1 (2)</v>
      </c>
      <c r="G78" s="16"/>
      <c r="H78" s="16" t="str">
        <f t="shared" ca="1" si="238"/>
        <v>P.1 (2)</v>
      </c>
      <c r="I78" s="16" t="str">
        <f t="shared" ca="1" si="239"/>
        <v>P.1 (2)</v>
      </c>
      <c r="J78" s="16"/>
      <c r="K78" s="16" t="str">
        <f t="shared" ca="1" si="240"/>
        <v>P.1 (2)</v>
      </c>
      <c r="L78" s="16" t="str">
        <f t="shared" ca="1" si="241"/>
        <v>P.1 (2)</v>
      </c>
      <c r="M78" s="16"/>
      <c r="N78" s="16" t="str">
        <f t="shared" ca="1" si="242"/>
        <v>P.1 (2)</v>
      </c>
      <c r="O78" s="16" t="str">
        <f t="shared" ca="1" si="243"/>
        <v>P.1 (2)</v>
      </c>
      <c r="P78" s="16"/>
      <c r="Q78" s="16" t="str">
        <f t="shared" ca="1" si="244"/>
        <v>P.1 (2)</v>
      </c>
      <c r="R78" s="16" t="str">
        <f t="shared" ca="1" si="245"/>
        <v>P.1 (2)</v>
      </c>
      <c r="S78" s="16"/>
      <c r="T78" s="16" t="str">
        <f t="shared" ca="1" si="246"/>
        <v>P.1 (2)</v>
      </c>
      <c r="U78" s="16" t="str">
        <f t="shared" ca="1" si="247"/>
        <v>P.1 (2)</v>
      </c>
      <c r="V78" s="17"/>
      <c r="W78" s="650"/>
      <c r="X78" s="24">
        <f ca="1">Horarios!C78</f>
        <v>46195.791666666664</v>
      </c>
      <c r="Y78" s="25">
        <f ca="1">Horarios!C78</f>
        <v>46195.791666666664</v>
      </c>
      <c r="Z78" s="26" t="str">
        <f>$Z$6</f>
        <v>J2</v>
      </c>
      <c r="AA78" s="27" t="str">
        <f ca="1">A77</f>
        <v>Argentina</v>
      </c>
      <c r="AB78" s="49" t="e" cm="1" vm="38">
        <f t="array" aca="1" ref="AB78" ca="1">Ver_flag_local</f>
        <v>#VALUE!</v>
      </c>
      <c r="AC78" s="50">
        <v>1</v>
      </c>
      <c r="AD78" s="51">
        <v>1</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7</v>
      </c>
      <c r="AN78" s="36">
        <f t="shared" ca="1" si="251"/>
        <v>3</v>
      </c>
      <c r="AO78" s="36">
        <f t="shared" ca="1" si="251"/>
        <v>2</v>
      </c>
      <c r="AP78" s="36">
        <f t="shared" ca="1" si="251"/>
        <v>1</v>
      </c>
      <c r="AQ78" s="36">
        <f t="shared" ca="1" si="251"/>
        <v>0</v>
      </c>
      <c r="AR78" s="36">
        <f t="shared" ca="1" si="251"/>
        <v>5</v>
      </c>
      <c r="AS78" s="36">
        <f t="shared" ca="1" si="251"/>
        <v>1</v>
      </c>
      <c r="AT78" s="41">
        <f t="shared" ca="1" si="251"/>
        <v>4</v>
      </c>
      <c r="AU78" s="330">
        <f ca="1">INDEX($DL$6:$DL$53,MATCH(AI78,$DP$6:$DP$53,0))</f>
        <v>2</v>
      </c>
      <c r="AV78" s="182" t="str">
        <f ca="1">INDEX($BD$6:$BD$53,MATCH(AI78,$BM$6:$BM$53,0))</f>
        <v>Argentina</v>
      </c>
      <c r="AW78" s="210">
        <v>1</v>
      </c>
      <c r="AX78" s="171"/>
      <c r="AY78" s="201" t="str">
        <f ca="1">+A77</f>
        <v>Argentina</v>
      </c>
      <c r="AZ78" s="202"/>
      <c r="BA78" s="176"/>
      <c r="DN78" s="16"/>
    </row>
    <row r="79" spans="1:121" ht="15.95" customHeight="1">
      <c r="A79" s="16" t="str">
        <f ca="1">+Equipos!B40</f>
        <v>Austria</v>
      </c>
      <c r="B79" s="16"/>
      <c r="C79" s="16"/>
      <c r="D79" s="16" t="str">
        <f t="shared" si="235"/>
        <v>Empate</v>
      </c>
      <c r="E79" s="16" t="str">
        <f t="shared" ca="1" si="236"/>
        <v>P.3 (2)</v>
      </c>
      <c r="F79" s="16" t="str">
        <f t="shared" ca="1" si="237"/>
        <v>P.3 (2)</v>
      </c>
      <c r="G79" s="16"/>
      <c r="H79" s="16" t="str">
        <f t="shared" ca="1" si="238"/>
        <v>P.3 (2)</v>
      </c>
      <c r="I79" s="16" t="str">
        <f t="shared" ca="1" si="239"/>
        <v>P.3 (2)</v>
      </c>
      <c r="J79" s="16"/>
      <c r="K79" s="16" t="str">
        <f t="shared" ca="1" si="240"/>
        <v>P.3 (2)</v>
      </c>
      <c r="L79" s="16" t="str">
        <f t="shared" ca="1" si="241"/>
        <v>P.3 (2)</v>
      </c>
      <c r="M79" s="16"/>
      <c r="N79" s="16" t="str">
        <f t="shared" ca="1" si="242"/>
        <v>P.3 (2)</v>
      </c>
      <c r="O79" s="16" t="str">
        <f t="shared" ca="1" si="243"/>
        <v>P.3 (2)</v>
      </c>
      <c r="P79" s="16"/>
      <c r="Q79" s="16" t="str">
        <f t="shared" ca="1" si="244"/>
        <v>P.3 (2)</v>
      </c>
      <c r="R79" s="16" t="str">
        <f t="shared" ca="1" si="245"/>
        <v>P.3 (2)</v>
      </c>
      <c r="S79" s="16"/>
      <c r="T79" s="16" t="str">
        <f t="shared" ca="1" si="246"/>
        <v>P.3 (2)</v>
      </c>
      <c r="U79" s="16" t="str">
        <f t="shared" ca="1" si="247"/>
        <v>P.3 (2)</v>
      </c>
      <c r="V79" s="17"/>
      <c r="W79" s="650"/>
      <c r="X79" s="24">
        <f ca="1">Horarios!C79</f>
        <v>46196.208333333336</v>
      </c>
      <c r="Y79" s="25">
        <f ca="1">Horarios!C79</f>
        <v>46196.208333333336</v>
      </c>
      <c r="Z79" s="26" t="str">
        <f>$Z$6</f>
        <v>J2</v>
      </c>
      <c r="AA79" s="27" t="str">
        <f ca="1">A80</f>
        <v>Jordania</v>
      </c>
      <c r="AB79" s="49" t="e" cm="1" vm="41">
        <f t="array" aca="1" ref="AB79" ca="1">Ver_flag_local</f>
        <v>#VALUE!</v>
      </c>
      <c r="AC79" s="50">
        <v>0</v>
      </c>
      <c r="AD79" s="51">
        <v>0</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7</v>
      </c>
      <c r="AN79" s="39">
        <f t="shared" ca="1" si="251"/>
        <v>3</v>
      </c>
      <c r="AO79" s="39">
        <f t="shared" ca="1" si="251"/>
        <v>2</v>
      </c>
      <c r="AP79" s="39">
        <f t="shared" ca="1" si="251"/>
        <v>1</v>
      </c>
      <c r="AQ79" s="39">
        <f t="shared" ca="1" si="251"/>
        <v>0</v>
      </c>
      <c r="AR79" s="39">
        <f t="shared" ca="1" si="251"/>
        <v>5</v>
      </c>
      <c r="AS79" s="39">
        <f t="shared" ca="1" si="251"/>
        <v>1</v>
      </c>
      <c r="AT79" s="43">
        <f t="shared" ca="1" si="251"/>
        <v>4</v>
      </c>
      <c r="AU79" s="330">
        <f ca="1">INDEX($DL$6:$DL$53,MATCH(AI79,$DP$6:$DP$53,0))</f>
        <v>2</v>
      </c>
      <c r="AV79" s="182" t="str">
        <f ca="1">INDEX($BD$6:$BD$53,MATCH(AI79,$BM$6:$BM$53,0))</f>
        <v>Austria</v>
      </c>
      <c r="AW79" s="210">
        <v>2</v>
      </c>
      <c r="AX79" s="171"/>
      <c r="AY79" s="203" t="str">
        <f ca="1">+A78</f>
        <v>Argelia</v>
      </c>
      <c r="AZ79" s="204"/>
      <c r="BA79" s="176"/>
      <c r="DN79" s="16"/>
    </row>
    <row r="80" spans="1:121" ht="15.95" customHeight="1">
      <c r="A80" s="16" t="str">
        <f ca="1">+Equipos!B41</f>
        <v>Jordania</v>
      </c>
      <c r="B80" s="16"/>
      <c r="C80" s="16"/>
      <c r="D80" s="16" t="str">
        <f t="shared" si="235"/>
        <v>Visitante</v>
      </c>
      <c r="E80" s="16" t="str">
        <f t="shared" ca="1" si="236"/>
        <v>P.3 (2)</v>
      </c>
      <c r="F80" s="16" t="str">
        <f t="shared" ca="1" si="237"/>
        <v>P.1 (2)</v>
      </c>
      <c r="G80" s="16"/>
      <c r="H80" s="16" t="str">
        <f t="shared" ca="1" si="238"/>
        <v>P.3 (2)</v>
      </c>
      <c r="I80" s="16" t="str">
        <f t="shared" ca="1" si="239"/>
        <v>P.1 (2)</v>
      </c>
      <c r="J80" s="16"/>
      <c r="K80" s="16" t="str">
        <f t="shared" ca="1" si="240"/>
        <v>P.3 (2)</v>
      </c>
      <c r="L80" s="16" t="str">
        <f t="shared" ca="1" si="241"/>
        <v>P.1 (2)</v>
      </c>
      <c r="M80" s="16"/>
      <c r="N80" s="16" t="str">
        <f t="shared" ca="1" si="242"/>
        <v>P.3 (2)</v>
      </c>
      <c r="O80" s="16" t="str">
        <f t="shared" ca="1" si="243"/>
        <v>P.1 (2)</v>
      </c>
      <c r="P80" s="16"/>
      <c r="Q80" s="16" t="str">
        <f t="shared" ca="1" si="244"/>
        <v>P.3 (2)</v>
      </c>
      <c r="R80" s="16" t="str">
        <f t="shared" ca="1" si="245"/>
        <v>P.1 (2)</v>
      </c>
      <c r="S80" s="16"/>
      <c r="T80" s="16" t="str">
        <f t="shared" ca="1" si="246"/>
        <v>P.3 (2)</v>
      </c>
      <c r="U80" s="16" t="str">
        <f t="shared" ca="1" si="247"/>
        <v>P.1 (2)</v>
      </c>
      <c r="V80" s="17"/>
      <c r="W80" s="650"/>
      <c r="X80" s="24">
        <f ca="1">Horarios!C80</f>
        <v>46201.166666666664</v>
      </c>
      <c r="Y80" s="25">
        <f ca="1">Horarios!C80</f>
        <v>46201.166666666664</v>
      </c>
      <c r="Z80" s="26" t="str">
        <f>$Z$8</f>
        <v>J3</v>
      </c>
      <c r="AA80" s="27" t="str">
        <f ca="1">A78</f>
        <v>Argelia</v>
      </c>
      <c r="AB80" s="49" t="e" cm="1" vm="39">
        <f t="array" aca="1" ref="AB80" ca="1">Ver_flag_local</f>
        <v>#VALUE!</v>
      </c>
      <c r="AC80" s="50">
        <v>0</v>
      </c>
      <c r="AD80" s="51">
        <v>2</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1</v>
      </c>
      <c r="AN80" s="39">
        <f t="shared" ca="1" si="251"/>
        <v>3</v>
      </c>
      <c r="AO80" s="39">
        <f t="shared" ca="1" si="251"/>
        <v>0</v>
      </c>
      <c r="AP80" s="39">
        <f t="shared" ca="1" si="251"/>
        <v>1</v>
      </c>
      <c r="AQ80" s="39">
        <f t="shared" ca="1" si="251"/>
        <v>2</v>
      </c>
      <c r="AR80" s="39">
        <f t="shared" ca="1" si="251"/>
        <v>0</v>
      </c>
      <c r="AS80" s="39">
        <f t="shared" ca="1" si="251"/>
        <v>4</v>
      </c>
      <c r="AT80" s="43">
        <f t="shared" ca="1" si="251"/>
        <v>-4</v>
      </c>
      <c r="AU80" s="330">
        <f ca="1">INDEX($DL$6:$DL$53,MATCH(AI80,$DP$6:$DP$53,0))</f>
        <v>2</v>
      </c>
      <c r="AV80" s="182" t="str">
        <f ca="1">INDEX($BD$6:$BD$53,MATCH(AI80,$BM$6:$BM$53,0))</f>
        <v>Argelia</v>
      </c>
      <c r="AW80" s="210">
        <v>3</v>
      </c>
      <c r="AX80" s="171"/>
      <c r="AY80" s="201" t="str">
        <f ca="1">+A79</f>
        <v>Austria</v>
      </c>
      <c r="AZ80" s="202"/>
      <c r="BA80" s="176"/>
      <c r="DN80" s="16"/>
    </row>
    <row r="81" spans="1:118" ht="15.95" customHeight="1" thickBot="1">
      <c r="A81" s="16"/>
      <c r="B81" s="16"/>
      <c r="C81" s="16"/>
      <c r="D81" s="16" t="str">
        <f t="shared" si="235"/>
        <v>Visitante</v>
      </c>
      <c r="E81" s="16" t="str">
        <f t="shared" ca="1" si="236"/>
        <v>P.3 (2)</v>
      </c>
      <c r="F81" s="16" t="str">
        <f t="shared" ca="1" si="237"/>
        <v>P.1 (2)</v>
      </c>
      <c r="G81" s="16"/>
      <c r="H81" s="16" t="str">
        <f t="shared" ca="1" si="238"/>
        <v>P.3 (2)</v>
      </c>
      <c r="I81" s="16" t="str">
        <f t="shared" ca="1" si="239"/>
        <v>P.1 (2)</v>
      </c>
      <c r="J81" s="16"/>
      <c r="K81" s="16" t="str">
        <f t="shared" ca="1" si="240"/>
        <v>P.3 (2)</v>
      </c>
      <c r="L81" s="16" t="str">
        <f t="shared" ca="1" si="241"/>
        <v>P.1 (2)</v>
      </c>
      <c r="M81" s="16"/>
      <c r="N81" s="16" t="str">
        <f t="shared" ca="1" si="242"/>
        <v>P.3 (2)</v>
      </c>
      <c r="O81" s="16" t="str">
        <f t="shared" ca="1" si="243"/>
        <v>P.1 (2)</v>
      </c>
      <c r="P81" s="16"/>
      <c r="Q81" s="16" t="str">
        <f t="shared" ca="1" si="244"/>
        <v>P.3 (2)</v>
      </c>
      <c r="R81" s="16" t="str">
        <f t="shared" ca="1" si="245"/>
        <v>P.1 (2)</v>
      </c>
      <c r="S81" s="16"/>
      <c r="T81" s="16" t="str">
        <f t="shared" ca="1" si="246"/>
        <v>P.3 (2)</v>
      </c>
      <c r="U81" s="16" t="str">
        <f t="shared" ca="1" si="247"/>
        <v>P.1 (2)</v>
      </c>
      <c r="V81" s="17"/>
      <c r="W81" s="651"/>
      <c r="X81" s="28">
        <f ca="1">Horarios!C81</f>
        <v>46201.166666666664</v>
      </c>
      <c r="Y81" s="29">
        <f ca="1">Horarios!C81</f>
        <v>46201.166666666664</v>
      </c>
      <c r="Z81" s="30" t="str">
        <f>$Z$8</f>
        <v>J3</v>
      </c>
      <c r="AA81" s="31" t="str">
        <f ca="1">A80</f>
        <v>Jordania</v>
      </c>
      <c r="AB81" s="52" t="e" cm="1" vm="41">
        <f t="array" aca="1" ref="AB81" ca="1">Ver_flag_local</f>
        <v>#VALUE!</v>
      </c>
      <c r="AC81" s="53">
        <v>0</v>
      </c>
      <c r="AD81" s="54">
        <v>2</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0</v>
      </c>
      <c r="AS81" s="47">
        <f t="shared" ca="1" si="251"/>
        <v>4</v>
      </c>
      <c r="AT81" s="48">
        <f t="shared" ca="1" si="251"/>
        <v>-4</v>
      </c>
      <c r="AU81" s="330">
        <f ca="1">INDEX($DL$6:$DL$53,MATCH(AI81,$DP$6:$DP$53,0))</f>
        <v>2</v>
      </c>
      <c r="AV81" s="182" t="str">
        <f ca="1">INDEX($BD$6:$BD$53,MATCH(AI81,$BM$6:$BM$53,0))</f>
        <v>Jordania</v>
      </c>
      <c r="AW81" s="210">
        <v>4</v>
      </c>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e" cm="1" vm="42">
        <f t="array" aca="1" ref="AB84" ca="1">Ver_flag_local</f>
        <v>#VALUE!</v>
      </c>
      <c r="AC84" s="50">
        <v>4</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2</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46196.791666666664</v>
      </c>
      <c r="Y86" s="25">
        <f ca="1">Horarios!C86</f>
        <v>46196.791666666664</v>
      </c>
      <c r="Z86" s="26" t="str">
        <f>$Z$6</f>
        <v>J2</v>
      </c>
      <c r="AA86" s="27" t="str">
        <f ca="1">A85</f>
        <v>Portugal</v>
      </c>
      <c r="AB86" s="49" t="e" cm="1" vm="42">
        <f t="array" aca="1" ref="AB86" ca="1">Ver_flag_local</f>
        <v>#VALUE!</v>
      </c>
      <c r="AC86" s="50">
        <v>3</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9</v>
      </c>
      <c r="AS86" s="36">
        <f t="shared" ca="1" si="269"/>
        <v>0</v>
      </c>
      <c r="AT86" s="41">
        <f t="shared" ca="1" si="269"/>
        <v>9</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46197.166666666664</v>
      </c>
      <c r="Y87" s="25">
        <f ca="1">Horarios!C87</f>
        <v>46197.166666666664</v>
      </c>
      <c r="Z87" s="26" t="str">
        <f>$Z$6</f>
        <v>J2</v>
      </c>
      <c r="AA87" s="27" t="str">
        <f ca="1">A88</f>
        <v>Colombia</v>
      </c>
      <c r="AB87" s="49" t="e" cm="1" vm="45">
        <f t="array" aca="1" ref="AB87" ca="1">Ver_flag_local</f>
        <v>#VALUE!</v>
      </c>
      <c r="AC87" s="50">
        <v>2</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4</v>
      </c>
      <c r="AS87" s="39">
        <f t="shared" ca="1" si="269"/>
        <v>2</v>
      </c>
      <c r="AT87" s="43">
        <f t="shared" ca="1" si="269"/>
        <v>2</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e" cm="1" vm="45">
        <f t="array" aca="1" ref="AB88" ca="1">Ver_flag_local</f>
        <v>#VALUE!</v>
      </c>
      <c r="AC88" s="50">
        <v>0</v>
      </c>
      <c r="AD88" s="51">
        <v>2</v>
      </c>
      <c r="AE88" s="595" t="e" cm="1" vm="42">
        <f t="array" aca="1" ref="AE88" ca="1">Ver_flag_visit</f>
        <v>#VALUE!</v>
      </c>
      <c r="AF88" s="32" t="str">
        <f ca="1">A85</f>
        <v>Portugal</v>
      </c>
      <c r="AG88" s="323">
        <f t="shared" si="266"/>
        <v>1</v>
      </c>
      <c r="AH88" s="195">
        <v>71</v>
      </c>
      <c r="AI88" s="181" t="str">
        <f t="shared" si="270"/>
        <v>3K</v>
      </c>
      <c r="AJ88" s="42">
        <v>3</v>
      </c>
      <c r="AK88" s="602" t="e" cm="1" vm="44">
        <f t="array" aca="1" ref="AK88" ca="1">Ver_flag_visit</f>
        <v>#VALUE!</v>
      </c>
      <c r="AL88" s="37" t="str">
        <f ca="1">IFERROR(INDEX($BD$6:$BD$53,MATCH(AI88,$BN$6:$BN$53,0)),"")</f>
        <v>Uzbekistán</v>
      </c>
      <c r="AM88" s="38">
        <f t="shared" ca="1" si="269"/>
        <v>3</v>
      </c>
      <c r="AN88" s="39">
        <f t="shared" ca="1" si="269"/>
        <v>3</v>
      </c>
      <c r="AO88" s="39">
        <f t="shared" ca="1" si="269"/>
        <v>1</v>
      </c>
      <c r="AP88" s="39">
        <f t="shared" ca="1" si="269"/>
        <v>0</v>
      </c>
      <c r="AQ88" s="39">
        <f t="shared" ca="1" si="269"/>
        <v>2</v>
      </c>
      <c r="AR88" s="39">
        <f t="shared" ca="1" si="269"/>
        <v>1</v>
      </c>
      <c r="AS88" s="39">
        <f t="shared" ca="1" si="269"/>
        <v>5</v>
      </c>
      <c r="AT88" s="43">
        <f t="shared" ca="1" si="269"/>
        <v>-4</v>
      </c>
      <c r="AU88" s="330">
        <f ca="1">INDEX($DL$6:$DL$53,MATCH(AI88,$DP$6:$DP$53,0))</f>
        <v>1</v>
      </c>
      <c r="AV88" s="182" t="str">
        <f ca="1">INDEX($BD$6:$BD$53,MATCH(AI88,$BM$6:$BM$53,0))</f>
        <v>Uzbekistán</v>
      </c>
      <c r="AW88" s="210"/>
      <c r="AX88" s="171"/>
      <c r="AY88" s="201" t="str">
        <f ca="1">+A87</f>
        <v>Uzbekistán</v>
      </c>
      <c r="AZ88" s="202"/>
      <c r="BA88" s="176"/>
    </row>
    <row r="89" spans="1:118" ht="15.95" customHeight="1" thickBot="1">
      <c r="A89" s="16"/>
      <c r="B89" s="16"/>
      <c r="C89" s="16"/>
      <c r="D89" s="16" t="str">
        <f t="shared" si="253"/>
        <v>Visitante</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e" cm="1" vm="43">
        <f t="array" aca="1" ref="AB89" ca="1">Ver_flag_local</f>
        <v>#VALUE!</v>
      </c>
      <c r="AC89" s="53">
        <v>0</v>
      </c>
      <c r="AD89" s="54">
        <v>1</v>
      </c>
      <c r="AE89" s="596" t="e" cm="1" vm="44">
        <f t="array" aca="1" ref="AE89" ca="1">Ver_flag_visit</f>
        <v>#VALUE!</v>
      </c>
      <c r="AF89" s="33" t="str">
        <f ca="1">A87</f>
        <v>Uzbekistán</v>
      </c>
      <c r="AG89" s="323">
        <f t="shared" si="266"/>
        <v>1</v>
      </c>
      <c r="AH89" s="195">
        <v>72</v>
      </c>
      <c r="AI89" s="181" t="str">
        <f t="shared" si="270"/>
        <v>4K</v>
      </c>
      <c r="AJ89" s="44">
        <v>4</v>
      </c>
      <c r="AK89" s="604" t="e" cm="1" vm="43">
        <f t="array" aca="1" ref="AK89" ca="1">Ver_flag_visit</f>
        <v>#VALUE!</v>
      </c>
      <c r="AL89" s="45" t="str">
        <f ca="1">IFERROR(INDEX($BD$6:$BD$53,MATCH(AI89,$BN$6:$BN$53,0)),"")</f>
        <v>RD Congo</v>
      </c>
      <c r="AM89" s="46">
        <f t="shared" ca="1" si="269"/>
        <v>0</v>
      </c>
      <c r="AN89" s="47">
        <f t="shared" ca="1" si="269"/>
        <v>3</v>
      </c>
      <c r="AO89" s="47">
        <f t="shared" ca="1" si="269"/>
        <v>0</v>
      </c>
      <c r="AP89" s="47">
        <f t="shared" ca="1" si="269"/>
        <v>0</v>
      </c>
      <c r="AQ89" s="47">
        <f t="shared" ca="1" si="269"/>
        <v>3</v>
      </c>
      <c r="AR89" s="47">
        <f t="shared" ca="1" si="269"/>
        <v>0</v>
      </c>
      <c r="AS89" s="47">
        <f t="shared" ca="1" si="269"/>
        <v>7</v>
      </c>
      <c r="AT89" s="48">
        <f t="shared" ca="1" si="269"/>
        <v>-7</v>
      </c>
      <c r="AU89" s="330">
        <f ca="1">INDEX($DL$6:$DL$53,MATCH(AI89,$DP$6:$DP$53,0))</f>
        <v>1</v>
      </c>
      <c r="AV89" s="182" t="str">
        <f ca="1">INDEX($BD$6:$BD$53,MATCH(AI89,$BM$6:$BM$53,0))</f>
        <v>RD Congo</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P.1 (2)</v>
      </c>
      <c r="F92" s="16" t="str">
        <f t="shared" ref="F92:F97" ca="1" si="273">IF(D92="Pendiente","-",INDEX($BT$6:$BT$53,MATCH($AF92,$BD$6:$BD$53,0)))</f>
        <v>-</v>
      </c>
      <c r="G92" s="16"/>
      <c r="H92" s="16" t="str">
        <f t="shared" ref="H92:H97" ca="1" si="274">IF(D92="Pendiente","-",INDEX($BZ$6:$BZ$53,MATCH($AA92,$BD$6:$BD$53,0)))</f>
        <v>P.1 (2)</v>
      </c>
      <c r="I92" s="16" t="str">
        <f t="shared" ref="I92:I97" ca="1" si="275">IF(D92="Pendiente","-",INDEX($BZ$6:$BZ$53,MATCH($AF92,$BD$6:$BD$53,0)))</f>
        <v>-</v>
      </c>
      <c r="J92" s="16"/>
      <c r="K92" s="16" t="str">
        <f t="shared" ref="K92:K97" ca="1" si="276">IF(D92="Pendiente","-",INDEX($CE$6:$CE$53,MATCH($AA92,$BD$6:$BD$53,0)))</f>
        <v>P.1 (2)</v>
      </c>
      <c r="L92" s="16" t="str">
        <f t="shared" ref="L92:L97" ca="1" si="277">IF(D92="Pendiente","-",INDEX($CE$6:$CE$53,MATCH($AF92,$BD$6:$BD$53,0)))</f>
        <v>-</v>
      </c>
      <c r="M92" s="16"/>
      <c r="N92" s="16" t="str">
        <f t="shared" ref="N92:N97" ca="1" si="278">IF(D92="Pendiente","-",INDEX($CH$6:$CH$53,MATCH($AA92,$BD$6:$BD$53,0)))</f>
        <v>P.1 (2)</v>
      </c>
      <c r="O92" s="16" t="str">
        <f t="shared" ref="O92:O97" ca="1" si="279">IF(D92="Pendiente","-",INDEX($CH$6:$CH$53,MATCH($AF92,$BD$6:$BD$53,0)))</f>
        <v>-</v>
      </c>
      <c r="P92" s="16"/>
      <c r="Q92" s="16" t="str">
        <f t="shared" ref="Q92:Q97" ca="1" si="280">IF(D92="Pendiente","-",INDEX($CN$6:$CN$53,MATCH($AA92,$BD$6:$BD$53,0)))</f>
        <v>P.1 (2)</v>
      </c>
      <c r="R92" s="16" t="str">
        <f t="shared" ref="R92:R97" ca="1" si="281">IF(D92="Pendiente","-",INDEX($CN$6:$CN$53,MATCH($AF92,$BD$6:$BD$53,0)))</f>
        <v>-</v>
      </c>
      <c r="S92" s="16"/>
      <c r="T92" s="16" t="str">
        <f t="shared" ref="T92:T97" ca="1" si="282">IF(D92="Pendiente","-",INDEX($CS$6:$CS$53,MATCH($AA92,$BD$6:$BD$53,0)))</f>
        <v>P.1 (2)</v>
      </c>
      <c r="U92" s="16" t="str">
        <f t="shared" ref="U92:U97" ca="1" si="283">IF(D92="Pendiente","-",INDEX($CS$6:$CS$53,MATCH($AF92,$BD$6:$BD$53,0)))</f>
        <v>-</v>
      </c>
      <c r="V92" s="17"/>
      <c r="W92" s="652" t="s">
        <v>247</v>
      </c>
      <c r="X92" s="24">
        <f ca="1">Horarios!C92</f>
        <v>46190.916666666664</v>
      </c>
      <c r="Y92" s="25">
        <f ca="1">Horarios!C92</f>
        <v>46190.916666666664</v>
      </c>
      <c r="Z92" s="26" t="str">
        <f>$Z$4</f>
        <v>J1</v>
      </c>
      <c r="AA92" s="27" t="str">
        <f ca="1">A93</f>
        <v>Inglaterra</v>
      </c>
      <c r="AB92" s="49" t="e" cm="1" vm="46">
        <f t="array" aca="1" ref="AB92" ca="1">Ver_flag_local</f>
        <v>#VALUE!</v>
      </c>
      <c r="AC92" s="50">
        <v>1</v>
      </c>
      <c r="AD92" s="51">
        <v>0</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Local</v>
      </c>
      <c r="E93" s="16" t="str">
        <f t="shared" ca="1" si="272"/>
        <v>P.1 (2)</v>
      </c>
      <c r="F93" s="16" t="str">
        <f t="shared" ca="1" si="273"/>
        <v>-</v>
      </c>
      <c r="G93" s="16"/>
      <c r="H93" s="16" t="str">
        <f t="shared" ca="1" si="274"/>
        <v>P.1 (2)</v>
      </c>
      <c r="I93" s="16" t="str">
        <f t="shared" ca="1" si="275"/>
        <v>-</v>
      </c>
      <c r="J93" s="16"/>
      <c r="K93" s="16" t="str">
        <f t="shared" ca="1" si="276"/>
        <v>P.1 (2)</v>
      </c>
      <c r="L93" s="16" t="str">
        <f t="shared" ca="1" si="277"/>
        <v>-</v>
      </c>
      <c r="M93" s="16"/>
      <c r="N93" s="16" t="str">
        <f t="shared" ca="1" si="278"/>
        <v>P.1 (2)</v>
      </c>
      <c r="O93" s="16" t="str">
        <f t="shared" ca="1" si="279"/>
        <v>-</v>
      </c>
      <c r="P93" s="16"/>
      <c r="Q93" s="16" t="str">
        <f t="shared" ca="1" si="280"/>
        <v>P.1 (2)</v>
      </c>
      <c r="R93" s="16" t="str">
        <f t="shared" ca="1" si="281"/>
        <v>-</v>
      </c>
      <c r="S93" s="16"/>
      <c r="T93" s="16" t="str">
        <f t="shared" ca="1" si="282"/>
        <v>P.1 (2)</v>
      </c>
      <c r="U93" s="16" t="str">
        <f t="shared" ca="1" si="283"/>
        <v>-</v>
      </c>
      <c r="V93" s="17"/>
      <c r="W93" s="652"/>
      <c r="X93" s="24">
        <f ca="1">Horarios!C93</f>
        <v>46191.041666666664</v>
      </c>
      <c r="Y93" s="25">
        <f ca="1">Horarios!C93</f>
        <v>46191.041666666664</v>
      </c>
      <c r="Z93" s="26" t="str">
        <f>$Z$4</f>
        <v>J1</v>
      </c>
      <c r="AA93" s="27" t="str">
        <f ca="1">A95</f>
        <v>Ghana</v>
      </c>
      <c r="AB93" s="49" t="e" cm="1" vm="48">
        <f t="array" aca="1" ref="AB93" ca="1">Ver_flag_local</f>
        <v>#VALUE!</v>
      </c>
      <c r="AC93" s="50">
        <v>2</v>
      </c>
      <c r="AD93" s="51">
        <v>0</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Empate</v>
      </c>
      <c r="E94" s="16" t="str">
        <f t="shared" ca="1" si="272"/>
        <v>P.1 (2)</v>
      </c>
      <c r="F94" s="16" t="str">
        <f t="shared" ca="1" si="273"/>
        <v>P.1 (2)</v>
      </c>
      <c r="G94" s="16"/>
      <c r="H94" s="16" t="str">
        <f t="shared" ca="1" si="274"/>
        <v>P.1 (2)</v>
      </c>
      <c r="I94" s="16" t="str">
        <f t="shared" ca="1" si="275"/>
        <v>P.1 (2)</v>
      </c>
      <c r="J94" s="16"/>
      <c r="K94" s="16" t="str">
        <f t="shared" ca="1" si="276"/>
        <v>P.1 (2)</v>
      </c>
      <c r="L94" s="16" t="str">
        <f t="shared" ca="1" si="277"/>
        <v>P.1 (2)</v>
      </c>
      <c r="M94" s="16"/>
      <c r="N94" s="16" t="str">
        <f t="shared" ca="1" si="278"/>
        <v>P.1 (2)</v>
      </c>
      <c r="O94" s="16" t="str">
        <f t="shared" ca="1" si="279"/>
        <v>P.1 (2)</v>
      </c>
      <c r="P94" s="16"/>
      <c r="Q94" s="16" t="str">
        <f t="shared" ca="1" si="280"/>
        <v>P.1 (2)</v>
      </c>
      <c r="R94" s="16" t="str">
        <f t="shared" ca="1" si="281"/>
        <v>P.1 (2)</v>
      </c>
      <c r="S94" s="16"/>
      <c r="T94" s="16" t="str">
        <f t="shared" ca="1" si="282"/>
        <v>P.1 (2)</v>
      </c>
      <c r="U94" s="16" t="str">
        <f t="shared" ca="1" si="283"/>
        <v>P.1 (2)</v>
      </c>
      <c r="V94" s="17"/>
      <c r="W94" s="652"/>
      <c r="X94" s="24">
        <f ca="1">Horarios!C94</f>
        <v>46196.916666666664</v>
      </c>
      <c r="Y94" s="25">
        <f ca="1">Horarios!C94</f>
        <v>46196.916666666664</v>
      </c>
      <c r="Z94" s="26" t="str">
        <f>$Z$6</f>
        <v>J2</v>
      </c>
      <c r="AA94" s="27" t="str">
        <f ca="1">A93</f>
        <v>Inglaterra</v>
      </c>
      <c r="AB94" s="49" t="e" cm="1" vm="46">
        <f t="array" aca="1" ref="AB94" ca="1">Ver_flag_local</f>
        <v>#VALUE!</v>
      </c>
      <c r="AC94" s="50">
        <v>1</v>
      </c>
      <c r="AD94" s="51">
        <v>1</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5</v>
      </c>
      <c r="AS94" s="36">
        <f t="shared" ca="1" si="287"/>
        <v>1</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46197.041666666664</v>
      </c>
      <c r="Y95" s="25">
        <f ca="1">Horarios!C95</f>
        <v>46197.041666666664</v>
      </c>
      <c r="Z95" s="26" t="str">
        <f>$Z$6</f>
        <v>J2</v>
      </c>
      <c r="AA95" s="27" t="str">
        <f ca="1">A96</f>
        <v>Panamá</v>
      </c>
      <c r="AB95" s="49" t="e" cm="1" vm="49">
        <f t="array" aca="1" ref="AB95" ca="1">Ver_flag_local</f>
        <v>#VALUE!</v>
      </c>
      <c r="AC95" s="50">
        <v>0</v>
      </c>
      <c r="AD95" s="51">
        <v>2</v>
      </c>
      <c r="AE95" s="595" t="e" cm="1" vm="47">
        <f t="array" aca="1" ref="AE95" ca="1">Ver_flag_visit</f>
        <v>#VALUE!</v>
      </c>
      <c r="AF95" s="32" t="str">
        <f ca="1">A94</f>
        <v>Croacia</v>
      </c>
      <c r="AG95" s="323">
        <f t="shared" si="284"/>
        <v>1</v>
      </c>
      <c r="AH95" s="195">
        <v>46</v>
      </c>
      <c r="AI95" s="181" t="str">
        <f t="shared" ref="AI95:AI97" si="288">AJ95&amp;$B$92</f>
        <v>2L</v>
      </c>
      <c r="AJ95" s="42">
        <v>2</v>
      </c>
      <c r="AK95" s="602" t="e" cm="1" vm="48">
        <f t="array" aca="1" ref="AK95" ca="1">Ver_flag_visit</f>
        <v>#VALUE!</v>
      </c>
      <c r="AL95" s="37" t="str">
        <f ca="1">IFERROR(INDEX($BD$6:$BD$53,MATCH(AI95,$BN$6:$BN$53,0)),"")</f>
        <v>Ghana</v>
      </c>
      <c r="AM95" s="38">
        <f t="shared" ca="1" si="287"/>
        <v>7</v>
      </c>
      <c r="AN95" s="39">
        <f t="shared" ca="1" si="287"/>
        <v>3</v>
      </c>
      <c r="AO95" s="39">
        <f t="shared" ca="1" si="287"/>
        <v>2</v>
      </c>
      <c r="AP95" s="39">
        <f t="shared" ca="1" si="287"/>
        <v>1</v>
      </c>
      <c r="AQ95" s="39">
        <f t="shared" ca="1" si="287"/>
        <v>0</v>
      </c>
      <c r="AR95" s="39">
        <f t="shared" ca="1" si="287"/>
        <v>5</v>
      </c>
      <c r="AS95" s="39">
        <f t="shared" ca="1" si="287"/>
        <v>2</v>
      </c>
      <c r="AT95" s="43">
        <f t="shared" ca="1" si="287"/>
        <v>3</v>
      </c>
      <c r="AU95" s="330">
        <f ca="1">INDEX($DL$6:$DL$53,MATCH(AI95,$DP$6:$DP$53,0))</f>
        <v>1</v>
      </c>
      <c r="AV95" s="182" t="str">
        <f ca="1">INDEX($BD$6:$BD$53,MATCH(AI95,$BM$6:$BM$53,0))</f>
        <v>Ghana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P.1 (2)</v>
      </c>
      <c r="G96" s="16"/>
      <c r="H96" s="16" t="str">
        <f t="shared" ca="1" si="274"/>
        <v>-</v>
      </c>
      <c r="I96" s="16" t="str">
        <f t="shared" ca="1" si="275"/>
        <v>P.1 (2)</v>
      </c>
      <c r="J96" s="16"/>
      <c r="K96" s="16" t="str">
        <f t="shared" ca="1" si="276"/>
        <v>-</v>
      </c>
      <c r="L96" s="16" t="str">
        <f t="shared" ca="1" si="277"/>
        <v>P.1 (2)</v>
      </c>
      <c r="M96" s="16"/>
      <c r="N96" s="16" t="str">
        <f t="shared" ca="1" si="278"/>
        <v>-</v>
      </c>
      <c r="O96" s="16" t="str">
        <f t="shared" ca="1" si="279"/>
        <v>P.1 (2)</v>
      </c>
      <c r="P96" s="16"/>
      <c r="Q96" s="16" t="str">
        <f t="shared" ca="1" si="280"/>
        <v>-</v>
      </c>
      <c r="R96" s="16" t="str">
        <f t="shared" ca="1" si="281"/>
        <v>P.1 (2)</v>
      </c>
      <c r="S96" s="16"/>
      <c r="T96" s="16" t="str">
        <f t="shared" ca="1" si="282"/>
        <v>-</v>
      </c>
      <c r="U96" s="16" t="str">
        <f t="shared" ca="1" si="283"/>
        <v>P.1 (2)</v>
      </c>
      <c r="V96" s="17"/>
      <c r="W96" s="652"/>
      <c r="X96" s="24">
        <f ca="1">Horarios!C96</f>
        <v>46200.958333333336</v>
      </c>
      <c r="Y96" s="25">
        <f ca="1">Horarios!C96</f>
        <v>46200.958333333336</v>
      </c>
      <c r="Z96" s="26" t="str">
        <f>$Z$8</f>
        <v>J3</v>
      </c>
      <c r="AA96" s="27" t="str">
        <f ca="1">A96</f>
        <v>Panamá</v>
      </c>
      <c r="AB96" s="49" t="e" cm="1" vm="49">
        <f t="array" aca="1" ref="AB96" ca="1">Ver_flag_local</f>
        <v>#VALUE!</v>
      </c>
      <c r="AC96" s="50">
        <v>0</v>
      </c>
      <c r="AD96" s="51">
        <v>3</v>
      </c>
      <c r="AE96" s="595" t="e" cm="1" vm="46">
        <f t="array" aca="1" ref="AE96" ca="1">Ver_flag_visit</f>
        <v>#VALUE!</v>
      </c>
      <c r="AF96" s="32" t="str">
        <f ca="1">A93</f>
        <v>Inglaterra</v>
      </c>
      <c r="AG96" s="323">
        <f t="shared" si="284"/>
        <v>1</v>
      </c>
      <c r="AH96" s="195">
        <v>67</v>
      </c>
      <c r="AI96" s="181" t="str">
        <f t="shared" si="288"/>
        <v>3L</v>
      </c>
      <c r="AJ96" s="42">
        <v>3</v>
      </c>
      <c r="AK96" s="602" t="e" cm="1" vm="47">
        <f t="array" aca="1" ref="AK96" ca="1">Ver_flag_visit</f>
        <v>#VALUE!</v>
      </c>
      <c r="AL96" s="37" t="str">
        <f ca="1">IFERROR(INDEX($BD$6:$BD$53,MATCH(AI96,$BN$6:$BN$53,0)),"")</f>
        <v>Croacia</v>
      </c>
      <c r="AM96" s="38">
        <f t="shared" ca="1" si="287"/>
        <v>3</v>
      </c>
      <c r="AN96" s="39">
        <f t="shared" ca="1" si="287"/>
        <v>3</v>
      </c>
      <c r="AO96" s="39">
        <f t="shared" ca="1" si="287"/>
        <v>1</v>
      </c>
      <c r="AP96" s="39">
        <f t="shared" ca="1" si="287"/>
        <v>0</v>
      </c>
      <c r="AQ96" s="39">
        <f t="shared" ca="1" si="287"/>
        <v>2</v>
      </c>
      <c r="AR96" s="39">
        <f t="shared" ca="1" si="287"/>
        <v>3</v>
      </c>
      <c r="AS96" s="39">
        <f t="shared" ca="1" si="287"/>
        <v>3</v>
      </c>
      <c r="AT96" s="43">
        <f t="shared" ca="1" si="287"/>
        <v>0</v>
      </c>
      <c r="AU96" s="330">
        <f ca="1">INDEX($DL$6:$DL$53,MATCH(AI96,$DP$6:$DP$53,0))</f>
        <v>1</v>
      </c>
      <c r="AV96" s="182" t="str">
        <f ca="1">INDEX($BD$6:$BD$53,MATCH(AI96,$BM$6:$BM$53,0))</f>
        <v>Croacia</v>
      </c>
      <c r="AW96" s="210"/>
      <c r="AX96" s="171"/>
      <c r="AY96" s="201" t="str">
        <f ca="1">+A95</f>
        <v>Ghana</v>
      </c>
      <c r="AZ96" s="202"/>
      <c r="BA96" s="176"/>
    </row>
    <row r="97" spans="1:62" ht="15.95" customHeight="1" thickBot="1">
      <c r="A97" s="16"/>
      <c r="B97" s="16"/>
      <c r="C97" s="16"/>
      <c r="D97" s="16" t="str">
        <f t="shared" si="271"/>
        <v>Visitante</v>
      </c>
      <c r="E97" s="16" t="str">
        <f t="shared" ca="1" si="272"/>
        <v>-</v>
      </c>
      <c r="F97" s="16" t="str">
        <f t="shared" ca="1" si="273"/>
        <v>P.1 (2)</v>
      </c>
      <c r="G97" s="16"/>
      <c r="H97" s="16" t="str">
        <f t="shared" ca="1" si="274"/>
        <v>-</v>
      </c>
      <c r="I97" s="16" t="str">
        <f t="shared" ca="1" si="275"/>
        <v>P.1 (2)</v>
      </c>
      <c r="J97" s="16"/>
      <c r="K97" s="16" t="str">
        <f t="shared" ca="1" si="276"/>
        <v>-</v>
      </c>
      <c r="L97" s="16" t="str">
        <f t="shared" ca="1" si="277"/>
        <v>P.1 (2)</v>
      </c>
      <c r="M97" s="16"/>
      <c r="N97" s="16" t="str">
        <f t="shared" ca="1" si="278"/>
        <v>-</v>
      </c>
      <c r="O97" s="16" t="str">
        <f t="shared" ca="1" si="279"/>
        <v>P.1 (2)</v>
      </c>
      <c r="P97" s="16"/>
      <c r="Q97" s="16" t="str">
        <f t="shared" ca="1" si="280"/>
        <v>-</v>
      </c>
      <c r="R97" s="16" t="str">
        <f t="shared" ca="1" si="281"/>
        <v>P.1 (2)</v>
      </c>
      <c r="S97" s="16"/>
      <c r="T97" s="16" t="str">
        <f t="shared" ca="1" si="282"/>
        <v>-</v>
      </c>
      <c r="U97" s="16" t="str">
        <f t="shared" ca="1" si="283"/>
        <v>P.1 (2)</v>
      </c>
      <c r="V97" s="17"/>
      <c r="W97" s="653"/>
      <c r="X97" s="28">
        <f ca="1">Horarios!C97</f>
        <v>46200.958333333336</v>
      </c>
      <c r="Y97" s="29">
        <f ca="1">Horarios!C97</f>
        <v>46200.958333333336</v>
      </c>
      <c r="Z97" s="30" t="str">
        <f>$Z$8</f>
        <v>J3</v>
      </c>
      <c r="AA97" s="31" t="str">
        <f ca="1">A94</f>
        <v>Croacia</v>
      </c>
      <c r="AB97" s="52" t="e" cm="1" vm="47">
        <f t="array" aca="1" ref="AB97" ca="1">Ver_flag_local</f>
        <v>#VALUE!</v>
      </c>
      <c r="AC97" s="53">
        <v>1</v>
      </c>
      <c r="AD97" s="54">
        <v>2</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7</v>
      </c>
      <c r="AT97" s="48">
        <f t="shared" ca="1" si="287"/>
        <v>-7</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Corea del Sur</v>
      </c>
      <c r="AB101" s="89"/>
      <c r="AC101" s="51">
        <v>0</v>
      </c>
      <c r="AD101" s="51">
        <v>1</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6</v>
      </c>
      <c r="AV101" s="188"/>
      <c r="AW101" s="214"/>
      <c r="AX101" s="214"/>
      <c r="AY101" s="335" t="str">
        <f ca="1">+IF(OR($H$113&gt;=48,$AJ$99=144),Idiomas!D68,"")</f>
        <v xml:space="preserve">Grupos mejores 3ºs: </v>
      </c>
      <c r="AZ101" s="336" t="str">
        <f ca="1">+IF(OR($H$113&gt;=48,$AJ$99=144),BI112,"")</f>
        <v>ACDEFGIL</v>
      </c>
      <c r="BA101" s="176"/>
    </row>
    <row r="102" spans="1:62" ht="15.9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2</v>
      </c>
      <c r="AD102" s="92">
        <v>0</v>
      </c>
      <c r="AE102" s="89"/>
      <c r="AF102" s="91" t="str">
        <f t="shared" ca="1" si="293"/>
        <v>Japón</v>
      </c>
      <c r="AG102" s="327">
        <f t="shared" ca="1" si="294"/>
        <v>1</v>
      </c>
      <c r="AH102" s="195">
        <v>76</v>
      </c>
      <c r="AI102" s="182">
        <v>1</v>
      </c>
      <c r="AJ102" s="80">
        <v>1</v>
      </c>
      <c r="AK102" s="605" t="e" cm="1" vm="47">
        <f t="array" aca="1" ref="AK102" ca="1">Ver_flag_visit</f>
        <v>#VALUE!</v>
      </c>
      <c r="AL102" s="81" t="str">
        <f t="shared" ref="AL102:AL113" ca="1" si="297">+IF($H$113&gt;=48,INDEX($BD$58:$BD$69,MATCH(AI102,$BN$58:$BN$69,0)),BB58)</f>
        <v>Croacia</v>
      </c>
      <c r="AM102" s="588">
        <f ca="1">+IF($H$113&gt;=48,INDEX($BE$58:$BN$69,MATCH($AL102,$BD$58:$BD$69,0),MATCH(AM$5,$BE$57:$BN$57,0)),$BB58)</f>
        <v>3</v>
      </c>
      <c r="AN102" s="82">
        <f ca="1">+IF($H$113&gt;=48,INDEX($BE$58:$BN$69,MATCH($AL102,$BD$58:$BD$69,0),MATCH(AN$5,$BE$57:$BN$57,0)),$BB58)</f>
        <v>3</v>
      </c>
      <c r="AO102" s="82">
        <f t="shared" ref="AO102:AT102" ca="1" si="298">+IF($H$113&gt;=48,INDEX($BE$58:$BN$69,MATCH($AL102,$BD$58:$BD$69,0),MATCH(AO$5,$BE$57:$BN$57,0)),$BB58)</f>
        <v>1</v>
      </c>
      <c r="AP102" s="82">
        <f t="shared" ca="1" si="298"/>
        <v>0</v>
      </c>
      <c r="AQ102" s="83">
        <f t="shared" ca="1" si="298"/>
        <v>2</v>
      </c>
      <c r="AR102" s="83">
        <f t="shared" ca="1" si="298"/>
        <v>3</v>
      </c>
      <c r="AS102" s="83">
        <f t="shared" ca="1" si="298"/>
        <v>3</v>
      </c>
      <c r="AT102" s="84">
        <f t="shared" ca="1" si="298"/>
        <v>0</v>
      </c>
      <c r="AU102" s="330">
        <f t="shared" ref="AU102:AU113" ca="1" si="299">IF($H$113=144,INDEX($DL$58:$DL$69,MATCH(AI102,$DP$58:$DP$69,0)),"")</f>
        <v>1</v>
      </c>
      <c r="AV102" s="182" t="str">
        <f t="shared" ref="AV102:AV113" ca="1" si="300">INDEX($BD$58:$BD$69,MATCH(AI102,$BM$58:$BM$69,0))</f>
        <v>Croacia</v>
      </c>
      <c r="AW102" s="215"/>
      <c r="AX102" s="170"/>
      <c r="AY102" s="154"/>
      <c r="AZ102" s="155"/>
      <c r="BA102" s="176"/>
      <c r="BE102" t="s">
        <v>454</v>
      </c>
      <c r="BF102" t="s">
        <v>730</v>
      </c>
      <c r="BG102" t="s">
        <v>775</v>
      </c>
      <c r="BI102" t="s">
        <v>86</v>
      </c>
    </row>
    <row r="103" spans="1:62" ht="15.9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2</v>
      </c>
      <c r="AD103" s="92">
        <v>1</v>
      </c>
      <c r="AE103" s="89"/>
      <c r="AF103" s="91" t="str">
        <f t="shared" ca="1" si="293"/>
        <v>Paraguay</v>
      </c>
      <c r="AG103" s="327">
        <f t="shared" ca="1" si="294"/>
        <v>1</v>
      </c>
      <c r="AH103" s="195">
        <v>74</v>
      </c>
      <c r="AI103" s="182">
        <v>2</v>
      </c>
      <c r="AJ103" s="42">
        <v>2</v>
      </c>
      <c r="AK103" s="602" t="e" cm="1" vm="4">
        <f t="array" aca="1" ref="AK103" ca="1">Ver_flag_visit</f>
        <v>#VALUE!</v>
      </c>
      <c r="AL103" s="85" t="str">
        <f t="shared" ca="1" si="297"/>
        <v>República Checa</v>
      </c>
      <c r="AM103" s="589">
        <f t="shared" ref="AM103:AM113" ca="1" si="301">+IF($H$113&gt;=48,INDEX($BE$58:$BN$69,MATCH($AL103,$BD$58:$BD$69,0),MATCH(AM$5,$BE$57:$BN$57,0)),$BB59)</f>
        <v>3</v>
      </c>
      <c r="AN103" s="86">
        <f t="shared" ref="AN103:AT103" ca="1" si="302">+IF($H$113&gt;=48,INDEX($BE$58:$BN$69,MATCH($AL103,$BD$58:$BD$69,0),MATCH(AN$5,$BE$57:$BN$57,0)),$BB59)</f>
        <v>3</v>
      </c>
      <c r="AO103" s="86">
        <f t="shared" ca="1" si="302"/>
        <v>1</v>
      </c>
      <c r="AP103" s="86">
        <f t="shared" ca="1" si="302"/>
        <v>0</v>
      </c>
      <c r="AQ103" s="86">
        <f t="shared" ca="1" si="302"/>
        <v>2</v>
      </c>
      <c r="AR103" s="86">
        <f t="shared" ca="1" si="302"/>
        <v>3</v>
      </c>
      <c r="AS103" s="86">
        <f t="shared" ca="1" si="302"/>
        <v>4</v>
      </c>
      <c r="AT103" s="87">
        <f t="shared" ca="1" si="302"/>
        <v>-1</v>
      </c>
      <c r="AU103" s="330">
        <f t="shared" ca="1" si="299"/>
        <v>2</v>
      </c>
      <c r="AV103" s="182" t="str">
        <f t="shared" ca="1" si="300"/>
        <v>Costa de Marfil</v>
      </c>
      <c r="AW103" s="215">
        <v>3</v>
      </c>
      <c r="AX103" s="170"/>
      <c r="AY103" s="276"/>
      <c r="AZ103" s="279" t="str">
        <f t="shared" ref="AZ103:AZ110" ca="1" si="303">+IF(OR($H$113&gt;=48,$AJ$99=144),BF117&amp;" - "&amp;BG117,"")</f>
        <v>1A - 3C</v>
      </c>
      <c r="BA103" s="176"/>
      <c r="BF103" t="str">
        <f t="shared" ref="BF103:BF110" ca="1" si="304">IFERROR(INDEX($BC$6:$BC$53,MATCH(AL102,$BD$6:$BD$53,0)),"")</f>
        <v>L</v>
      </c>
      <c r="BG103">
        <f t="shared" ref="BG103:BG110" ca="1" si="305">COUNTIF($BF$103:$BF$110,"&lt;="&amp;BF103)</f>
        <v>8</v>
      </c>
      <c r="BI103">
        <v>1</v>
      </c>
      <c r="BJ103" t="str">
        <f t="shared" ref="BJ103:BJ110" ca="1" si="306">IFERROR(INDEX($BF$103:$BF$110,MATCH(BI103,$BG$103:$BG$110,0)),"Grupo")</f>
        <v>A</v>
      </c>
    </row>
    <row r="104" spans="1:62" ht="15.95"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c r="AC104" s="92">
        <v>1</v>
      </c>
      <c r="AD104" s="92">
        <v>0</v>
      </c>
      <c r="AE104" s="89"/>
      <c r="AF104" s="91" t="str">
        <f t="shared" ca="1" si="293"/>
        <v>Marruecos</v>
      </c>
      <c r="AG104" s="327">
        <f t="shared" ca="1" si="294"/>
        <v>1</v>
      </c>
      <c r="AH104" s="195">
        <v>75</v>
      </c>
      <c r="AI104" s="182">
        <v>3</v>
      </c>
      <c r="AJ104" s="42">
        <v>3</v>
      </c>
      <c r="AK104" s="602" t="e" cm="1" vm="19">
        <f t="array" aca="1" ref="AK104" ca="1">Ver_flag_visit</f>
        <v>#VALUE!</v>
      </c>
      <c r="AL104" s="85" t="str">
        <f t="shared" ca="1" si="297"/>
        <v>Costa de Marfil</v>
      </c>
      <c r="AM104" s="589">
        <f t="shared" ca="1" si="301"/>
        <v>3</v>
      </c>
      <c r="AN104" s="86">
        <f t="shared" ref="AN104:AT104" ca="1" si="307">+IF($H$113&gt;=48,INDEX($BE$58:$BN$69,MATCH($AL104,$BD$58:$BD$69,0),MATCH(AN$5,$BE$57:$BN$57,0)),$BB60)</f>
        <v>3</v>
      </c>
      <c r="AO104" s="86">
        <f t="shared" ca="1" si="307"/>
        <v>1</v>
      </c>
      <c r="AP104" s="86">
        <f t="shared" ca="1" si="307"/>
        <v>0</v>
      </c>
      <c r="AQ104" s="86">
        <f t="shared" ca="1" si="307"/>
        <v>2</v>
      </c>
      <c r="AR104" s="86">
        <f t="shared" ca="1" si="307"/>
        <v>3</v>
      </c>
      <c r="AS104" s="86">
        <f t="shared" ca="1" si="307"/>
        <v>4</v>
      </c>
      <c r="AT104" s="87">
        <f t="shared" ca="1" si="307"/>
        <v>-1</v>
      </c>
      <c r="AU104" s="330">
        <f t="shared" ca="1" si="299"/>
        <v>2</v>
      </c>
      <c r="AV104" s="182" t="str">
        <f t="shared" ca="1" si="300"/>
        <v>República Checa</v>
      </c>
      <c r="AW104" s="215">
        <v>2</v>
      </c>
      <c r="AX104" s="170"/>
      <c r="AY104" s="276"/>
      <c r="AZ104" s="279" t="str">
        <f t="shared" ca="1" si="303"/>
        <v>1B - 3G</v>
      </c>
      <c r="BA104" s="176"/>
      <c r="BF104" t="str">
        <f t="shared" ca="1" si="304"/>
        <v>A</v>
      </c>
      <c r="BG104">
        <f t="shared" ca="1" si="305"/>
        <v>1</v>
      </c>
      <c r="BI104">
        <v>2</v>
      </c>
      <c r="BJ104" t="str">
        <f t="shared" ca="1" si="306"/>
        <v>C</v>
      </c>
    </row>
    <row r="105" spans="1:62" ht="15.95"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Ecuador</v>
      </c>
      <c r="AB105" s="89"/>
      <c r="AC105" s="92">
        <v>0</v>
      </c>
      <c r="AD105" s="92">
        <v>1</v>
      </c>
      <c r="AE105" s="89"/>
      <c r="AF105" s="91" t="str">
        <f t="shared" ca="1" si="293"/>
        <v>Noruega</v>
      </c>
      <c r="AG105" s="327">
        <f t="shared" ca="1" si="294"/>
        <v>1</v>
      </c>
      <c r="AH105" s="195">
        <v>78</v>
      </c>
      <c r="AI105" s="182">
        <v>4</v>
      </c>
      <c r="AJ105" s="42">
        <v>4</v>
      </c>
      <c r="AK105" s="602" t="e" cm="1" vm="24">
        <f t="array" aca="1" ref="AK105" ca="1">Ver_flag_visit</f>
        <v>#VALUE!</v>
      </c>
      <c r="AL105" s="85" t="str">
        <f t="shared" ca="1" si="297"/>
        <v>Suecia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3</v>
      </c>
      <c r="AS105" s="86">
        <f t="shared" ca="1" si="308"/>
        <v>5</v>
      </c>
      <c r="AT105" s="87">
        <f t="shared" ca="1" si="308"/>
        <v>-2</v>
      </c>
      <c r="AU105" s="330">
        <f t="shared" ca="1" si="299"/>
        <v>2</v>
      </c>
      <c r="AV105" s="182" t="str">
        <f t="shared" ca="1" si="300"/>
        <v>Nueva Zelanda</v>
      </c>
      <c r="AW105" s="215">
        <v>5</v>
      </c>
      <c r="AX105" s="170"/>
      <c r="AY105" s="276"/>
      <c r="AZ105" s="279" t="str">
        <f t="shared" ca="1" si="303"/>
        <v>1D - 3E</v>
      </c>
      <c r="BA105" s="176"/>
      <c r="BF105" t="str">
        <f t="shared" ca="1" si="304"/>
        <v>E</v>
      </c>
      <c r="BG105">
        <f t="shared" ca="1" si="305"/>
        <v>4</v>
      </c>
      <c r="BI105">
        <v>3</v>
      </c>
      <c r="BJ105" t="str">
        <f t="shared" ca="1" si="306"/>
        <v>D</v>
      </c>
    </row>
    <row r="106" spans="1:62" ht="15.9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2</v>
      </c>
      <c r="AD106" s="92">
        <v>1</v>
      </c>
      <c r="AE106" s="89"/>
      <c r="AF106" s="91" t="str">
        <f t="shared" ca="1" si="293"/>
        <v>Suecia</v>
      </c>
      <c r="AG106" s="327">
        <f t="shared" ca="1" si="294"/>
        <v>1</v>
      </c>
      <c r="AH106" s="195">
        <v>77</v>
      </c>
      <c r="AI106" s="182">
        <v>5</v>
      </c>
      <c r="AJ106" s="42">
        <v>5</v>
      </c>
      <c r="AK106" s="602" t="e" cm="1" vm="29">
        <f t="array" aca="1" ref="AK106" ca="1">Ver_flag_visit</f>
        <v>#VALUE!</v>
      </c>
      <c r="AL106" s="85" t="str">
        <f t="shared" ca="1" si="297"/>
        <v>Nueva Zelanda</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3</v>
      </c>
      <c r="AS106" s="86">
        <f t="shared" ca="1" si="309"/>
        <v>5</v>
      </c>
      <c r="AT106" s="87">
        <f t="shared" ca="1" si="309"/>
        <v>-2</v>
      </c>
      <c r="AU106" s="330">
        <f t="shared" ca="1" si="299"/>
        <v>2</v>
      </c>
      <c r="AV106" s="182" t="str">
        <f t="shared" ca="1" si="300"/>
        <v>Suecia</v>
      </c>
      <c r="AW106" s="215">
        <v>4</v>
      </c>
      <c r="AX106" s="170"/>
      <c r="AY106" s="276"/>
      <c r="AZ106" s="279" t="str">
        <f t="shared" ca="1" si="303"/>
        <v>1E - 3D</v>
      </c>
      <c r="BA106" s="176"/>
      <c r="BF106" t="str">
        <f t="shared" ca="1" si="304"/>
        <v>F</v>
      </c>
      <c r="BG106">
        <f t="shared" ca="1" si="305"/>
        <v>5</v>
      </c>
      <c r="BI106">
        <v>4</v>
      </c>
      <c r="BJ106" t="str">
        <f t="shared" ca="1" si="306"/>
        <v>E</v>
      </c>
    </row>
    <row r="107" spans="1:62" ht="15.9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c r="AC107" s="92">
        <v>1</v>
      </c>
      <c r="AD107" s="92">
        <v>0</v>
      </c>
      <c r="AE107" s="89"/>
      <c r="AF107" s="91" t="str">
        <f t="shared" ca="1" si="293"/>
        <v>Escocia</v>
      </c>
      <c r="AG107" s="327">
        <f t="shared" ca="1" si="294"/>
        <v>1</v>
      </c>
      <c r="AH107" s="195">
        <v>79</v>
      </c>
      <c r="AI107" s="182">
        <v>6</v>
      </c>
      <c r="AJ107" s="42">
        <v>6</v>
      </c>
      <c r="AK107" s="602" t="e" cm="1" vm="14">
        <f t="array" aca="1" ref="AK107" ca="1">Ver_flag_visit</f>
        <v>#VALUE!</v>
      </c>
      <c r="AL107" s="85" t="str">
        <f t="shared" ca="1" si="297"/>
        <v>Paraguay</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2</v>
      </c>
      <c r="AS107" s="86">
        <f t="shared" ca="1" si="310"/>
        <v>4</v>
      </c>
      <c r="AT107" s="87">
        <f t="shared" ca="1" si="310"/>
        <v>-2</v>
      </c>
      <c r="AU107" s="330">
        <f t="shared" ca="1" si="299"/>
        <v>1</v>
      </c>
      <c r="AV107" s="182" t="str">
        <f ca="1">INDEX($BD$58:$BD$69,MATCH(AI107,$BM$58:$BM$69,0))</f>
        <v>Paraguay</v>
      </c>
      <c r="AW107" s="215"/>
      <c r="AX107" s="170"/>
      <c r="AY107" s="276"/>
      <c r="AZ107" s="279" t="str">
        <f t="shared" ca="1" si="303"/>
        <v>1G - 3A</v>
      </c>
      <c r="BA107" s="176"/>
      <c r="BF107" t="str">
        <f t="shared" ca="1" si="304"/>
        <v>G</v>
      </c>
      <c r="BG107">
        <f t="shared" ca="1" si="305"/>
        <v>6</v>
      </c>
      <c r="BI107">
        <v>5</v>
      </c>
      <c r="BJ107" t="str">
        <f t="shared" ca="1" si="306"/>
        <v>F</v>
      </c>
    </row>
    <row r="108" spans="1:62" ht="15.9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2</v>
      </c>
      <c r="AD108" s="92">
        <v>1</v>
      </c>
      <c r="AE108" s="89"/>
      <c r="AF108" s="91" t="str">
        <f t="shared" ca="1" si="293"/>
        <v>Senegal</v>
      </c>
      <c r="AG108" s="327">
        <f t="shared" ca="1" si="294"/>
        <v>1</v>
      </c>
      <c r="AH108" s="195">
        <v>80</v>
      </c>
      <c r="AI108" s="182">
        <v>7</v>
      </c>
      <c r="AJ108" s="42">
        <v>7</v>
      </c>
      <c r="AK108" s="602" t="e" cm="1" vm="12">
        <f t="array" aca="1" ref="AK108" ca="1">Ver_flag_visit</f>
        <v>#VALUE!</v>
      </c>
      <c r="AL108" s="85" t="str">
        <f t="shared" ca="1" si="297"/>
        <v>Escocia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3</v>
      </c>
      <c r="AS108" s="86">
        <f t="shared" ca="1" si="311"/>
        <v>6</v>
      </c>
      <c r="AT108" s="87">
        <f t="shared" ca="1" si="311"/>
        <v>-3</v>
      </c>
      <c r="AU108" s="330">
        <f t="shared" ca="1" si="299"/>
        <v>1</v>
      </c>
      <c r="AV108" s="182" t="str">
        <f t="shared" ca="1" si="300"/>
        <v>Escocia</v>
      </c>
      <c r="AW108" s="215"/>
      <c r="AX108" s="170"/>
      <c r="AY108" s="276"/>
      <c r="AZ108" s="279" t="str">
        <f t="shared" ca="1" si="303"/>
        <v>1I - 3F</v>
      </c>
      <c r="BA108" s="176"/>
      <c r="BF108" t="str">
        <f t="shared" ca="1" si="304"/>
        <v>D</v>
      </c>
      <c r="BG108">
        <f t="shared" ca="1" si="305"/>
        <v>3</v>
      </c>
      <c r="BI108">
        <v>6</v>
      </c>
      <c r="BJ108" t="str">
        <f t="shared" ca="1" si="306"/>
        <v>G</v>
      </c>
    </row>
    <row r="109" spans="1:62" ht="15.9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Costa de Marfil</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República Checa</v>
      </c>
      <c r="AG109" s="327">
        <f t="shared" ca="1" si="294"/>
        <v>1</v>
      </c>
      <c r="AH109" s="195">
        <v>82</v>
      </c>
      <c r="AI109" s="182">
        <v>8</v>
      </c>
      <c r="AJ109" s="42">
        <v>8</v>
      </c>
      <c r="AK109" s="602" t="e" cm="1" vm="35">
        <f t="array" aca="1" ref="AK109" ca="1">Ver_flag_visit</f>
        <v>#VALUE!</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2</v>
      </c>
      <c r="AS109" s="86">
        <f t="shared" ca="1" si="312"/>
        <v>6</v>
      </c>
      <c r="AT109" s="87">
        <f t="shared" ca="1" si="312"/>
        <v>-4</v>
      </c>
      <c r="AU109" s="330">
        <f t="shared" ca="1" si="299"/>
        <v>2</v>
      </c>
      <c r="AV109" s="182" t="str">
        <f t="shared" ca="1" si="300"/>
        <v>Arabia Saudita</v>
      </c>
      <c r="AW109" s="215">
        <v>9</v>
      </c>
      <c r="AX109" s="170"/>
      <c r="AY109" s="276"/>
      <c r="AZ109" s="279" t="str">
        <f t="shared" ca="1" si="303"/>
        <v>1K - 3L</v>
      </c>
      <c r="BA109" s="176"/>
      <c r="BF109" t="str">
        <f t="shared" ca="1" si="304"/>
        <v>C</v>
      </c>
      <c r="BG109">
        <f t="shared" ca="1" si="305"/>
        <v>2</v>
      </c>
      <c r="BI109">
        <v>7</v>
      </c>
      <c r="BJ109" t="str">
        <f t="shared" ca="1" si="306"/>
        <v>I</v>
      </c>
    </row>
    <row r="110" spans="1:62" ht="15.95" customHeight="1">
      <c r="A110" s="16" t="s">
        <v>678</v>
      </c>
      <c r="B110" s="16" t="s">
        <v>738</v>
      </c>
      <c r="C110" s="16"/>
      <c r="D110" s="16" t="str">
        <f t="shared" ca="1" si="289"/>
        <v>Costa de Marfil</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Estados Unidos</v>
      </c>
      <c r="AB110" s="89"/>
      <c r="AC110" s="92">
        <v>1</v>
      </c>
      <c r="AD110" s="92">
        <v>2</v>
      </c>
      <c r="AE110" s="89"/>
      <c r="AF110" s="91" t="str">
        <f t="shared" ca="1" si="293"/>
        <v>Costa de Marfil</v>
      </c>
      <c r="AG110" s="327">
        <f t="shared" ca="1" si="294"/>
        <v>1</v>
      </c>
      <c r="AH110" s="195">
        <v>81</v>
      </c>
      <c r="AI110" s="182">
        <v>9</v>
      </c>
      <c r="AJ110" s="42">
        <v>9</v>
      </c>
      <c r="AK110" s="602" t="e" cm="1" vm="32">
        <f t="array" aca="1" ref="AK110" ca="1">Ver_flag_visit</f>
        <v>#VALUE!</v>
      </c>
      <c r="AL110" s="85" t="str">
        <f t="shared" ca="1" si="297"/>
        <v>Arabia Saudita</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2</v>
      </c>
      <c r="AS110" s="86">
        <f t="shared" ca="1" si="313"/>
        <v>6</v>
      </c>
      <c r="AT110" s="87">
        <f t="shared" ca="1" si="313"/>
        <v>-4</v>
      </c>
      <c r="AU110" s="330">
        <f t="shared" ca="1" si="299"/>
        <v>2</v>
      </c>
      <c r="AV110" s="182" t="str">
        <f t="shared" ca="1" si="300"/>
        <v>Senegal</v>
      </c>
      <c r="AW110" s="215">
        <v>8</v>
      </c>
      <c r="AX110" s="170"/>
      <c r="AY110" s="276"/>
      <c r="AZ110" s="279" t="str">
        <f t="shared" ca="1" si="303"/>
        <v>1L - 3I</v>
      </c>
      <c r="BA110" s="176"/>
      <c r="BF110" t="str">
        <f t="shared" ca="1" si="304"/>
        <v>I</v>
      </c>
      <c r="BG110">
        <f t="shared" ca="1" si="305"/>
        <v>7</v>
      </c>
      <c r="BI110">
        <v>8</v>
      </c>
      <c r="BJ110" t="str">
        <f t="shared" ca="1" si="306"/>
        <v>L</v>
      </c>
    </row>
    <row r="111" spans="1:62" ht="15.9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e" cm="1" vm="44">
        <f t="array" aca="1" ref="AK111" ca="1">Ver_flag_visit</f>
        <v>#VALUE!</v>
      </c>
      <c r="AL111" s="85" t="str">
        <f t="shared" ca="1" si="297"/>
        <v>Uzbekistán</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1</v>
      </c>
      <c r="AS111" s="86">
        <f t="shared" ca="1" si="314"/>
        <v>5</v>
      </c>
      <c r="AT111" s="87">
        <f t="shared" ca="1" si="314"/>
        <v>-4</v>
      </c>
      <c r="AU111" s="330">
        <f t="shared" ca="1" si="299"/>
        <v>1</v>
      </c>
      <c r="AV111" s="182" t="str">
        <f t="shared" ca="1" si="300"/>
        <v>Uzbekistán</v>
      </c>
      <c r="AW111" s="215"/>
      <c r="AX111" s="170"/>
      <c r="AY111" s="275"/>
      <c r="AZ111" s="275"/>
      <c r="BA111" s="176"/>
      <c r="BI111" t="s">
        <v>87</v>
      </c>
    </row>
    <row r="112" spans="1:62" ht="15.95" customHeight="1">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v>4</v>
      </c>
      <c r="AC112" s="92">
        <v>1</v>
      </c>
      <c r="AD112" s="92">
        <v>1</v>
      </c>
      <c r="AE112" s="89">
        <v>3</v>
      </c>
      <c r="AF112" s="91" t="str">
        <f t="shared" ca="1" si="293"/>
        <v>Ghana</v>
      </c>
      <c r="AG112" s="327">
        <f t="shared" ca="1" si="294"/>
        <v>1</v>
      </c>
      <c r="AH112" s="195">
        <v>83</v>
      </c>
      <c r="AI112" s="182">
        <v>11</v>
      </c>
      <c r="AJ112" s="42">
        <v>11</v>
      </c>
      <c r="AK112" s="602" t="e" cm="1" vm="7">
        <f t="array" aca="1" ref="AK112" ca="1">Ver_flag_visit</f>
        <v>#VALUE!</v>
      </c>
      <c r="AL112" s="85" t="str">
        <f t="shared" ca="1" si="297"/>
        <v>Catar</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1</v>
      </c>
      <c r="AS112" s="86">
        <f t="shared" ca="1" si="315"/>
        <v>4</v>
      </c>
      <c r="AT112" s="87">
        <f t="shared" ca="1" si="315"/>
        <v>-3</v>
      </c>
      <c r="AU112" s="330">
        <f t="shared" ca="1" si="299"/>
        <v>1</v>
      </c>
      <c r="AV112" s="182" t="str">
        <f t="shared" ca="1" si="300"/>
        <v>Catar</v>
      </c>
      <c r="AW112" s="215"/>
      <c r="AX112" s="170"/>
      <c r="AY112" s="275"/>
      <c r="AZ112" s="275"/>
      <c r="BA112" s="176"/>
      <c r="BI112" t="str">
        <f ca="1">IFERROR(CONCATENATE(BJ103,BJ104,BJ105,BJ106,BJ107,BJ108,BJ109,BJ110),"¿A/B/C/D/E/F/G/H/I/J/K/L?")</f>
        <v>ACDEFGIL</v>
      </c>
    </row>
    <row r="113" spans="1:59" ht="15.95"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Nueva Zelanda</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Suiza</v>
      </c>
      <c r="AB113" s="89"/>
      <c r="AC113" s="92">
        <v>1</v>
      </c>
      <c r="AD113" s="92">
        <v>0</v>
      </c>
      <c r="AE113" s="90"/>
      <c r="AF113" s="91" t="str">
        <f t="shared" ca="1" si="293"/>
        <v>Nueva Zelanda</v>
      </c>
      <c r="AG113" s="327">
        <f t="shared" ca="1" si="294"/>
        <v>1</v>
      </c>
      <c r="AH113" s="195">
        <v>85</v>
      </c>
      <c r="AI113" s="182">
        <v>12</v>
      </c>
      <c r="AJ113" s="44">
        <v>12</v>
      </c>
      <c r="AK113" s="604" t="e" cm="1" vm="39">
        <f t="array" aca="1" ref="AK113" ca="1">Ver_flag_visit</f>
        <v>#VALUE!</v>
      </c>
      <c r="AL113" s="45" t="str">
        <f t="shared" ca="1" si="297"/>
        <v>Argelia</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0</v>
      </c>
      <c r="AS113" s="47">
        <f t="shared" ca="1" si="316"/>
        <v>4</v>
      </c>
      <c r="AT113" s="48">
        <f t="shared" ca="1" si="316"/>
        <v>-4</v>
      </c>
      <c r="AU113" s="330">
        <f t="shared" ca="1" si="299"/>
        <v>1</v>
      </c>
      <c r="AV113" s="182" t="str">
        <f t="shared" ca="1" si="300"/>
        <v>Argelia</v>
      </c>
      <c r="AW113" s="215"/>
      <c r="AX113" s="170"/>
      <c r="AY113" s="154"/>
      <c r="AZ113" s="155"/>
      <c r="BA113" s="176"/>
    </row>
    <row r="114" spans="1:59" ht="15.95" customHeight="1">
      <c r="A114" s="16" t="s">
        <v>687</v>
      </c>
      <c r="B114" s="16" t="s">
        <v>682</v>
      </c>
      <c r="C114" s="16"/>
      <c r="D114" s="16" t="str">
        <f t="shared" ca="1" si="289"/>
        <v>Egipto</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Turquía</v>
      </c>
      <c r="AB114" s="89"/>
      <c r="AC114" s="92">
        <v>0</v>
      </c>
      <c r="AD114" s="92">
        <v>1</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Croacia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1</v>
      </c>
      <c r="AD115" s="92">
        <v>0</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2</v>
      </c>
      <c r="AD116" s="277">
        <v>0</v>
      </c>
      <c r="AE116" s="94"/>
      <c r="AF116" s="95" t="str">
        <f t="shared" ca="1" si="293"/>
        <v>Croacia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3C</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3G</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3E</v>
      </c>
    </row>
    <row r="120" spans="1:59" ht="15.9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0</v>
      </c>
      <c r="AD120" s="96">
        <v>1</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5.9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Países Bajos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v>4</v>
      </c>
      <c r="AC121" s="97">
        <v>1</v>
      </c>
      <c r="AD121" s="97">
        <v>1</v>
      </c>
      <c r="AE121" s="89">
        <v>5</v>
      </c>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5.9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1</v>
      </c>
      <c r="AD122" s="97">
        <v>0</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5.9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México</v>
      </c>
      <c r="AB123" s="89"/>
      <c r="AC123" s="97">
        <v>1</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5.9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Colombia</v>
      </c>
      <c r="AB124" s="98"/>
      <c r="AC124" s="97">
        <v>0</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3I</v>
      </c>
    </row>
    <row r="125" spans="1:59" ht="15.95" customHeight="1">
      <c r="A125" s="16" t="s">
        <v>751</v>
      </c>
      <c r="B125" s="16" t="s">
        <v>752</v>
      </c>
      <c r="C125" s="16"/>
      <c r="D125" s="16" t="str">
        <f t="shared" ca="1" si="317"/>
        <v>Costa de Marfil</v>
      </c>
      <c r="E125" s="16">
        <v>81</v>
      </c>
      <c r="F125" s="16">
        <v>82</v>
      </c>
      <c r="G125" s="16"/>
      <c r="H125" s="16"/>
      <c r="I125" s="16"/>
      <c r="J125" s="16">
        <v>94</v>
      </c>
      <c r="K125" s="16">
        <v>46209.875</v>
      </c>
      <c r="L125" s="16" t="s">
        <v>717</v>
      </c>
      <c r="M125" s="16" t="str">
        <f t="shared" ca="1" si="318"/>
        <v>Costa de Marfil</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Costa de Marfil</v>
      </c>
      <c r="AB125" s="89"/>
      <c r="AC125" s="99">
        <v>1</v>
      </c>
      <c r="AD125" s="99">
        <v>0</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Egipto</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1</v>
      </c>
      <c r="AD126" s="99">
        <v>0</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Suiza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Suiza</v>
      </c>
      <c r="AB127" s="94"/>
      <c r="AC127" s="100">
        <v>1</v>
      </c>
      <c r="AD127" s="100">
        <v>3</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757</v>
      </c>
      <c r="B131" s="16" t="s">
        <v>758</v>
      </c>
      <c r="C131" s="16"/>
      <c r="D131" s="16" t="str">
        <f ca="1">IF(AND(OR(AC131="",AD131="")),"W"&amp;AH131,IF(AC131&gt;AD131,AA131,IF(AC131&lt;AD131,AF131,IF(AND(AC131=AD131,AB131=AE131),"W"&amp;AH131,IF(AND(AC131=AD131,OR(AB131="",AE131="")),"W"&amp;AH131,IF(AND(AC131=AD131,AB131&gt;AE131),AA131,AF131))))))</f>
        <v>Países Bajos</v>
      </c>
      <c r="E131" s="16">
        <v>89</v>
      </c>
      <c r="F131" s="16">
        <v>90</v>
      </c>
      <c r="G131" s="16"/>
      <c r="H131" s="16"/>
      <c r="I131" s="16"/>
      <c r="J131" s="16">
        <v>97</v>
      </c>
      <c r="K131" s="16">
        <v>46212.75</v>
      </c>
      <c r="L131" s="16" t="s">
        <v>720</v>
      </c>
      <c r="M131" s="16" t="str">
        <f t="shared" ref="M131:N134" ca="1" si="323">+INDEX($D$101:$D$147,MATCH(E131,$AH$101:$AH$147,0))</f>
        <v>Francia</v>
      </c>
      <c r="N131" s="16" t="str">
        <f t="shared" ca="1" si="323"/>
        <v>Países Bajos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v>3</v>
      </c>
      <c r="AC131" s="96">
        <v>1</v>
      </c>
      <c r="AD131" s="96">
        <v>1</v>
      </c>
      <c r="AE131" s="90">
        <v>4</v>
      </c>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Costa de Marfil</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2</v>
      </c>
      <c r="AD132" s="99">
        <v>1</v>
      </c>
      <c r="AE132" s="89"/>
      <c r="AF132" s="116" t="str">
        <f ca="1">+INDEX($N$101:$N$147,MATCH(AH132,$J$101:$J$147,0))</f>
        <v>Costa de Marfil</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c r="AC133" s="99">
        <v>2</v>
      </c>
      <c r="AD133" s="99">
        <v>1</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0</v>
      </c>
      <c r="AD134" s="100">
        <v>2</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Países Bajos</v>
      </c>
      <c r="I138" s="16"/>
      <c r="J138" s="16">
        <v>101</v>
      </c>
      <c r="K138" s="16">
        <v>46217.875</v>
      </c>
      <c r="L138" s="16" t="s">
        <v>724</v>
      </c>
      <c r="M138" s="16" t="str">
        <f ca="1">+INDEX($D$101:$D$147,MATCH(E138,$AH$101:$AH$147,0))</f>
        <v>Países Bajos</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Países Bajos</v>
      </c>
      <c r="AB138" s="89"/>
      <c r="AC138" s="101">
        <v>1</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725</v>
      </c>
      <c r="M139" s="16" t="str">
        <f ca="1">+INDEX($D$101:$D$147,MATCH(E139,$AH$101:$AH$147,0))</f>
        <v>Brasil</v>
      </c>
      <c r="N139" s="16" t="str">
        <f ca="1">+INDEX($D$101:$D$147,MATCH(F139,$AH$101:$AH$147,0))</f>
        <v>Portugal</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Brasil</v>
      </c>
      <c r="AB139" s="140"/>
      <c r="AC139" s="100">
        <v>1</v>
      </c>
      <c r="AD139" s="100">
        <v>2</v>
      </c>
      <c r="AE139" s="140"/>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Países Bajos</v>
      </c>
      <c r="E143" s="16">
        <v>101</v>
      </c>
      <c r="F143" s="16">
        <v>102</v>
      </c>
      <c r="G143" s="16"/>
      <c r="H143" s="16"/>
      <c r="I143" s="16"/>
      <c r="J143" s="16">
        <v>103</v>
      </c>
      <c r="K143" s="16">
        <v>46221.875</v>
      </c>
      <c r="L143" s="16" t="s">
        <v>726</v>
      </c>
      <c r="M143" s="16" t="str">
        <f ca="1">+INDEX($D$101:$D$147,MATCH(E143,$AH$101:$AH$147,0))</f>
        <v>España</v>
      </c>
      <c r="N143" s="16" t="str">
        <f ca="1">+INDEX($D$101:$D$147,MATCH(F143,$AH$101:$AH$147,0))</f>
        <v>Portugal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Países Bajos</v>
      </c>
      <c r="AB143" s="216"/>
      <c r="AC143" s="105">
        <v>3</v>
      </c>
      <c r="AD143" s="105">
        <v>1</v>
      </c>
      <c r="AE143" s="216"/>
      <c r="AF143" s="106" t="str">
        <f ca="1">IF(AND(OR(AC139="",AD139="")),"L102",IF(AC139&gt;AD139,AF139,IF(AC139&lt;AD139,AA139,IF(AND(AC139=AD139,AB139=AE139),"L102",IF(AND(AC139=AD139,OR(AB139="",AE139="")),"L102",IF(AND(AC139=AD139,AB139&gt;AE139),AF139,AA139))))))</f>
        <v>Brasil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Portugal</v>
      </c>
      <c r="E147" s="16">
        <v>101</v>
      </c>
      <c r="F147" s="16">
        <v>102</v>
      </c>
      <c r="G147" s="16"/>
      <c r="H147" s="16" t="str">
        <f ca="1">IF(AND(OR(AC147="",AD147="")),"LF",IF(AC147&gt;AD147,AF147,IF(AC147&lt;AD147,AA147,IF(AND(AC147=AD147,AB147=AE147),"LF",IF(AND(AC147=AD147,OR(AB147="",AE147="")),"LF",IF(AND(AC147=AD147,AB147&gt;AE147),AF147,AA147))))))</f>
        <v>España</v>
      </c>
      <c r="I147" s="16"/>
      <c r="J147" s="16">
        <v>104</v>
      </c>
      <c r="K147" s="16">
        <v>46222.875</v>
      </c>
      <c r="L147" s="16" t="s">
        <v>727</v>
      </c>
      <c r="M147" s="16" t="str">
        <f ca="1">+INDEX($D$101:$D$147,MATCH(E147,$AH$101:$AH$147,0))</f>
        <v>España</v>
      </c>
      <c r="N147" s="16" t="str">
        <f ca="1">+INDEX($D$101:$D$147,MATCH(F147,$AH$101:$AH$147,0))</f>
        <v>Portugal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1</v>
      </c>
      <c r="AD147" s="105">
        <v>3</v>
      </c>
      <c r="AE147" s="216"/>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Portugal</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España</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Países Bajos</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1520</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1521</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1522</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100000000000001" customHeight="1" thickBot="1">
      <c r="A2" s="290"/>
      <c r="B2" s="291"/>
      <c r="C2" s="291"/>
      <c r="D2" s="368"/>
      <c r="E2" s="701"/>
      <c r="F2" s="701"/>
      <c r="G2" s="701"/>
      <c r="H2" s="701"/>
      <c r="I2" s="701"/>
      <c r="J2" s="701"/>
      <c r="K2" s="701"/>
      <c r="L2" s="701"/>
      <c r="M2" s="701"/>
      <c r="N2" s="701"/>
    </row>
    <row r="3" spans="1:14" ht="35.1"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8.95" customHeight="1">
      <c r="A5" s="353"/>
      <c r="B5" s="354" t="str">
        <f>Idiomas!D125</f>
        <v>FASE DE GRUPOS</v>
      </c>
      <c r="C5" s="346" t="str">
        <f>Home!C10</f>
        <v>Oscar</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1|2-1</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1|1-0</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1|2-0</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2|0-2</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1|3-1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2|0-2</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1|1-0</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2|0-1</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1|5-0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2|0-2</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X|1-1</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1|2-1</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2|1-2</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1|4-0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2|0-2</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1|3-0</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2|0-2</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1|2-0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1|4-0</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1|1-0</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1|2-0</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1|2-1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X|1-1</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1|3-1</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1|1-0</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2|0-3</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1|5-0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X|1-1</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1|2-0</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1|2-0</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1|4-0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1|2-0</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1|1-0</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1|2-0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2|0-1</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1|3-0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1|4-0</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1|2-0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1|2-0</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X|1-1</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X|0-0</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1|3-0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1|2-0</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X|1-1</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2|0-2</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2|1-2</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X|0-0</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X|1-1</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2|1-3</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1|2-0</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2|0-2</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1|2-1</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2|0-3</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2|1-3</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1|2-1</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2|0-2</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X|0-0</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2|1-3</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2|1-2</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2|0-2</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2|1-2</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1|2-1</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2|0-2</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2|0-2</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2|0-2</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2|0-1</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2|0-3</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2|1-2</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8.9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Corea del Sur</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Catar</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Bosnia y Herzegovina</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Turquía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Nueva Zelanda</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Irán</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Uzbekistán</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RD Congo</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Ghana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Croacia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8.9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Corea del Sur</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Turquía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Paraguay</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Suecia</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Escocia</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Senegal</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República Checa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Costa de Marfil</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Ghana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Nueva Zelanda</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Croacia</v>
      </c>
      <c r="D161" s="694"/>
      <c r="E161" s="372"/>
      <c r="F161" s="372"/>
      <c r="G161" s="372"/>
      <c r="H161" s="372"/>
      <c r="I161" s="382"/>
      <c r="J161" s="383"/>
      <c r="K161" s="372"/>
      <c r="L161" s="372"/>
      <c r="M161" s="384"/>
      <c r="N161" s="377"/>
    </row>
    <row r="162" spans="1:14" ht="20.100000000000001"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1"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Corea del Sur-Canadá</v>
      </c>
      <c r="C164" s="349" t="str">
        <f ca="1">CONCATENATE(WORLDCUP!AA101,"-",WORLDCUP!AF101,"·",IF(WORLDCUP!AC101&gt;WORLDCUP!AD101,1,IF(WORLDCUP!AC101&lt;WORLDCUP!AD101,2,IF(AND(WORLDCUP!AC101=WORLDCUP!AD101,WORLDCUP!AC101&lt;&gt;"",WORLDCUP!AD101&lt;&gt;""),"X",0))),"|",WORLDCUP!AC101,"-",WORLDCUP!AD101)</f>
        <v>Corea del Sur-Canadá·2|0-1</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Brasil-Japón·1|2-0</v>
      </c>
      <c r="D165" s="692"/>
      <c r="E165" s="711"/>
      <c r="F165" s="711"/>
      <c r="G165" s="711"/>
      <c r="H165" s="711"/>
      <c r="I165" s="352"/>
      <c r="J165" s="370"/>
      <c r="K165" s="370"/>
      <c r="L165" s="370"/>
      <c r="M165" s="386"/>
      <c r="N165" s="377"/>
    </row>
    <row r="166" spans="1:14" ht="15" customHeight="1">
      <c r="A166" s="690"/>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Alemania-Paraguay·1|2-1</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Bajos-Marruecos·1|1-0</v>
      </c>
      <c r="D167" s="692"/>
      <c r="E167" s="711"/>
      <c r="F167" s="711"/>
      <c r="G167" s="711"/>
      <c r="H167" s="711"/>
      <c r="I167" s="352"/>
      <c r="J167" s="370"/>
      <c r="K167" s="370"/>
      <c r="L167" s="370"/>
      <c r="M167" s="386"/>
      <c r="N167" s="377"/>
    </row>
    <row r="168" spans="1:14" ht="15" customHeight="1">
      <c r="A168" s="690"/>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Ecuador-Noruega·2|0-1</v>
      </c>
      <c r="D168" s="692"/>
      <c r="E168" s="370"/>
      <c r="F168" s="370"/>
      <c r="G168" s="370"/>
      <c r="H168" s="370"/>
      <c r="I168" s="352"/>
      <c r="J168" s="370"/>
      <c r="K168" s="370"/>
      <c r="L168" s="370"/>
      <c r="M168" s="386"/>
      <c r="N168" s="377"/>
    </row>
    <row r="169" spans="1:14" ht="15" customHeight="1">
      <c r="A169" s="690"/>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Francia-Suecia·1|2-1</v>
      </c>
      <c r="D169" s="692"/>
      <c r="E169" s="370"/>
      <c r="F169" s="370"/>
      <c r="G169" s="370"/>
      <c r="H169" s="370"/>
      <c r="I169" s="352"/>
      <c r="J169" s="370"/>
      <c r="K169" s="370"/>
      <c r="L169" s="370"/>
      <c r="M169" s="386"/>
      <c r="N169" s="377"/>
    </row>
    <row r="170" spans="1:14" ht="15" customHeight="1">
      <c r="A170" s="690"/>
      <c r="B170" s="360" t="str">
        <f ca="1">CONCATENATE(WORLDCUP!AA107,"-",WORLDCUP!AF107)</f>
        <v>México-Escocia</v>
      </c>
      <c r="C170" s="349" t="str">
        <f ca="1">CONCATENATE(WORLDCUP!AA107,"-",WORLDCUP!AF107,"·",IF(WORLDCUP!AC107&gt;WORLDCUP!AD107,1,IF(WORLDCUP!AC107&lt;WORLDCUP!AD107,2,IF(AND(WORLDCUP!AC107=WORLDCUP!AD107,WORLDCUP!AC107&lt;&gt;"",WORLDCUP!AD107&lt;&gt;""),"X",0))),"|",WORLDCUP!AC107,"-",WORLDCUP!AD107)</f>
        <v>México-Escocia·1|1-0</v>
      </c>
      <c r="D170" s="692"/>
      <c r="E170" s="370"/>
      <c r="F170" s="370"/>
      <c r="G170" s="370"/>
      <c r="H170" s="370"/>
      <c r="I170" s="352"/>
      <c r="J170" s="370"/>
      <c r="K170" s="370"/>
      <c r="L170" s="370"/>
      <c r="M170" s="386"/>
      <c r="N170" s="377"/>
    </row>
    <row r="171" spans="1:14" ht="15" customHeight="1">
      <c r="A171" s="690"/>
      <c r="B171" s="360" t="str">
        <f ca="1">CONCATENATE(WORLDCUP!AA108,"-",WORLDCUP!AF108)</f>
        <v>Inglaterra-Senegal</v>
      </c>
      <c r="C171" s="349" t="str">
        <f ca="1">CONCATENATE(WORLDCUP!AA108,"-",WORLDCUP!AF108,"·",IF(WORLDCUP!AC108&gt;WORLDCUP!AD108,1,IF(WORLDCUP!AC108&lt;WORLDCUP!AD108,2,IF(AND(WORLDCUP!AC108=WORLDCUP!AD108,WORLDCUP!AC108&lt;&gt;"",WORLDCUP!AD108&lt;&gt;""),"X",0))),"|",WORLDCUP!AC108,"-",WORLDCUP!AD108)</f>
        <v>Inglaterra-Senegal·1|2-1</v>
      </c>
      <c r="D171" s="692"/>
      <c r="E171" s="370"/>
      <c r="F171" s="370"/>
      <c r="G171" s="370"/>
      <c r="H171" s="370"/>
      <c r="I171" s="352"/>
      <c r="J171" s="370"/>
      <c r="K171" s="370"/>
      <c r="L171" s="370"/>
      <c r="M171" s="386"/>
      <c r="N171" s="377"/>
    </row>
    <row r="172" spans="1:14" ht="15" customHeight="1">
      <c r="A172" s="690"/>
      <c r="B172" s="360" t="str">
        <f ca="1">CONCATENATE(WORLDCUP!AA109,"-",WORLDCUP!AF109)</f>
        <v>Bélgica-República Checa</v>
      </c>
      <c r="C172" s="349" t="str">
        <f ca="1">CONCATENATE(WORLDCUP!AA109,"-",WORLDCUP!AF109,"·",IF(WORLDCUP!AC109&gt;WORLDCUP!AD109,1,IF(WORLDCUP!AC109&lt;WORLDCUP!AD109,2,IF(AND(WORLDCUP!AC109=WORLDCUP!AD109,WORLDCUP!AC109&lt;&gt;"",WORLDCUP!AD109&lt;&gt;""),"X",0))),"|",WORLDCUP!AC109,"-",WORLDCUP!AD109)</f>
        <v>Bélgica-República Checa·1|2-1</v>
      </c>
      <c r="D172" s="692"/>
      <c r="E172" s="370"/>
      <c r="F172" s="370"/>
      <c r="G172" s="370"/>
      <c r="H172" s="370"/>
      <c r="I172" s="352"/>
      <c r="J172" s="370"/>
      <c r="K172" s="370"/>
      <c r="L172" s="370"/>
      <c r="M172" s="386"/>
      <c r="N172" s="377"/>
    </row>
    <row r="173" spans="1:14" ht="15" customHeight="1">
      <c r="A173" s="690"/>
      <c r="B173" s="360" t="str">
        <f ca="1">CONCATENATE(WORLDCUP!AA110,"-",WORLDCUP!AF110)</f>
        <v>Estados Unidos-Costa de Marfil</v>
      </c>
      <c r="C173" s="349" t="str">
        <f ca="1">CONCATENATE(WORLDCUP!AA110,"-",WORLDCUP!AF110,"·",IF(WORLDCUP!AC110&gt;WORLDCUP!AD110,1,IF(WORLDCUP!AC110&lt;WORLDCUP!AD110,2,IF(AND(WORLDCUP!AC110=WORLDCUP!AD110,WORLDCUP!AC110&lt;&gt;"",WORLDCUP!AD110&lt;&gt;""),"X",0))),"|",WORLDCUP!AC110,"-",WORLDCUP!AD110)</f>
        <v>Estados Unidos-Costa de Marfil·2|1-2</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692"/>
      <c r="E174" s="370"/>
      <c r="F174" s="370"/>
      <c r="G174" s="370"/>
      <c r="H174" s="370"/>
      <c r="I174" s="352"/>
      <c r="J174" s="370"/>
      <c r="K174" s="370"/>
      <c r="L174" s="370"/>
      <c r="M174" s="386"/>
      <c r="N174" s="377"/>
    </row>
    <row r="175" spans="1:14" ht="15" customHeight="1">
      <c r="A175" s="690"/>
      <c r="B175" s="360" t="str">
        <f ca="1">CONCATENATE(WORLDCUP!AA112,"-",WORLDCUP!AF112)</f>
        <v>Colombia-Ghana</v>
      </c>
      <c r="C175" s="349" t="str">
        <f ca="1">CONCATENATE(WORLDCUP!AA112,"-",WORLDCUP!AF112,"·",IF(WORLDCUP!AC112&gt;WORLDCUP!AD112,1,IF(WORLDCUP!AC112&lt;WORLDCUP!AD112,2,IF(AND(WORLDCUP!AC112=WORLDCUP!AD112,WORLDCUP!AC112&lt;&gt;"",WORLDCUP!AD112&lt;&gt;""),"X",0))),"|",WORLDCUP!AC112,"-",WORLDCUP!AD112)</f>
        <v>Colombia-Ghana·X|1-1</v>
      </c>
      <c r="D175" s="692"/>
      <c r="E175" s="370"/>
      <c r="F175" s="370"/>
      <c r="G175" s="370"/>
      <c r="H175" s="370"/>
      <c r="I175" s="352"/>
      <c r="J175" s="370"/>
      <c r="K175" s="370"/>
      <c r="L175" s="370"/>
      <c r="M175" s="386"/>
      <c r="N175" s="377"/>
    </row>
    <row r="176" spans="1:14" ht="15" customHeight="1">
      <c r="A176" s="690"/>
      <c r="B176" s="360" t="str">
        <f ca="1">CONCATENATE(WORLDCUP!AA113,"-",WORLDCUP!AF113)</f>
        <v>Suiza-Nueva Zelanda</v>
      </c>
      <c r="C176" s="349" t="str">
        <f ca="1">CONCATENATE(WORLDCUP!AA113,"-",WORLDCUP!AF113,"·",IF(WORLDCUP!AC113&gt;WORLDCUP!AD113,1,IF(WORLDCUP!AC113&lt;WORLDCUP!AD113,2,IF(AND(WORLDCUP!AC113=WORLDCUP!AD113,WORLDCUP!AC113&lt;&gt;"",WORLDCUP!AD113&lt;&gt;""),"X",0))),"|",WORLDCUP!AC113,"-",WORLDCUP!AD113)</f>
        <v>Suiza-Nueva Zelanda·1|1-0</v>
      </c>
      <c r="D176" s="692"/>
      <c r="E176" s="370"/>
      <c r="F176" s="370"/>
      <c r="G176" s="370"/>
      <c r="H176" s="370"/>
      <c r="I176" s="352"/>
      <c r="J176" s="370"/>
      <c r="K176" s="370"/>
      <c r="L176" s="370"/>
      <c r="M176" s="386"/>
      <c r="N176" s="377"/>
    </row>
    <row r="177" spans="1:14" ht="15" customHeight="1">
      <c r="A177" s="690"/>
      <c r="B177" s="360" t="str">
        <f ca="1">CONCATENATE(WORLDCUP!AA114,"-",WORLDCUP!AF114)</f>
        <v>Turquía-Egipto</v>
      </c>
      <c r="C177" s="349" t="str">
        <f ca="1">CONCATENATE(WORLDCUP!AA114,"-",WORLDCUP!AF114,"·",IF(WORLDCUP!AC114&gt;WORLDCUP!AD114,1,IF(WORLDCUP!AC114&lt;WORLDCUP!AD114,2,IF(AND(WORLDCUP!AC114=WORLDCUP!AD114,WORLDCUP!AC114&lt;&gt;"",WORLDCUP!AD114&lt;&gt;""),"X",0))),"|",WORLDCUP!AC114,"-",WORLDCUP!AD114)</f>
        <v>Turquía-Egipto·2|0-1</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Argentina-Uruguay·1|1-0</v>
      </c>
      <c r="D178" s="692"/>
      <c r="E178" s="370"/>
      <c r="F178" s="370"/>
      <c r="G178" s="370"/>
      <c r="H178" s="370"/>
      <c r="I178" s="352"/>
      <c r="J178" s="370"/>
      <c r="K178" s="370"/>
      <c r="L178" s="370"/>
      <c r="M178" s="386"/>
      <c r="N178" s="377"/>
    </row>
    <row r="179" spans="1:14" ht="15" customHeight="1">
      <c r="A179" s="690"/>
      <c r="B179" s="360" t="str">
        <f ca="1">CONCATENATE(WORLDCUP!AA116,"-",WORLDCUP!AF116)</f>
        <v>Portugal-Croacia</v>
      </c>
      <c r="C179" s="349" t="str">
        <f ca="1">CONCATENATE(WORLDCUP!AA116,"-",WORLDCUP!AF116,"·",IF(WORLDCUP!AC116&gt;WORLDCUP!AD116,1,IF(WORLDCUP!AC116&lt;WORLDCUP!AD116,2,IF(AND(WORLDCUP!AC116=WORLDCUP!AD116,WORLDCUP!AC116&lt;&gt;"",WORLDCUP!AD116&lt;&gt;""),"X",0))),"|",WORLDCUP!AC116,"-",WORLDCUP!AD116)</f>
        <v>Portugal-Croacia·1|2-0</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8.9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Canadá</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Colombia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Costa de Marfil</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Países Bajos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Noruega</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Egipto</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Bajos·2|0-1</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Alemania-Francia·X|1-1</v>
      </c>
      <c r="D201" s="691"/>
      <c r="E201" s="686"/>
      <c r="F201" s="686"/>
      <c r="G201" s="686"/>
      <c r="H201" s="686"/>
      <c r="I201" s="352"/>
      <c r="J201" s="370"/>
      <c r="K201" s="370"/>
      <c r="L201" s="370"/>
      <c r="M201" s="386"/>
      <c r="N201" s="377"/>
    </row>
    <row r="202" spans="1:14" ht="15" customHeight="1">
      <c r="A202" s="690"/>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Brasil-Noruega·1|1-0</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México-Inglaterra·2|1-2</v>
      </c>
      <c r="D203" s="691"/>
      <c r="E203" s="686"/>
      <c r="F203" s="686"/>
      <c r="G203" s="686"/>
      <c r="H203" s="686"/>
      <c r="I203" s="352"/>
      <c r="J203" s="370"/>
      <c r="K203" s="370"/>
      <c r="L203" s="370"/>
      <c r="M203" s="386"/>
      <c r="N203" s="377"/>
    </row>
    <row r="204" spans="1:14" ht="15" customHeight="1">
      <c r="A204" s="690"/>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Colombia-España·2|0-2</v>
      </c>
      <c r="D204" s="691"/>
      <c r="E204" s="352"/>
      <c r="F204" s="352"/>
      <c r="G204" s="352"/>
      <c r="H204" s="352"/>
      <c r="I204" s="352"/>
      <c r="J204" s="370"/>
      <c r="K204" s="370"/>
      <c r="L204" s="370"/>
      <c r="M204" s="386"/>
      <c r="N204" s="377"/>
    </row>
    <row r="205" spans="1:14" ht="15" customHeight="1">
      <c r="A205" s="690"/>
      <c r="B205" s="361" t="str">
        <f ca="1">CONCATENATE(WORLDCUP!AA125,"-",WORLDCUP!AF125)</f>
        <v>Costa de Marfil-Bélgica</v>
      </c>
      <c r="C205" s="351" t="str">
        <f ca="1">CONCATENATE(WORLDCUP!AA125,"-",WORLDCUP!AF125,"·",IF(WORLDCUP!AC125&gt;WORLDCUP!AD125,1,IF(WORLDCUP!AC125&lt;WORLDCUP!AD125,2,IF(AND(WORLDCUP!AC125=WORLDCUP!AD125,WORLDCUP!AC125&lt;&gt;"",WORLDCUP!AD125&lt;&gt;""),"X",0))),"|",WORLDCUP!AC125,"-",WORLDCUP!AD125)</f>
        <v>Costa de Marfil-Bélgica·1|1-0</v>
      </c>
      <c r="D205" s="691"/>
      <c r="E205" s="352"/>
      <c r="F205" s="352"/>
      <c r="G205" s="352"/>
      <c r="H205" s="352"/>
      <c r="I205" s="352"/>
      <c r="J205" s="370"/>
      <c r="K205" s="370"/>
      <c r="L205" s="370"/>
      <c r="M205" s="386"/>
      <c r="N205" s="377"/>
    </row>
    <row r="206" spans="1:14" ht="15" customHeight="1">
      <c r="A206" s="690"/>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Argentina-Egipto·1|1-0</v>
      </c>
      <c r="D206" s="691"/>
      <c r="E206" s="352"/>
      <c r="F206" s="352"/>
      <c r="G206" s="352"/>
      <c r="H206" s="352"/>
      <c r="I206" s="352"/>
      <c r="J206" s="370"/>
      <c r="K206" s="370"/>
      <c r="L206" s="370"/>
      <c r="M206" s="386"/>
      <c r="N206" s="377"/>
    </row>
    <row r="207" spans="1:14" ht="15" customHeight="1">
      <c r="A207" s="690"/>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Suiza-Portugal·2|1-3</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8.9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Países Bajos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Costa de Marfil</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Bajos·X|1-1</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España-Costa de Marfil</v>
      </c>
      <c r="C221" s="349" t="str">
        <f ca="1">CONCATENATE(WORLDCUP!AA132,"-",WORLDCUP!AF132,"·",IF(WORLDCUP!AC132&gt;WORLDCUP!AD132,1,IF(WORLDCUP!AC132&lt;WORLDCUP!AD132,2,IF(AND(WORLDCUP!AC132=WORLDCUP!AD132,WORLDCUP!AC132&lt;&gt;"",WORLDCUP!AD132&lt;&gt;""),"X",0))),"|",WORLDCUP!AC132,"-",WORLDCUP!AD132)</f>
        <v>España-Costa de Marfil·1|2-1</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Brasil-Inglaterra·1|2-1</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Argentina-Portugal·2|0-2</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7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Países Bajos</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Brasil</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Portugal</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Países Bajos-España</v>
      </c>
      <c r="C232" s="351" t="str">
        <f ca="1">CONCATENATE(WORLDCUP!AA138,"-",WORLDCUP!AF138,"·",IF(WORLDCUP!AC138&gt;WORLDCUP!AD138,1,IF(WORLDCUP!AC138&lt;WORLDCUP!AD138,2,IF(AND(WORLDCUP!AC138=WORLDCUP!AD138,WORLDCUP!AC138&lt;&gt;"",WORLDCUP!AD138&lt;&gt;""),"X",0))),"|",WORLDCUP!AC138,"-",WORLDCUP!AD138)</f>
        <v>Países Bajos-España·2|1-2</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Brasil-Portugal</v>
      </c>
      <c r="C233" s="351" t="str">
        <f ca="1">CONCATENATE(WORLDCUP!AA139,"-",WORLDCUP!AF139,"·",IF(WORLDCUP!AC139&gt;WORLDCUP!AD139,1,IF(WORLDCUP!AC139&lt;WORLDCUP!AD139,2,IF(AND(WORLDCUP!AC139=WORLDCUP!AD139,WORLDCUP!AC139&lt;&gt;"",WORLDCUP!AD139&lt;&gt;""),"X",0))),"|",WORLDCUP!AC139,"-",WORLDCUP!AD139)</f>
        <v>Brasil-Portugal·2|1-2</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7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Países Bajos</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Brasil</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8.9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Portugal</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Países Bajos-Brasil</v>
      </c>
      <c r="C244" s="349" t="str">
        <f ca="1">CONCATENATE(WORLDCUP!AA143,"-",WORLDCUP!AF143,"·",IF(WORLDCUP!AC143&gt;WORLDCUP!AD143,1,IF(WORLDCUP!AC143&lt;WORLDCUP!AD143,2,IF(AND(WORLDCUP!AC143=WORLDCUP!AD143,WORLDCUP!AC143&lt;&gt;"",WORLDCUP!AD143&lt;&gt;""),"X",0))),"|",WORLDCUP!AC143,"-",WORLDCUP!AD143)</f>
        <v>Países Bajos-Brasil·1|3-1</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España-Portugal</v>
      </c>
      <c r="C247" s="351" t="str">
        <f ca="1">CONCATENATE(WORLDCUP!AA147,"-",WORLDCUP!AF147,"·",IF(WORLDCUP!AC147&gt;WORLDCUP!AD147,1,IF(WORLDCUP!AC147&lt;WORLDCUP!AD147,2,IF(AND(WORLDCUP!AC147=WORLDCUP!AD147,WORLDCUP!AC147&lt;&gt;"",WORLDCUP!AD147&lt;&gt;""),"X",0))),"|",WORLDCUP!AC147,"-",WORLDCUP!AD147)</f>
        <v>España-Portugal·2|1-3</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8.9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Portugal</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España</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Países Bajos</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Kylian Mbappé</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Harry Kane</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Mikel Oyarzabal</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Vitinha</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Lamine Yamal</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Michael Olise</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1</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7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0</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2</v>
      </c>
      <c r="K4" s="451" t="str">
        <f ca="1">+INDEX(WORLDCUP!$AR$6:$AR$97,MATCH(L4,WORLDCUP!$AI$6:$AI$97,0))&amp;"-"&amp;INDEX(WORLDCUP!$AS$6:$AS$97,MATCH(L4,WORLDCUP!$AI$6:$AI$97,0))</f>
        <v>5-3</v>
      </c>
      <c r="L4" s="181" t="s">
        <v>656</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2</v>
      </c>
      <c r="R4" s="446" t="str">
        <f ca="1">+MID(INDEX(WORLDCUP!$AF$4:$AF$147,MATCH(M4,WORLDCUP!$AH$4:$AH$147,0)),1,3)</f>
        <v>Nue</v>
      </c>
      <c r="S4" s="447">
        <v>1</v>
      </c>
      <c r="T4" s="448" t="str">
        <f ca="1">+MID(INDEX(WORLDCUP!$AL$6:$AL$97,MATCH(X4,WORLDCUP!$AI$6:$AI$97,0)),1,3)</f>
        <v>Bél</v>
      </c>
      <c r="U4" s="449">
        <f ca="1">+INDEX(WORLDCUP!$AM$6:$AM$97,MATCH(X4,WORLDCUP!$AI$6:$AI$97,0))</f>
        <v>7</v>
      </c>
      <c r="V4" s="450">
        <f ca="1">+INDEX(WORLDCUP!$AT$6:$AT$97,MATCH(X4,WORLDCUP!$AI$6:$AI$97,0))</f>
        <v>4</v>
      </c>
      <c r="W4" s="451" t="str">
        <f ca="1">+INDEX(WORLDCUP!$AR$6:$AR$97,MATCH(X4,WORLDCUP!$AI$6:$AI$97,0))&amp;"-"&amp;INDEX(WORLDCUP!$AS$6:$AS$97,MATCH(X4,WORLDCUP!$AI$6:$AI$97,0))</f>
        <v>6-2</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( 4 )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2</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Cor</v>
      </c>
      <c r="I5" s="38">
        <f ca="1">+INDEX(WORLDCUP!$AM$6:$AM$97,MATCH(L5,WORLDCUP!$AI$6:$AI$97,0))</f>
        <v>5</v>
      </c>
      <c r="J5" s="39">
        <f ca="1">+INDEX(WORLDCUP!$AT$6:$AT$97,MATCH(L5,WORLDCUP!$AI$6:$AI$97,0))</f>
        <v>1</v>
      </c>
      <c r="K5" s="43" t="str">
        <f ca="1">+INDEX(WORLDCUP!$AR$6:$AR$97,MATCH(L5,WORLDCUP!$AI$6:$AI$97,0))&amp;"-"&amp;INDEX(WORLDCUP!$AS$6:$AS$97,MATCH(L5,WORLDCUP!$AI$6:$AI$97,0))</f>
        <v>2-1</v>
      </c>
      <c r="L5" s="181" t="s">
        <v>657</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1</v>
      </c>
      <c r="W5" s="43" t="str">
        <f ca="1">+INDEX(WORLDCUP!$AR$6:$AR$97,MATCH(X5,WORLDCUP!$AI$6:$AI$97,0))&amp;"-"&amp;INDEX(WORLDCUP!$AS$6:$AS$97,MATCH(X5,WORLDCUP!$AI$6:$AI$97,0))</f>
        <v>2-1</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( 5 )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Rep</v>
      </c>
      <c r="I6" s="38">
        <f ca="1">+INDEX(WORLDCUP!$AM$6:$AM$97,MATCH(L6,WORLDCUP!$AI$6:$AI$97,0))</f>
        <v>3</v>
      </c>
      <c r="J6" s="39">
        <f ca="1">+INDEX(WORLDCUP!$AT$6:$AT$97,MATCH(L6,WORLDCUP!$AI$6:$AI$97,0))</f>
        <v>-1</v>
      </c>
      <c r="K6" s="43" t="str">
        <f ca="1">+INDEX(WORLDCUP!$AR$6:$AR$97,MATCH(L6,WORLDCUP!$AI$6:$AI$97,0))&amp;"-"&amp;INDEX(WORLDCUP!$AS$6:$AS$97,MATCH(L6,WORLDCUP!$AI$6:$AI$97,0))</f>
        <v>3-4</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1</v>
      </c>
      <c r="R6" s="446" t="str">
        <f ca="1">+MID(INDEX(WORLDCUP!$AF$4:$AF$147,MATCH(M6,WORLDCUP!$AH$4:$AH$147,0)),1,3)</f>
        <v>Egi</v>
      </c>
      <c r="S6" s="467">
        <v>3</v>
      </c>
      <c r="T6" s="468" t="str">
        <f ca="1">+MID(INDEX(WORLDCUP!$AL$6:$AL$97,MATCH(X6,WORLDCUP!$AI$6:$AI$97,0)),1,3)</f>
        <v>Nue</v>
      </c>
      <c r="U6" s="38">
        <f ca="1">+INDEX(WORLDCUP!$AM$6:$AM$97,MATCH(X6,WORLDCUP!$AI$6:$AI$97,0))</f>
        <v>3</v>
      </c>
      <c r="V6" s="39">
        <f ca="1">+INDEX(WORLDCUP!$AT$6:$AT$97,MATCH(X6,WORLDCUP!$AI$6:$AI$97,0))</f>
        <v>-2</v>
      </c>
      <c r="W6" s="43" t="str">
        <f ca="1">+INDEX(WORLDCUP!$AR$6:$AR$97,MATCH(X6,WORLDCUP!$AI$6:$AI$97,0))&amp;"-"&amp;INDEX(WORLDCUP!$AS$6:$AS$97,MATCH(X6,WORLDCUP!$AI$6:$AI$97,0))</f>
        <v>3-5</v>
      </c>
      <c r="X6" s="181" t="s">
        <v>445</v>
      </c>
      <c r="Y6" s="181">
        <v>77</v>
      </c>
      <c r="Z6" s="425" t="s">
        <v>684</v>
      </c>
      <c r="AA6" s="426" t="str">
        <f ca="1">+MID(INDEX(WORLDCUP!$AA$101:$AA$147,MATCH(Y6,WORLDCUP!$Z$101:$Z$147,0)),1,3)</f>
        <v>Fra</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Sud</v>
      </c>
      <c r="I7" s="477">
        <f ca="1">+INDEX(WORLDCUP!$AM$6:$AM$97,MATCH(L7,WORLDCUP!$AI$6:$AI$97,0))</f>
        <v>1</v>
      </c>
      <c r="J7" s="478">
        <f ca="1">+INDEX(WORLDCUP!$AT$6:$AT$97,MATCH(L7,WORLDCUP!$AI$6:$AI$97,0))</f>
        <v>-2</v>
      </c>
      <c r="K7" s="479" t="str">
        <f ca="1">+INDEX(WORLDCUP!$AR$6:$AR$97,MATCH(L7,WORLDCUP!$AI$6:$AI$97,0))&amp;"-"&amp;INDEX(WORLDCUP!$AS$6:$AS$97,MATCH(L7,WORLDCUP!$AI$6:$AI$97,0))</f>
        <v>2-4</v>
      </c>
      <c r="L7" s="181" t="s">
        <v>658</v>
      </c>
      <c r="M7" s="181">
        <v>63</v>
      </c>
      <c r="N7" s="452"/>
      <c r="O7" s="444" t="str">
        <f ca="1">+MID(INDEX(WORLDCUP!$AA$4:$AA$147,MATCH(M7,WORLDCUP!$AH$4:$AH$147,0)),1,3)</f>
        <v>Egi</v>
      </c>
      <c r="P7" s="445">
        <f>IF(ISBLANK(INDEX(WORLDCUP!$AC$4:$AC$147,MATCH(M7,WORLDCUP!$AH$4:$AH$147,0))),"",INDEX(WORLDCUP!$AC$4:$AC$147,MATCH(M7,WORLDCUP!$AH$4:$AH$147,0)))</f>
        <v>0</v>
      </c>
      <c r="Q7" s="445">
        <f>IF(ISBLANK(INDEX(WORLDCUP!$AD$4:$AD$147,MATCH(M7,WORLDCUP!$AH$4:$AH$147,0))),"",INDEX(WORLDCUP!$AD$4:$AD$147,MATCH(M7,WORLDCUP!$AH$4:$AH$147,0)))</f>
        <v>0</v>
      </c>
      <c r="R7" s="446" t="str">
        <f ca="1">+MID(INDEX(WORLDCUP!$AF$4:$AF$147,MATCH(M7,WORLDCUP!$AH$4:$AH$147,0)),1,3)</f>
        <v>Irá</v>
      </c>
      <c r="S7" s="467">
        <v>4</v>
      </c>
      <c r="T7" s="476" t="str">
        <f ca="1">+MID(INDEX(WORLDCUP!$AL$6:$AL$97,MATCH(X7,WORLDCUP!$AI$6:$AI$97,0)),1,3)</f>
        <v>Irá</v>
      </c>
      <c r="U7" s="477">
        <f ca="1">+INDEX(WORLDCUP!$AM$6:$AM$97,MATCH(X7,WORLDCUP!$AI$6:$AI$97,0))</f>
        <v>1</v>
      </c>
      <c r="V7" s="478">
        <f ca="1">+INDEX(WORLDCUP!$AT$6:$AT$97,MATCH(X7,WORLDCUP!$AI$6:$AI$97,0))</f>
        <v>-3</v>
      </c>
      <c r="W7" s="479" t="str">
        <f ca="1">+INDEX(WORLDCUP!$AR$6:$AR$97,MATCH(X7,WORLDCUP!$AI$6:$AI$97,0))&amp;"-"&amp;INDEX(WORLDCUP!$AS$6:$AS$97,MATCH(X7,WORLDCUP!$AI$6:$AI$97,0))</f>
        <v>1-4</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1</v>
      </c>
      <c r="AK7" s="485" t="str">
        <f>+IF(ISBLANK(INDEX(WORLDCUP!$AB$101:$AB$147,MATCH(AH7,WORLDCUP!$Z$101:$Z$147,0))),"","( "&amp;INDEX(WORLDCUP!$AB$101:$AB$147,MATCH(AH7,WORLDCUP!$Z$101:$Z$147,0))&amp;" )")</f>
        <v>( 3 )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3</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1</v>
      </c>
      <c r="AK8" s="495" t="str">
        <f>+IF(ISBLANK(INDEX(WORLDCUP!$AE$101:$AE$147,MATCH(AH8,WORLDCUP!$Z$101:$Z$147,0))),"","( "&amp;INDEX(WORLDCUP!$AE$101:$AE$147,MATCH(AH8,WORLDCUP!$Z$101:$Z$147,0))&amp;" )")</f>
        <v>( 4 )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Cor</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1</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1</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Sui</v>
      </c>
      <c r="I12" s="449">
        <f ca="1">+INDEX(WORLDCUP!$AM$6:$AM$97,MATCH(L12,WORLDCUP!$AI$6:$AI$97,0))</f>
        <v>9</v>
      </c>
      <c r="J12" s="450">
        <f ca="1">+INDEX(WORLDCUP!$AT$6:$AT$97,MATCH(L12,WORLDCUP!$AI$6:$AI$97,0))</f>
        <v>5</v>
      </c>
      <c r="K12" s="451" t="str">
        <f ca="1">+INDEX(WORLDCUP!$AR$6:$AR$97,MATCH(L12,WORLDCUP!$AI$6:$AI$97,0))&amp;"-"&amp;INDEX(WORLDCUP!$AS$6:$AS$97,MATCH(L12,WORLDCUP!$AI$6:$AI$97,0))</f>
        <v>7-2</v>
      </c>
      <c r="L12" s="181" t="s">
        <v>659</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9</v>
      </c>
      <c r="W12" s="451" t="str">
        <f ca="1">+INDEX(WORLDCUP!$AR$6:$AR$97,MATCH(X12,WORLDCUP!$AI$6:$AI$97,0))&amp;"-"&amp;INDEX(WORLDCUP!$AS$6:$AS$97,MATCH(X12,WORLDCUP!$AI$6:$AI$97,0))</f>
        <v>9-0</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1</v>
      </c>
      <c r="BM12" s="463">
        <f ca="1">COUNTIF(Pool!$C$252,Fixture!BG12)</f>
        <v>0</v>
      </c>
      <c r="BN12" s="463">
        <f ca="1">COUNTIF(Pool!$C$251,Fixture!BG12)</f>
        <v>0</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3</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6</v>
      </c>
      <c r="J13" s="39">
        <f ca="1">+INDEX(WORLDCUP!$AT$6:$AT$97,MATCH(L13,WORLDCUP!$AI$6:$AI$97,0))</f>
        <v>2</v>
      </c>
      <c r="K13" s="43" t="str">
        <f ca="1">+INDEX(WORLDCUP!$AR$6:$AR$97,MATCH(L13,WORLDCUP!$AI$6:$AI$97,0))&amp;"-"&amp;INDEX(WORLDCUP!$AS$6:$AS$97,MATCH(L13,WORLDCUP!$AI$6:$AI$97,0))</f>
        <v>4-2</v>
      </c>
      <c r="L13" s="181" t="s">
        <v>660</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4</v>
      </c>
      <c r="W13" s="43" t="str">
        <f ca="1">+INDEX(WORLDCUP!$AR$6:$AR$97,MATCH(X13,WORLDCUP!$AI$6:$AI$97,0))&amp;"-"&amp;INDEX(WORLDCUP!$AS$6:$AS$97,MATCH(X13,WORLDCUP!$AI$6:$AI$97,0))</f>
        <v>6-2</v>
      </c>
      <c r="X13" s="181" t="s">
        <v>682</v>
      </c>
      <c r="Y13" s="181">
        <v>75</v>
      </c>
      <c r="Z13" s="425" t="s">
        <v>667</v>
      </c>
      <c r="AA13" s="480" t="str">
        <f ca="1">+MID(INDEX(WORLDCUP!$AF$101:$AF$147,MATCH(Y13,WORLDCUP!$Z$101:$Z$147,0)),1,3)</f>
        <v>Mar</v>
      </c>
      <c r="AB13" s="481">
        <f>+IF(ISBLANK(INDEX(WORLDCUP!$AD$101:$AD$147,MATCH(Y13,WORLDCUP!$Z$101:$Z$147,0))),"",INDEX(WORLDCUP!$AD$101:$AD$147,MATCH(Y13,WORLDCUP!$Z$101:$Z$147,0)))</f>
        <v>0</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Paí</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1</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Cat</v>
      </c>
      <c r="I14" s="38">
        <f ca="1">+INDEX(WORLDCUP!$AM$6:$AM$97,MATCH(L14,WORLDCUP!$AI$6:$AI$97,0))</f>
        <v>1</v>
      </c>
      <c r="J14" s="39">
        <f ca="1">+INDEX(WORLDCUP!$AT$6:$AT$97,MATCH(L14,WORLDCUP!$AI$6:$AI$97,0))</f>
        <v>-3</v>
      </c>
      <c r="K14" s="43" t="str">
        <f ca="1">+INDEX(WORLDCUP!$AR$6:$AR$97,MATCH(L14,WORLDCUP!$AI$6:$AI$97,0))&amp;"-"&amp;INDEX(WORLDCUP!$AS$6:$AS$97,MATCH(L14,WORLDCUP!$AI$6:$AI$97,0))</f>
        <v>1-4</v>
      </c>
      <c r="L14" s="181" t="s">
        <v>91</v>
      </c>
      <c r="M14" s="181">
        <v>37</v>
      </c>
      <c r="N14" s="505"/>
      <c r="O14" s="444" t="str">
        <f ca="1">+MID(INDEX(WORLDCUP!$AA$4:$AA$147,MATCH(M14,WORLDCUP!$AH$4:$AH$147,0)),1,3)</f>
        <v>Uru</v>
      </c>
      <c r="P14" s="445">
        <f>IF(ISBLANK(INDEX(WORLDCUP!$AC$4:$AC$147,MATCH(M14,WORLDCUP!$AH$4:$AH$147,0))),"",INDEX(WORLDCUP!$AC$4:$AC$147,MATCH(M14,WORLDCUP!$AH$4:$AH$147,0)))</f>
        <v>4</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-4</v>
      </c>
      <c r="W14" s="43" t="str">
        <f ca="1">+INDEX(WORLDCUP!$AR$6:$AR$97,MATCH(X14,WORLDCUP!$AI$6:$AI$97,0))&amp;"-"&amp;INDEX(WORLDCUP!$AS$6:$AS$97,MATCH(X14,WORLDCUP!$AI$6:$AI$97,0))</f>
        <v>2-6</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Bos</v>
      </c>
      <c r="I15" s="477">
        <f ca="1">+INDEX(WORLDCUP!$AM$6:$AM$97,MATCH(L15,WORLDCUP!$AI$6:$AI$97,0))</f>
        <v>1</v>
      </c>
      <c r="J15" s="478">
        <f ca="1">+INDEX(WORLDCUP!$AT$6:$AT$97,MATCH(L15,WORLDCUP!$AI$6:$AI$97,0))</f>
        <v>-4</v>
      </c>
      <c r="K15" s="479" t="str">
        <f ca="1">+INDEX(WORLDCUP!$AR$6:$AR$97,MATCH(L15,WORLDCUP!$AI$6:$AI$97,0))&amp;"-"&amp;INDEX(WORLDCUP!$AS$6:$AS$97,MATCH(L15,WORLDCUP!$AI$6:$AI$97,0))</f>
        <v>2-6</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2</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-9</v>
      </c>
      <c r="W15" s="479" t="str">
        <f ca="1">+INDEX(WORLDCUP!$AR$6:$AR$97,MATCH(X15,WORLDCUP!$AI$6:$AI$97,0))&amp;"-"&amp;INDEX(WORLDCUP!$AS$6:$AS$97,MATCH(X15,WORLDCUP!$AI$6:$AI$97,0))</f>
        <v>1-10</v>
      </c>
      <c r="X15" s="181" t="s">
        <v>683</v>
      </c>
      <c r="Y15" s="181">
        <v>83</v>
      </c>
      <c r="Z15" s="425" t="s">
        <v>691</v>
      </c>
      <c r="AA15" s="426" t="str">
        <f ca="1">+MID(INDEX(WORLDCUP!$AA$101:$AA$147,MATCH(Y15,WORLDCUP!$Z$101:$Z$147,0)),1,3)</f>
        <v>Col</v>
      </c>
      <c r="AB15" s="427">
        <f>+IF(ISBLANK(INDEX(WORLDCUP!$AC$101:$AC$147,MATCH(Y15,WORLDCUP!$Z$101:$Z$147,0))),"",INDEX(WORLDCUP!$AC$101:$AC$147,MATCH(Y15,WORLDCUP!$Z$101:$Z$147,0)))</f>
        <v>1</v>
      </c>
      <c r="AC15" s="498" t="str">
        <f>+IF(ISBLANK(INDEX(WORLDCUP!$AB$101:$AB$147,MATCH(Y15,WORLDCUP!$Z$101:$Z$147,0))),"","( "&amp;INDEX(WORLDCUP!$AB$101:$AB$147,MATCH(Y15,WORLDCUP!$Z$101:$Z$147,0))&amp;" )")</f>
        <v>( 4 )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1</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Gha</v>
      </c>
      <c r="AB16" s="453">
        <f>+IF(ISBLANK(INDEX(WORLDCUP!$AD$101:$AD$147,MATCH(Y16,WORLDCUP!$Z$101:$Z$147,0))),"",INDEX(WORLDCUP!$AD$101:$AD$147,MATCH(Y16,WORLDCUP!$Z$101:$Z$147,0)))</f>
        <v>1</v>
      </c>
      <c r="AC16" s="454" t="str">
        <f>+IF(ISBLANK(INDEX(WORLDCUP!$AE$101:$AE$147,MATCH(Y16,WORLDCUP!$Z$101:$Z$147,0))),"","( "&amp;INDEX(WORLDCUP!$AE$101:$AE$147,MATCH(Y16,WORLDCUP!$Z$101:$Z$147,0))&amp;" )")</f>
        <v>( 3 )</v>
      </c>
      <c r="AD16" s="455">
        <v>93</v>
      </c>
      <c r="AE16" s="456" t="str">
        <f ca="1">+MID(INDEX(WORLDCUP!$AA$101:$AA$147,MATCH(AD16,WORLDCUP!$Z$101:$Z$147,0)),1,3)</f>
        <v>Col</v>
      </c>
      <c r="AF16" s="457">
        <f>+IF(ISBLANK(INDEX(WORLDCUP!$AC$101:$AC$147,MATCH(AD16,WORLDCUP!$Z$101:$Z$147,0))),"",INDEX(WORLDCUP!$AC$101:$AC$147,MATCH(AD16,WORLDCUP!$Z$101:$Z$147,0)))</f>
        <v>0</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1</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0</v>
      </c>
      <c r="BJ18" s="464">
        <f ca="1">COUNTIF(Pool!$C$182:$C$197,Fixture!BG18)-BK18-BL18-BM18-BN18-BO18</f>
        <v>0</v>
      </c>
      <c r="BK18" s="465">
        <f ca="1">COUNTIF(Pool!$C$210:$C$217,Fixture!BG18)-BL18-BM18-BN18-BO18</f>
        <v>1</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f>IF(ISBLANK(INDEX(WORLDCUP!$AC$4:$AC$147,MATCH(A19,WORLDCUP!$AH$4:$AH$147,0))),"",INDEX(WORLDCUP!$AC$4:$AC$147,MATCH(A19,WORLDCUP!$AH$4:$AH$147,0)))</f>
        <v>3</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0</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2</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9</v>
      </c>
      <c r="K20" s="451" t="str">
        <f ca="1">+INDEX(WORLDCUP!$AR$6:$AR$97,MATCH(L20,WORLDCUP!$AI$6:$AI$97,0))&amp;"-"&amp;INDEX(WORLDCUP!$AS$6:$AS$97,MATCH(L20,WORLDCUP!$AI$6:$AI$97,0))</f>
        <v>11-2</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6</v>
      </c>
      <c r="W20" s="451" t="str">
        <f ca="1">+INDEX(WORLDCUP!$AR$6:$AR$97,MATCH(X20,WORLDCUP!$AI$6:$AI$97,0))&amp;"-"&amp;INDEX(WORLDCUP!$AS$6:$AS$97,MATCH(X20,WORLDCUP!$AI$6:$AI$97,0))</f>
        <v>7-1</v>
      </c>
      <c r="X20" s="181" t="s">
        <v>684</v>
      </c>
      <c r="Y20" s="181"/>
      <c r="Z20" s="425"/>
      <c r="AA20" s="494"/>
      <c r="AB20" s="494"/>
      <c r="AC20" s="494"/>
      <c r="AD20" s="181"/>
      <c r="AE20" s="429"/>
      <c r="AF20" s="429"/>
      <c r="AG20" s="475"/>
      <c r="AH20" s="181">
        <v>98</v>
      </c>
      <c r="AI20" s="483" t="str">
        <f ca="1">+MID(INDEX(WORLDCUP!$AF$101:$AF$147,MATCH(AH20,WORLDCUP!$Z$101:$Z$147,0)),1,3)</f>
        <v>Cos</v>
      </c>
      <c r="AJ20" s="484">
        <f>+IF(ISBLANK(INDEX(WORLDCUP!$AD$101:$AD$147,MATCH(AH20,WORLDCUP!$Z$101:$Z$147,0))),"",INDEX(WORLDCUP!$AD$101:$AD$147,MATCH(AH20,WORLDCUP!$Z$101:$Z$147,0)))</f>
        <v>1</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3</v>
      </c>
      <c r="F21" s="446" t="str">
        <f ca="1">+MID(INDEX(WORLDCUP!$AF$4:$AF$147,MATCH(A21,WORLDCUP!$AH$4:$AH$147,0)),1,3)</f>
        <v>Mar</v>
      </c>
      <c r="G21" s="467">
        <v>2</v>
      </c>
      <c r="H21" s="468" t="str">
        <f ca="1">+MID(INDEX(WORLDCUP!$AL$6:$AL$97,MATCH(L21,WORLDCUP!$AI$6:$AI$97,0)),1,3)</f>
        <v>Mar</v>
      </c>
      <c r="I21" s="38">
        <f ca="1">+INDEX(WORLDCUP!$AM$6:$AM$97,MATCH(L21,WORLDCUP!$AI$6:$AI$97,0))</f>
        <v>6</v>
      </c>
      <c r="J21" s="39">
        <f ca="1">+INDEX(WORLDCUP!$AT$6:$AT$97,MATCH(L21,WORLDCUP!$AI$6:$AI$97,0))</f>
        <v>3</v>
      </c>
      <c r="K21" s="43" t="str">
        <f ca="1">+INDEX(WORLDCUP!$AR$6:$AR$97,MATCH(L21,WORLDCUP!$AI$6:$AI$97,0))&amp;"-"&amp;INDEX(WORLDCUP!$AS$6:$AS$97,MATCH(L21,WORLDCUP!$AI$6:$AI$97,0))</f>
        <v>6-3</v>
      </c>
      <c r="L21" s="181" t="s">
        <v>667</v>
      </c>
      <c r="M21" s="181">
        <v>42</v>
      </c>
      <c r="N21" s="522"/>
      <c r="O21" s="444" t="str">
        <f ca="1">+MID(INDEX(WORLDCUP!$AA$4:$AA$147,MATCH(M21,WORLDCUP!$AH$4:$AH$147,0)),1,3)</f>
        <v>Fra</v>
      </c>
      <c r="P21" s="445">
        <f>IF(ISBLANK(INDEX(WORLDCUP!$AC$4:$AC$147,MATCH(M21,WORLDCUP!$AH$4:$AH$147,0))),"",INDEX(WORLDCUP!$AC$4:$AC$147,MATCH(M21,WORLDCUP!$AH$4:$AH$147,0)))</f>
        <v>2</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3</v>
      </c>
      <c r="W21" s="43" t="str">
        <f ca="1">+INDEX(WORLDCUP!$AR$6:$AR$97,MATCH(X21,WORLDCUP!$AI$6:$AI$97,0))&amp;"-"&amp;INDEX(WORLDCUP!$AS$6:$AS$97,MATCH(X21,WORLDCUP!$AI$6:$AI$97,0))</f>
        <v>5-2</v>
      </c>
      <c r="X21" s="181" t="s">
        <v>685</v>
      </c>
      <c r="Y21" s="181">
        <v>81</v>
      </c>
      <c r="Z21" s="425" t="s">
        <v>669</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Portugal</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5</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3-6</v>
      </c>
      <c r="L22" s="181" t="s">
        <v>92</v>
      </c>
      <c r="M22" s="181">
        <v>41</v>
      </c>
      <c r="N22" s="522"/>
      <c r="O22" s="444" t="str">
        <f ca="1">+MID(INDEX(WORLDCUP!$AA$4:$AA$147,MATCH(M22,WORLDCUP!$AH$4:$AH$147,0)),1,3)</f>
        <v>Nor</v>
      </c>
      <c r="P22" s="445">
        <f>IF(ISBLANK(INDEX(WORLDCUP!$AC$4:$AC$147,MATCH(M22,WORLDCUP!$AH$4:$AH$147,0))),"",INDEX(WORLDCUP!$AC$4:$AC$147,MATCH(M22,WORLDCUP!$AH$4:$AH$147,0)))</f>
        <v>2</v>
      </c>
      <c r="Q22" s="445">
        <f>IF(ISBLANK(INDEX(WORLDCUP!$AD$4:$AD$147,MATCH(M22,WORLDCUP!$AH$4:$AH$147,0))),"",INDEX(WORLDCUP!$AD$4:$AD$147,MATCH(M22,WORLDCUP!$AH$4:$AH$147,0)))</f>
        <v>0</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-4</v>
      </c>
      <c r="W22" s="43" t="str">
        <f ca="1">+INDEX(WORLDCUP!$AR$6:$AR$97,MATCH(X22,WORLDCUP!$AI$6:$AI$97,0))&amp;"-"&amp;INDEX(WORLDCUP!$AS$6:$AS$97,MATCH(X22,WORLDCUP!$AI$6:$AI$97,0))</f>
        <v>2-6</v>
      </c>
      <c r="X22" s="181" t="s">
        <v>450</v>
      </c>
      <c r="Y22" s="181">
        <v>81</v>
      </c>
      <c r="Z22" s="425" t="s">
        <v>737</v>
      </c>
      <c r="AA22" s="426" t="str">
        <f ca="1">+MID(INDEX(WORLDCUP!$AF$101:$AF$147,MATCH(Y22,WORLDCUP!$Z$101:$Z$147,0)),1,IF(WORLDCUP!$H$113&lt;144,6,3))</f>
        <v>Cos</v>
      </c>
      <c r="AB22" s="453">
        <f>+IF(ISBLANK(INDEX(WORLDCUP!$AD$101:$AD$147,MATCH(Y22,WORLDCUP!$Z$101:$Z$147,0))),"",INDEX(WORLDCUP!$AD$101:$AD$147,MATCH(Y22,WORLDCUP!$Z$101:$Z$147,0)))</f>
        <v>2</v>
      </c>
      <c r="AC22" s="454" t="str">
        <f>+IF(ISBLANK(INDEX(WORLDCUP!$AE$101:$AE$147,MATCH(Y22,WORLDCUP!$Z$101:$Z$147,0))),"","( "&amp;INDEX(WORLDCUP!$AE$101:$AE$147,MATCH(Y22,WORLDCUP!$Z$101:$Z$147,0))&amp;" )")</f>
        <v/>
      </c>
      <c r="AD22" s="455">
        <v>94</v>
      </c>
      <c r="AE22" s="456" t="str">
        <f ca="1">+MID(INDEX(WORLDCUP!$AA$101:$AA$147,MATCH(AD22,WORLDCUP!$Z$101:$Z$147,0)),1,3)</f>
        <v>Cos</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-9</v>
      </c>
      <c r="K23" s="479" t="str">
        <f ca="1">+INDEX(WORLDCUP!$AR$6:$AR$97,MATCH(L23,WORLDCUP!$AI$6:$AI$97,0))&amp;"-"&amp;INDEX(WORLDCUP!$AS$6:$AS$97,MATCH(L23,WORLDCUP!$AI$6:$AI$97,0))</f>
        <v>0-9</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-5</v>
      </c>
      <c r="W23" s="479" t="str">
        <f ca="1">+INDEX(WORLDCUP!$AR$6:$AR$97,MATCH(X23,WORLDCUP!$AI$6:$AI$97,0))&amp;"-"&amp;INDEX(WORLDCUP!$AS$6:$AS$97,MATCH(X23,WORLDCUP!$AI$6:$AI$97,0))</f>
        <v>1-6</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0</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España</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2</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2</v>
      </c>
      <c r="Q24" s="488">
        <f>IF(ISBLANK(INDEX(WORLDCUP!$AD$4:$AD$147,MATCH(M24,WORLDCUP!$AH$4:$AH$147,0))),"",INDEX(WORLDCUP!$AD$4:$AD$147,MATCH(M24,WORLDCUP!$AH$4:$AH$147,0)))</f>
        <v>1</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1</v>
      </c>
      <c r="BO24" s="466">
        <f ca="1">COUNTIF(Pool!$C$250,Fixture!BG24)</f>
        <v>0</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Rep</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 ca="1">+WORLDCUP!AA152</f>
        <v>Países Bajos</v>
      </c>
      <c r="BA25" s="530"/>
      <c r="BB25" s="533"/>
      <c r="BC25" s="529"/>
      <c r="BD25" s="153"/>
      <c r="BE25" s="153"/>
      <c r="BG25" s="462" t="str">
        <f ca="1">Horarios!Q24</f>
        <v>Estados Unidos</v>
      </c>
      <c r="BH25" s="463">
        <f t="shared" ca="1" si="0"/>
        <v>0</v>
      </c>
      <c r="BI25" s="463">
        <f ca="1">COUNTIF(Pool!$C$130:$C$161,Fixture!BG25)-BJ25-BK25-BL25-BM25-BN25-BO25</f>
        <v>1</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3</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1</v>
      </c>
      <c r="BL26" s="465">
        <f ca="1">COUNTIF(Pool!$C$226:$C$229,Fixture!BG26)-BM26-BN26-BO26</f>
        <v>0</v>
      </c>
      <c r="BM26" s="463">
        <f ca="1">COUNTIF(Pool!$C$252,Fixture!BG26)</f>
        <v>0</v>
      </c>
      <c r="BN26" s="463">
        <f ca="1">COUNTIF(Pool!$C$251,Fixture!BG26)</f>
        <v>0</v>
      </c>
      <c r="BO26" s="466">
        <f ca="1">COUNTIF(Pool!$C$250,Fixture!BG26)</f>
        <v>0</v>
      </c>
    </row>
    <row r="27" spans="1:67" ht="15.75" thickBot="1">
      <c r="A27" s="181">
        <v>4</v>
      </c>
      <c r="B27" s="542" t="s">
        <v>74</v>
      </c>
      <c r="C27" s="417" t="str">
        <f ca="1">+MID(INDEX(WORLDCUP!$AA$4:$AA$147,MATCH(A27,WORLDCUP!$AH$4:$AH$147,0)),1,3)</f>
        <v>Est</v>
      </c>
      <c r="D27" s="418">
        <f>IF(ISBLANK(INDEX(WORLDCUP!$AC$4:$AC$147,MATCH(A27,WORLDCUP!$AH$4:$AH$147,0))),"",INDEX(WORLDCUP!$AC$4:$AC$147,MATCH(A27,WORLDCUP!$AH$4:$AH$147,0)))</f>
        <v>1</v>
      </c>
      <c r="E27" s="418">
        <f>IF(ISBLANK(INDEX(WORLDCUP!$AD$4:$AD$147,MATCH(A27,WORLDCUP!$AH$4:$AH$147,0))),"",INDEX(WORLDCUP!$AD$4:$AD$147,MATCH(A27,WORLDCUP!$AH$4:$AH$147,0)))</f>
        <v>0</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0</v>
      </c>
      <c r="E28" s="445">
        <f>IF(ISBLANK(INDEX(WORLDCUP!$AD$4:$AD$147,MATCH(A28,WORLDCUP!$AH$4:$AH$147,0))),"",INDEX(WORLDCUP!$AD$4:$AD$147,MATCH(A28,WORLDCUP!$AH$4:$AH$147,0)))</f>
        <v>1</v>
      </c>
      <c r="F28" s="446" t="str">
        <f ca="1">+MID(INDEX(WORLDCUP!$AF$4:$AF$147,MATCH(A28,WORLDCUP!$AH$4:$AH$147,0)),1,3)</f>
        <v>Tur</v>
      </c>
      <c r="G28" s="447">
        <v>1</v>
      </c>
      <c r="H28" s="448" t="str">
        <f ca="1">+MID(INDEX(WORLDCUP!$AL$6:$AL$97,MATCH(L28,WORLDCUP!$AI$6:$AI$97,0)),1,3)</f>
        <v>Est</v>
      </c>
      <c r="I28" s="449">
        <f ca="1">+INDEX(WORLDCUP!$AM$6:$AM$97,MATCH(L28,WORLDCUP!$AI$6:$AI$97,0))</f>
        <v>7</v>
      </c>
      <c r="J28" s="450">
        <f ca="1">+INDEX(WORLDCUP!$AT$6:$AT$97,MATCH(L28,WORLDCUP!$AI$6:$AI$97,0))</f>
        <v>3</v>
      </c>
      <c r="K28" s="451" t="str">
        <f ca="1">+INDEX(WORLDCUP!$AR$6:$AR$97,MATCH(L28,WORLDCUP!$AI$6:$AI$97,0))&amp;"-"&amp;INDEX(WORLDCUP!$AS$6:$AS$97,MATCH(L28,WORLDCUP!$AI$6:$AI$97,0))</f>
        <v>4-1</v>
      </c>
      <c r="L28" s="181" t="s">
        <v>669</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7</v>
      </c>
      <c r="V28" s="450">
        <f ca="1">+INDEX(WORLDCUP!$AT$6:$AT$97,MATCH(X28,WORLDCUP!$AI$6:$AI$97,0))</f>
        <v>4</v>
      </c>
      <c r="W28" s="451" t="str">
        <f ca="1">+INDEX(WORLDCUP!$AR$6:$AR$97,MATCH(X28,WORLDCUP!$AI$6:$AI$97,0))&amp;"-"&amp;INDEX(WORLDCUP!$AS$6:$AS$97,MATCH(X28,WORLDCUP!$AI$6:$AI$97,0))</f>
        <v>5-1</v>
      </c>
      <c r="X28" s="181" t="s">
        <v>687</v>
      </c>
      <c r="Y28" s="181">
        <v>76</v>
      </c>
      <c r="Z28" s="425" t="s">
        <v>676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1</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1</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Tur</v>
      </c>
      <c r="I29" s="38">
        <f ca="1">+INDEX(WORLDCUP!$AM$6:$AM$97,MATCH(L29,WORLDCUP!$AI$6:$AI$97,0))</f>
        <v>6</v>
      </c>
      <c r="J29" s="39">
        <f ca="1">+INDEX(WORLDCUP!$AT$6:$AT$97,MATCH(L29,WORLDCUP!$AI$6:$AI$97,0))</f>
        <v>1</v>
      </c>
      <c r="K29" s="43" t="str">
        <f ca="1">+INDEX(WORLDCUP!$AR$6:$AR$97,MATCH(L29,WORLDCUP!$AI$6:$AI$97,0))&amp;"-"&amp;INDEX(WORLDCUP!$AS$6:$AS$97,MATCH(L29,WORLDCUP!$AI$6:$AI$97,0))</f>
        <v>3-2</v>
      </c>
      <c r="L29" s="181" t="s">
        <v>670</v>
      </c>
      <c r="M29" s="181">
        <v>43</v>
      </c>
      <c r="N29" s="545"/>
      <c r="O29" s="444" t="str">
        <f ca="1">+MID(INDEX(WORLDCUP!$AA$4:$AA$147,MATCH(M29,WORLDCUP!$AH$4:$AH$147,0)),1,3)</f>
        <v>Arg</v>
      </c>
      <c r="P29" s="445">
        <f>IF(ISBLANK(INDEX(WORLDCUP!$AC$4:$AC$147,MATCH(M29,WORLDCUP!$AH$4:$AH$147,0))),"",INDEX(WORLDCUP!$AC$4:$AC$147,MATCH(M29,WORLDCUP!$AH$4:$AH$147,0)))</f>
        <v>1</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7</v>
      </c>
      <c r="V29" s="39">
        <f ca="1">+INDEX(WORLDCUP!$AT$6:$AT$97,MATCH(X29,WORLDCUP!$AI$6:$AI$97,0))</f>
        <v>4</v>
      </c>
      <c r="W29" s="43" t="str">
        <f ca="1">+INDEX(WORLDCUP!$AR$6:$AR$97,MATCH(X29,WORLDCUP!$AI$6:$AI$97,0))&amp;"-"&amp;INDEX(WORLDCUP!$AS$6:$AS$97,MATCH(X29,WORLDCUP!$AI$6:$AI$97,0))</f>
        <v>5-1</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1</v>
      </c>
      <c r="BL29" s="465">
        <f ca="1">COUNTIF(Pool!$C$226:$C$229,Fixture!BG29)-BM29-BN29-BO29</f>
        <v>0</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0</v>
      </c>
      <c r="F30" s="446" t="str">
        <f ca="1">+MID(INDEX(WORLDCUP!$AF$4:$AF$147,MATCH(A30,WORLDCUP!$AH$4:$AH$147,0)),1,3)</f>
        <v>Par</v>
      </c>
      <c r="G30" s="467">
        <v>3</v>
      </c>
      <c r="H30" s="468" t="str">
        <f ca="1">+MID(INDEX(WORLDCUP!$AL$6:$AL$97,MATCH(L30,WORLDCUP!$AI$6:$AI$97,0)),1,3)</f>
        <v>Par</v>
      </c>
      <c r="I30" s="38">
        <f ca="1">+INDEX(WORLDCUP!$AM$6:$AM$97,MATCH(L30,WORLDCUP!$AI$6:$AI$97,0))</f>
        <v>3</v>
      </c>
      <c r="J30" s="39">
        <f ca="1">+INDEX(WORLDCUP!$AT$6:$AT$97,MATCH(L30,WORLDCUP!$AI$6:$AI$97,0))</f>
        <v>-2</v>
      </c>
      <c r="K30" s="43" t="str">
        <f ca="1">+INDEX(WORLDCUP!$AR$6:$AR$97,MATCH(L30,WORLDCUP!$AI$6:$AI$97,0))&amp;"-"&amp;INDEX(WORLDCUP!$AS$6:$AS$97,MATCH(L30,WORLDCUP!$AI$6:$AI$97,0))</f>
        <v>2-4</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0</v>
      </c>
      <c r="R30" s="446" t="str">
        <f ca="1">+MID(INDEX(WORLDCUP!$AF$4:$AF$147,MATCH(M30,WORLDCUP!$AH$4:$AH$147,0)),1,3)</f>
        <v>Arg</v>
      </c>
      <c r="S30" s="467">
        <v>3</v>
      </c>
      <c r="T30" s="468" t="str">
        <f ca="1">+MID(INDEX(WORLDCUP!$AL$6:$AL$97,MATCH(X30,WORLDCUP!$AI$6:$AI$97,0)),1,3)</f>
        <v>Arg</v>
      </c>
      <c r="U30" s="38">
        <f ca="1">+INDEX(WORLDCUP!$AM$6:$AM$97,MATCH(X30,WORLDCUP!$AI$6:$AI$97,0))</f>
        <v>1</v>
      </c>
      <c r="V30" s="39">
        <f ca="1">+INDEX(WORLDCUP!$AT$6:$AT$97,MATCH(X30,WORLDCUP!$AI$6:$AI$97,0))</f>
        <v>-4</v>
      </c>
      <c r="W30" s="43" t="str">
        <f ca="1">+INDEX(WORLDCUP!$AR$6:$AR$97,MATCH(X30,WORLDCUP!$AI$6:$AI$97,0))&amp;"-"&amp;INDEX(WORLDCUP!$AS$6:$AS$97,MATCH(X30,WORLDCUP!$AI$6:$AI$97,0))</f>
        <v>0-4</v>
      </c>
      <c r="X30" s="181" t="s">
        <v>451</v>
      </c>
      <c r="Y30" s="181">
        <v>78</v>
      </c>
      <c r="Z30" s="425" t="s">
        <v>673</v>
      </c>
      <c r="AA30" s="426" t="str">
        <f ca="1">+MID(INDEX(WORLDCUP!$AA$101:$AA$147,MATCH(Y30,WORLDCUP!$Z$101:$Z$147,0)),1,3)</f>
        <v>Ecu</v>
      </c>
      <c r="AB30" s="472">
        <f>+IF(ISBLANK(INDEX(WORLDCUP!$AC$101:$AC$147,MATCH(Y30,WORLDCUP!$Z$101:$Z$147,0))),"",INDEX(WORLDCUP!$AC$101:$AC$147,MATCH(Y30,WORLDCUP!$Z$101:$Z$147,0)))</f>
        <v>0</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0</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Aus</v>
      </c>
      <c r="I31" s="477">
        <f ca="1">+INDEX(WORLDCUP!$AM$6:$AM$97,MATCH(L31,WORLDCUP!$AI$6:$AI$97,0))</f>
        <v>1</v>
      </c>
      <c r="J31" s="478">
        <f ca="1">+INDEX(WORLDCUP!$AT$6:$AT$97,MATCH(L31,WORLDCUP!$AI$6:$AI$97,0))</f>
        <v>-2</v>
      </c>
      <c r="K31" s="479" t="str">
        <f ca="1">+INDEX(WORLDCUP!$AR$6:$AR$97,MATCH(L31,WORLDCUP!$AI$6:$AI$97,0))&amp;"-"&amp;INDEX(WORLDCUP!$AS$6:$AS$97,MATCH(L31,WORLDCUP!$AI$6:$AI$97,0))</f>
        <v>2-4</v>
      </c>
      <c r="L31" s="181" t="s">
        <v>671</v>
      </c>
      <c r="M31" s="181">
        <v>69</v>
      </c>
      <c r="N31" s="545"/>
      <c r="O31" s="444" t="str">
        <f ca="1">+MID(INDEX(WORLDCUP!$AA$4:$AA$147,MATCH(M31,WORLDCUP!$AH$4:$AH$147,0)),1,3)</f>
        <v>Arg</v>
      </c>
      <c r="P31" s="445">
        <f>IF(ISBLANK(INDEX(WORLDCUP!$AC$4:$AC$147,MATCH(M31,WORLDCUP!$AH$4:$AH$147,0))),"",INDEX(WORLDCUP!$AC$4:$AC$147,MATCH(M31,WORLDCUP!$AH$4:$AH$147,0)))</f>
        <v>0</v>
      </c>
      <c r="Q31" s="445">
        <f>IF(ISBLANK(INDEX(WORLDCUP!$AD$4:$AD$147,MATCH(M31,WORLDCUP!$AH$4:$AH$147,0))),"",INDEX(WORLDCUP!$AD$4:$AD$147,MATCH(M31,WORLDCUP!$AH$4:$AH$147,0)))</f>
        <v>2</v>
      </c>
      <c r="R31" s="446" t="str">
        <f ca="1">+MID(INDEX(WORLDCUP!$AF$4:$AF$147,MATCH(M31,WORLDCUP!$AH$4:$AH$147,0)),1,3)</f>
        <v>Aus</v>
      </c>
      <c r="S31" s="467">
        <v>4</v>
      </c>
      <c r="T31" s="476" t="str">
        <f ca="1">+MID(INDEX(WORLDCUP!$AL$6:$AL$97,MATCH(X31,WORLDCUP!$AI$6:$AI$97,0)),1,3)</f>
        <v>Jor</v>
      </c>
      <c r="U31" s="477">
        <f ca="1">+INDEX(WORLDCUP!$AM$6:$AM$97,MATCH(X31,WORLDCUP!$AI$6:$AI$97,0))</f>
        <v>1</v>
      </c>
      <c r="V31" s="478">
        <f ca="1">+INDEX(WORLDCUP!$AT$6:$AT$97,MATCH(X31,WORLDCUP!$AI$6:$AI$97,0))</f>
        <v>-4</v>
      </c>
      <c r="W31" s="479" t="str">
        <f ca="1">+INDEX(WORLDCUP!$AR$6:$AR$97,MATCH(X31,WORLDCUP!$AI$6:$AI$97,0))&amp;"-"&amp;INDEX(WORLDCUP!$AS$6:$AS$97,MATCH(X31,WORLDCUP!$AI$6:$AI$97,0))</f>
        <v>0-4</v>
      </c>
      <c r="X31" s="181" t="s">
        <v>689</v>
      </c>
      <c r="Y31" s="181">
        <v>78</v>
      </c>
      <c r="Z31" s="425" t="s">
        <v>685</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2</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País</v>
      </c>
      <c r="AR31" s="548">
        <f>+IF(ISBLANK(INDEX(WORLDCUP!$AC$101:$AC$147,MATCH(AP31,WORLDCUP!$Z$101:$Z$147,0))),"",INDEX(WORLDCUP!$AC$101:$AC$147,MATCH(AP31,WORLDCUP!$Z$101:$Z$147,0)))</f>
        <v>3</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2</v>
      </c>
      <c r="E32" s="488">
        <f>IF(ISBLANK(INDEX(WORLDCUP!$AD$4:$AD$147,MATCH(A32,WORLDCUP!$AH$4:$AH$147,0))),"",INDEX(WORLDCUP!$AD$4:$AD$147,MATCH(A32,WORLDCUP!$AH$4:$AH$147,0)))</f>
        <v>1</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2</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1</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Bras</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Esc</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5</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4</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0</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9</v>
      </c>
      <c r="K36" s="451" t="str">
        <f ca="1">+INDEX(WORLDCUP!$AR$6:$AR$97,MATCH(L36,WORLDCUP!$AI$6:$AI$97,0))&amp;"-"&amp;INDEX(WORLDCUP!$AS$6:$AS$97,MATCH(L36,WORLDCUP!$AI$6:$AI$97,0))</f>
        <v>10-1</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9</v>
      </c>
      <c r="W36" s="451" t="str">
        <f ca="1">+INDEX(WORLDCUP!$AR$6:$AR$97,MATCH(X36,WORLDCUP!$AI$6:$AI$97,0))&amp;"-"&amp;INDEX(WORLDCUP!$AS$6:$AS$97,MATCH(X36,WORLDCUP!$AI$6:$AI$97,0))</f>
        <v>9-0</v>
      </c>
      <c r="X36" s="181" t="s">
        <v>690</v>
      </c>
      <c r="Y36" s="181">
        <v>80</v>
      </c>
      <c r="Z36" s="425" t="s">
        <v>693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0</v>
      </c>
      <c r="F37" s="446" t="str">
        <f ca="1">+MID(INDEX(WORLDCUP!$AF$4:$AF$147,MATCH(A37,WORLDCUP!$AH$4:$AH$147,0)),1,3)</f>
        <v>Cos</v>
      </c>
      <c r="G37" s="467">
        <v>2</v>
      </c>
      <c r="H37" s="468" t="str">
        <f ca="1">+MID(INDEX(WORLDCUP!$AL$6:$AL$97,MATCH(L37,WORLDCUP!$AI$6:$AI$97,0)),1,3)</f>
        <v>Ecu</v>
      </c>
      <c r="I37" s="38">
        <f ca="1">+INDEX(WORLDCUP!$AM$6:$AM$97,MATCH(L37,WORLDCUP!$AI$6:$AI$97,0))</f>
        <v>6</v>
      </c>
      <c r="J37" s="39">
        <f ca="1">+INDEX(WORLDCUP!$AT$6:$AT$97,MATCH(L37,WORLDCUP!$AI$6:$AI$97,0))</f>
        <v>4</v>
      </c>
      <c r="K37" s="43" t="str">
        <f ca="1">+INDEX(WORLDCUP!$AR$6:$AR$97,MATCH(L37,WORLDCUP!$AI$6:$AI$97,0))&amp;"-"&amp;INDEX(WORLDCUP!$AS$6:$AS$97,MATCH(L37,WORLDCUP!$AI$6:$AI$97,0))</f>
        <v>7-3</v>
      </c>
      <c r="L37" s="181" t="s">
        <v>673</v>
      </c>
      <c r="M37" s="181">
        <v>47</v>
      </c>
      <c r="N37" s="561"/>
      <c r="O37" s="444" t="str">
        <f ca="1">+MID(INDEX(WORLDCUP!$AA$4:$AA$147,MATCH(M37,WORLDCUP!$AH$4:$AH$147,0)),1,3)</f>
        <v>Por</v>
      </c>
      <c r="P37" s="445">
        <f>IF(ISBLANK(INDEX(WORLDCUP!$AC$4:$AC$147,MATCH(M37,WORLDCUP!$AH$4:$AH$147,0))),"",INDEX(WORLDCUP!$AC$4:$AC$147,MATCH(M37,WORLDCUP!$AH$4:$AH$147,0)))</f>
        <v>3</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2</v>
      </c>
      <c r="W37" s="43" t="str">
        <f ca="1">+INDEX(WORLDCUP!$AR$6:$AR$97,MATCH(X37,WORLDCUP!$AI$6:$AI$97,0))&amp;"-"&amp;INDEX(WORLDCUP!$AS$6:$AS$97,MATCH(X37,WORLDCUP!$AI$6:$AI$97,0))</f>
        <v>4-2</v>
      </c>
      <c r="X37" s="181" t="s">
        <v>691</v>
      </c>
      <c r="Y37" s="181">
        <v>80</v>
      </c>
      <c r="Z37" s="425" t="s">
        <v>736</v>
      </c>
      <c r="AA37" s="480" t="str">
        <f ca="1">+MID(INDEX(WORLDCUP!$AF$101:$AF$147,MATCH(Y37,WORLDCUP!$Z$101:$Z$147,0)),1,IF(WORLDCUP!$H$113&lt;144,6,3))</f>
        <v>Sen</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0</v>
      </c>
      <c r="BI37" s="463">
        <f ca="1">COUNTIF(Pool!$C$130:$C$161,Fixture!BG37)-BJ37-BK37-BL37-BM37-BN37-BO37</f>
        <v>1</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4</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3</v>
      </c>
      <c r="J38" s="39">
        <f ca="1">+INDEX(WORLDCUP!$AT$6:$AT$97,MATCH(L38,WORLDCUP!$AI$6:$AI$97,0))</f>
        <v>-1</v>
      </c>
      <c r="K38" s="43" t="str">
        <f ca="1">+INDEX(WORLDCUP!$AR$6:$AR$97,MATCH(L38,WORLDCUP!$AI$6:$AI$97,0))&amp;"-"&amp;INDEX(WORLDCUP!$AS$6:$AS$97,MATCH(L38,WORLDCUP!$AI$6:$AI$97,0))</f>
        <v>3-4</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Uzb</v>
      </c>
      <c r="U38" s="38">
        <f ca="1">+INDEX(WORLDCUP!$AM$6:$AM$97,MATCH(X38,WORLDCUP!$AI$6:$AI$97,0))</f>
        <v>3</v>
      </c>
      <c r="V38" s="39">
        <f ca="1">+INDEX(WORLDCUP!$AT$6:$AT$97,MATCH(X38,WORLDCUP!$AI$6:$AI$97,0))</f>
        <v>-4</v>
      </c>
      <c r="W38" s="43" t="str">
        <f ca="1">+INDEX(WORLDCUP!$AR$6:$AR$97,MATCH(X38,WORLDCUP!$AI$6:$AI$97,0))&amp;"-"&amp;INDEX(WORLDCUP!$AS$6:$AS$97,MATCH(X38,WORLDCUP!$AI$6:$AI$97,0))</f>
        <v>1-5</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0</v>
      </c>
      <c r="BL38" s="465">
        <f ca="1">COUNTIF(Pool!$C$226:$C$229,Fixture!BG38)-BM38-BN38-BO38</f>
        <v>0</v>
      </c>
      <c r="BM38" s="463">
        <f ca="1">COUNTIF(Pool!$C$252,Fixture!BG38)</f>
        <v>1</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3</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-12</v>
      </c>
      <c r="K39" s="479" t="str">
        <f ca="1">+INDEX(WORLDCUP!$AR$6:$AR$97,MATCH(L39,WORLDCUP!$AI$6:$AI$97,0))&amp;"-"&amp;INDEX(WORLDCUP!$AS$6:$AS$97,MATCH(L39,WORLDCUP!$AI$6:$AI$97,0))</f>
        <v>0-12</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 xml:space="preserve">RD </v>
      </c>
      <c r="U39" s="477">
        <f ca="1">+INDEX(WORLDCUP!$AM$6:$AM$97,MATCH(X39,WORLDCUP!$AI$6:$AI$97,0))</f>
        <v>0</v>
      </c>
      <c r="V39" s="478">
        <f ca="1">+INDEX(WORLDCUP!$AT$6:$AT$97,MATCH(X39,WORLDCUP!$AI$6:$AI$97,0))</f>
        <v>-7</v>
      </c>
      <c r="W39" s="479" t="str">
        <f ca="1">+INDEX(WORLDCUP!$AR$6:$AR$97,MATCH(X39,WORLDCUP!$AI$6:$AI$97,0))&amp;"-"&amp;INDEX(WORLDCUP!$AS$6:$AS$97,MATCH(X39,WORLDCUP!$AI$6:$AI$97,0))</f>
        <v>0-7</v>
      </c>
      <c r="X39" s="181" t="s">
        <v>692</v>
      </c>
      <c r="Y39" s="181">
        <v>86</v>
      </c>
      <c r="Z39" s="425" t="s">
        <v>687</v>
      </c>
      <c r="AA39" s="426" t="str">
        <f ca="1">+MID(INDEX(WORLDCUP!$AA$101:$AA$147,MATCH(Y39,WORLDCUP!$Z$101:$Z$147,0)),1,3)</f>
        <v>Arg</v>
      </c>
      <c r="AB39" s="427">
        <f>+IF(ISBLANK(INDEX(WORLDCUP!$AC$101:$AC$147,MATCH(Y39,WORLDCUP!$Z$101:$Z$147,0))),"",INDEX(WORLDCUP!$AC$101:$AC$147,MATCH(Y39,WORLDCUP!$Z$101:$Z$147,0)))</f>
        <v>1</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3</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0</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1</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1</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Tur</v>
      </c>
      <c r="AB42" s="472">
        <f>+IF(ISBLANK(INDEX(WORLDCUP!$AC$101:$AC$147,MATCH(Y42,WORLDCUP!$Z$101:$Z$147,0))),"",INDEX(WORLDCUP!$AC$101:$AC$147,MATCH(Y42,WORLDCUP!$Z$101:$Z$147,0)))</f>
        <v>0</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f>IF(ISBLANK(INDEX(WORLDCUP!$AC$4:$AC$147,MATCH(A43,WORLDCUP!$AH$4:$AH$147,0))),"",INDEX(WORLDCUP!$AC$4:$AC$147,MATCH(A43,WORLDCUP!$AH$4:$AH$147,0)))</f>
        <v>1</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1</v>
      </c>
      <c r="Q43" s="418">
        <f>IF(ISBLANK(INDEX(WORLDCUP!$AD$4:$AD$147,MATCH(M43,WORLDCUP!$AH$4:$AH$147,0))),"",INDEX(WORLDCUP!$AD$4:$AD$147,MATCH(M43,WORLDCUP!$AH$4:$AH$147,0)))</f>
        <v>0</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1</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0</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4</v>
      </c>
      <c r="K44" s="451" t="str">
        <f ca="1">+INDEX(WORLDCUP!$AR$6:$AR$97,MATCH(L44,WORLDCUP!$AI$6:$AI$97,0))&amp;"-"&amp;INDEX(WORLDCUP!$AS$6:$AS$97,MATCH(L44,WORLDCUP!$AI$6:$AI$97,0))</f>
        <v>5-1</v>
      </c>
      <c r="L44" s="181" t="s">
        <v>675</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5-1</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2</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Jap</v>
      </c>
      <c r="I45" s="38">
        <f ca="1">+INDEX(WORLDCUP!$AM$6:$AM$97,MATCH(L45,WORLDCUP!$AI$6:$AI$97,0))</f>
        <v>4</v>
      </c>
      <c r="J45" s="39">
        <f ca="1">+INDEX(WORLDCUP!$AT$6:$AT$97,MATCH(L45,WORLDCUP!$AI$6:$AI$97,0))</f>
        <v>0</v>
      </c>
      <c r="K45" s="43" t="str">
        <f ca="1">+INDEX(WORLDCUP!$AR$6:$AR$97,MATCH(L45,WORLDCUP!$AI$6:$AI$97,0))&amp;"-"&amp;INDEX(WORLDCUP!$AS$6:$AS$97,MATCH(L45,WORLDCUP!$AI$6:$AI$97,0))</f>
        <v>3-3</v>
      </c>
      <c r="L45" s="181" t="s">
        <v>676</v>
      </c>
      <c r="M45" s="181">
        <v>45</v>
      </c>
      <c r="N45" s="568"/>
      <c r="O45" s="444" t="str">
        <f ca="1">+MID(INDEX(WORLDCUP!$AA$4:$AA$147,MATCH(M45,WORLDCUP!$AH$4:$AH$147,0)),1,3)</f>
        <v>Ing</v>
      </c>
      <c r="P45" s="445">
        <f>IF(ISBLANK(INDEX(WORLDCUP!$AC$4:$AC$147,MATCH(M45,WORLDCUP!$AH$4:$AH$147,0))),"",INDEX(WORLDCUP!$AC$4:$AC$147,MATCH(M45,WORLDCUP!$AH$4:$AH$147,0)))</f>
        <v>1</v>
      </c>
      <c r="Q45" s="445">
        <f>IF(ISBLANK(INDEX(WORLDCUP!$AD$4:$AD$147,MATCH(M45,WORLDCUP!$AH$4:$AH$147,0))),"",INDEX(WORLDCUP!$AD$4:$AD$147,MATCH(M45,WORLDCUP!$AH$4:$AH$147,0)))</f>
        <v>1</v>
      </c>
      <c r="R45" s="446" t="str">
        <f ca="1">+MID(INDEX(WORLDCUP!$AF$4:$AF$147,MATCH(M45,WORLDCUP!$AH$4:$AH$147,0)),1,3)</f>
        <v>Gha</v>
      </c>
      <c r="S45" s="467">
        <v>2</v>
      </c>
      <c r="T45" s="468" t="str">
        <f ca="1">+MID(INDEX(WORLDCUP!$AL$6:$AL$97,MATCH(X45,WORLDCUP!$AI$6:$AI$97,0)),1,3)</f>
        <v>Gha</v>
      </c>
      <c r="U45" s="38">
        <f ca="1">+INDEX(WORLDCUP!$AM$6:$AM$97,MATCH(X45,WORLDCUP!$AI$6:$AI$97,0))</f>
        <v>7</v>
      </c>
      <c r="V45" s="39">
        <f ca="1">+INDEX(WORLDCUP!$AT$6:$AT$97,MATCH(X45,WORLDCUP!$AI$6:$AI$97,0))</f>
        <v>3</v>
      </c>
      <c r="W45" s="43" t="str">
        <f ca="1">+INDEX(WORLDCUP!$AR$6:$AR$97,MATCH(X45,WORLDCUP!$AI$6:$AI$97,0))&amp;"-"&amp;INDEX(WORLDCUP!$AS$6:$AS$97,MATCH(X45,WORLDCUP!$AI$6:$AI$97,0))</f>
        <v>5-2</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0</v>
      </c>
      <c r="F46" s="446" t="str">
        <f ca="1">+MID(INDEX(WORLDCUP!$AF$4:$AF$147,MATCH(A46,WORLDCUP!$AH$4:$AH$147,0)),1,3)</f>
        <v>Jap</v>
      </c>
      <c r="G46" s="467">
        <v>3</v>
      </c>
      <c r="H46" s="468" t="str">
        <f ca="1">+MID(INDEX(WORLDCUP!$AL$6:$AL$97,MATCH(L46,WORLDCUP!$AI$6:$AI$97,0)),1,3)</f>
        <v>Sue</v>
      </c>
      <c r="I46" s="38">
        <f ca="1">+INDEX(WORLDCUP!$AM$6:$AM$97,MATCH(L46,WORLDCUP!$AI$6:$AI$97,0))</f>
        <v>3</v>
      </c>
      <c r="J46" s="39">
        <f ca="1">+INDEX(WORLDCUP!$AT$6:$AT$97,MATCH(L46,WORLDCUP!$AI$6:$AI$97,0))</f>
        <v>-2</v>
      </c>
      <c r="K46" s="43" t="str">
        <f ca="1">+INDEX(WORLDCUP!$AR$6:$AR$97,MATCH(L46,WORLDCUP!$AI$6:$AI$97,0))&amp;"-"&amp;INDEX(WORLDCUP!$AS$6:$AS$97,MATCH(L46,WORLDCUP!$AI$6:$AI$97,0))</f>
        <v>3-5</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Cro</v>
      </c>
      <c r="U46" s="38">
        <f ca="1">+INDEX(WORLDCUP!$AM$6:$AM$97,MATCH(X46,WORLDCUP!$AI$6:$AI$97,0))</f>
        <v>3</v>
      </c>
      <c r="V46" s="39">
        <f ca="1">+INDEX(WORLDCUP!$AT$6:$AT$97,MATCH(X46,WORLDCUP!$AI$6:$AI$97,0))</f>
        <v>0</v>
      </c>
      <c r="W46" s="43" t="str">
        <f ca="1">+INDEX(WORLDCUP!$AR$6:$AR$97,MATCH(X46,WORLDCUP!$AI$6:$AI$97,0))&amp;"-"&amp;INDEX(WORLDCUP!$AS$6:$AS$97,MATCH(X46,WORLDCUP!$AI$6:$AI$97,0))</f>
        <v>3-3</v>
      </c>
      <c r="X46" s="181" t="s">
        <v>453</v>
      </c>
      <c r="Y46" s="181">
        <v>85</v>
      </c>
      <c r="Z46" s="425" t="s">
        <v>739</v>
      </c>
      <c r="AA46" s="426" t="str">
        <f ca="1">+MID(INDEX(WORLDCUP!$AF$101:$AF$147,MATCH(Y46,WORLDCUP!$Z$101:$Z$147,0)),1,IF(WORLDCUP!$H$113&lt;144,6,3))</f>
        <v>Nue</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2</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3</v>
      </c>
      <c r="J47" s="478">
        <f ca="1">+INDEX(WORLDCUP!$AT$6:$AT$97,MATCH(L47,WORLDCUP!$AI$6:$AI$97,0))</f>
        <v>-2</v>
      </c>
      <c r="K47" s="479" t="str">
        <f ca="1">+INDEX(WORLDCUP!$AR$6:$AR$97,MATCH(L47,WORLDCUP!$AI$6:$AI$97,0))&amp;"-"&amp;INDEX(WORLDCUP!$AS$6:$AS$97,MATCH(L47,WORLDCUP!$AI$6:$AI$97,0))</f>
        <v>2-4</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-7</v>
      </c>
      <c r="W47" s="479" t="str">
        <f ca="1">+INDEX(WORLDCUP!$AR$6:$AR$97,MATCH(X47,WORLDCUP!$AI$6:$AI$97,0))&amp;"-"&amp;INDEX(WORLDCUP!$AS$6:$AS$97,MATCH(X47,WORLDCUP!$AI$6:$AI$97,0))</f>
        <v>0-7</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3</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1</v>
      </c>
      <c r="Q48" s="488">
        <f>IF(ISBLANK(INDEX(WORLDCUP!$AD$4:$AD$147,MATCH(M48,WORLDCUP!$AH$4:$AH$147,0))),"",INDEX(WORLDCUP!$AD$4:$AD$147,MATCH(M48,WORLDCUP!$AH$4:$AH$147,0)))</f>
        <v>2</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Cro</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1</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Nueva Zelanda</v>
      </c>
      <c r="I2" s="9" t="str">
        <f ca="1">+WORLDCUP!BD69</f>
        <v>Croacia</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Nueva Zelanda</v>
      </c>
      <c r="E3" s="9" t="str">
        <f ca="1">+WORLDCUP!BD66</f>
        <v>Senegal</v>
      </c>
      <c r="F3" s="9" t="str">
        <f ca="1">+WORLDCUP!BD61</f>
        <v>Paraguay</v>
      </c>
      <c r="G3" s="9" t="str">
        <f ca="1">+WORLDCUP!BD67</f>
        <v>Argelia</v>
      </c>
      <c r="H3" s="9" t="str">
        <f ca="1">+WORLDCUP!BD63</f>
        <v>Suecia</v>
      </c>
      <c r="I3" s="9" t="str">
        <f ca="1">+WORLDCUP!BD69</f>
        <v>Croacia</v>
      </c>
      <c r="J3" s="9" t="str">
        <f ca="1">+WORLDCUP!BD68</f>
        <v>Uzbekistán</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Nueva Zelanda</v>
      </c>
      <c r="I4" s="9" t="str">
        <f ca="1">+WORLDCUP!BD69</f>
        <v>Croacia</v>
      </c>
      <c r="J4" s="9" t="str">
        <f ca="1">+WORLDCUP!BD68</f>
        <v>Uzbekistán</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Suecia</v>
      </c>
      <c r="I5" s="9" t="str">
        <f ca="1">+WORLDCUP!BD69</f>
        <v>Croacia</v>
      </c>
      <c r="J5" s="9" t="str">
        <f ca="1">+WORLDCUP!BD68</f>
        <v>Uzbekistán</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Nueva Zelanda</v>
      </c>
      <c r="E6" s="9" t="str">
        <f ca="1">+WORLDCUP!BD66</f>
        <v>Senegal</v>
      </c>
      <c r="F6" s="9" t="str">
        <f ca="1">+WORLDCUP!BD61</f>
        <v>Paraguay</v>
      </c>
      <c r="G6" s="9" t="str">
        <f ca="1">+WORLDCUP!BD67</f>
        <v>Argelia</v>
      </c>
      <c r="H6" s="9" t="str">
        <f ca="1">+WORLDCUP!BD63</f>
        <v>Suecia</v>
      </c>
      <c r="I6" s="9" t="str">
        <f ca="1">+WORLDCUP!BD69</f>
        <v>Croacia</v>
      </c>
      <c r="J6" s="9" t="str">
        <f ca="1">+WORLDCUP!BD68</f>
        <v>Uzbekistán</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Nueva Zelanda</v>
      </c>
      <c r="E7" s="9" t="str">
        <f ca="1">+WORLDCUP!BD67</f>
        <v>Argelia</v>
      </c>
      <c r="F7" s="9" t="str">
        <f ca="1">+WORLDCUP!BD61</f>
        <v>Paraguay</v>
      </c>
      <c r="G7" s="9" t="str">
        <f ca="1">+WORLDCUP!BD65</f>
        <v>Arabia Saudita</v>
      </c>
      <c r="H7" s="9" t="str">
        <f ca="1">+WORLDCUP!BD63</f>
        <v>Suecia</v>
      </c>
      <c r="I7" s="9" t="str">
        <f ca="1">+WORLDCUP!BD69</f>
        <v>Croacia</v>
      </c>
      <c r="J7" s="9" t="str">
        <f ca="1">+WORLDCUP!BD68</f>
        <v>Uzbekistán</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Nueva Zelanda</v>
      </c>
      <c r="E8" s="9" t="str">
        <f ca="1">+WORLDCUP!BD66</f>
        <v>Senegal</v>
      </c>
      <c r="F8" s="9" t="str">
        <f ca="1">+WORLDCUP!BD61</f>
        <v>Paraguay</v>
      </c>
      <c r="G8" s="9" t="str">
        <f ca="1">+WORLDCUP!BD65</f>
        <v>Arabia Saudita</v>
      </c>
      <c r="H8" s="9" t="str">
        <f ca="1">+WORLDCUP!BD63</f>
        <v>Suecia</v>
      </c>
      <c r="I8" s="9" t="str">
        <f ca="1">+WORLDCUP!BD69</f>
        <v>Croacia</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Nueva Zelanda</v>
      </c>
      <c r="E9" s="9" t="str">
        <f ca="1">+WORLDCUP!BD67</f>
        <v>Argelia</v>
      </c>
      <c r="F9" s="9" t="str">
        <f ca="1">+WORLDCUP!BD61</f>
        <v>Paraguay</v>
      </c>
      <c r="G9" s="9" t="str">
        <f ca="1">+WORLDCUP!BD65</f>
        <v>Arabia Saudita</v>
      </c>
      <c r="H9" s="9" t="str">
        <f ca="1">+WORLDCUP!BD63</f>
        <v>Suecia</v>
      </c>
      <c r="I9" s="9" t="str">
        <f ca="1">+WORLDCUP!BD69</f>
        <v>Croacia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Nueva Zelanda</v>
      </c>
      <c r="E10" s="9" t="str">
        <f ca="1">+WORLDCUP!BD67</f>
        <v>Argelia</v>
      </c>
      <c r="F10" s="9" t="str">
        <f ca="1">+WORLDCUP!BD61</f>
        <v>Paraguay</v>
      </c>
      <c r="G10" s="9" t="str">
        <f ca="1">+WORLDCUP!BD65</f>
        <v>Arabia Saudita</v>
      </c>
      <c r="H10" s="9" t="str">
        <f ca="1">+WORLDCUP!BD63</f>
        <v>Suecia</v>
      </c>
      <c r="I10" s="9" t="str">
        <f ca="1">+WORLDCUP!BD66</f>
        <v>Senegal</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Nueva Zelanda</v>
      </c>
      <c r="E11" s="9" t="str">
        <f ca="1">+WORLDCUP!BD66</f>
        <v>Senegal</v>
      </c>
      <c r="F11" s="9" t="str">
        <f ca="1">+WORLDCUP!BD60</f>
        <v>Escocia</v>
      </c>
      <c r="G11" s="9" t="str">
        <f ca="1">+WORLDCUP!BD67</f>
        <v>Argelia</v>
      </c>
      <c r="H11" s="9" t="str">
        <f ca="1">+WORLDCUP!BD63</f>
        <v>Suecia</v>
      </c>
      <c r="I11" s="9" t="str">
        <f ca="1">+WORLDCUP!BD69</f>
        <v>Croacia</v>
      </c>
      <c r="J11" s="9" t="str">
        <f ca="1">+WORLDCUP!BD68</f>
        <v>Uzbekistán</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Nueva Zelanda</v>
      </c>
      <c r="I12" s="9" t="str">
        <f ca="1">+WORLDCUP!BD69</f>
        <v>Croacia</v>
      </c>
      <c r="J12" s="9" t="str">
        <f ca="1">+WORLDCUP!BD68</f>
        <v>Uzbekistán</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Croacia</v>
      </c>
      <c r="J13" s="9" t="str">
        <f ca="1">+WORLDCUP!BD68</f>
        <v>Uzbekistán</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Nueva Zelanda</v>
      </c>
      <c r="E14" s="9" t="str">
        <f ca="1">+WORLDCUP!BD66</f>
        <v>Senegal</v>
      </c>
      <c r="F14" s="9" t="str">
        <f ca="1">+WORLDCUP!BD60</f>
        <v>Escocia</v>
      </c>
      <c r="G14" s="9" t="str">
        <f ca="1">+WORLDCUP!BD67</f>
        <v>Argelia</v>
      </c>
      <c r="H14" s="9" t="str">
        <f ca="1">+WORLDCUP!BD63</f>
        <v>Suecia</v>
      </c>
      <c r="I14" s="9" t="str">
        <f ca="1">+WORLDCUP!BD69</f>
        <v>Croacia</v>
      </c>
      <c r="J14" s="9" t="str">
        <f ca="1">+WORLDCUP!BD68</f>
        <v>Uzbekistán</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Nueva Zelanda</v>
      </c>
      <c r="E15" s="9" t="str">
        <f ca="1">+WORLDCUP!BD67</f>
        <v>Argelia</v>
      </c>
      <c r="F15" s="9" t="str">
        <f ca="1">+WORLDCUP!BD60</f>
        <v>Escocia</v>
      </c>
      <c r="G15" s="9" t="str">
        <f ca="1">+WORLDCUP!BD65</f>
        <v>Arabia Saudita</v>
      </c>
      <c r="H15" s="9" t="str">
        <f ca="1">+WORLDCUP!BD63</f>
        <v>Suecia</v>
      </c>
      <c r="I15" s="9" t="str">
        <f ca="1">+WORLDCUP!BD69</f>
        <v>Croacia</v>
      </c>
      <c r="J15" s="9" t="str">
        <f ca="1">+WORLDCUP!BD68</f>
        <v>Uzbekistán</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Nueva Zelanda</v>
      </c>
      <c r="E16" s="9" t="str">
        <f ca="1">+WORLDCUP!BD66</f>
        <v>Senegal</v>
      </c>
      <c r="F16" s="9" t="str">
        <f ca="1">+WORLDCUP!BD60</f>
        <v>Escocia</v>
      </c>
      <c r="G16" s="9" t="str">
        <f ca="1">+WORLDCUP!BD65</f>
        <v>Arabia Saudita</v>
      </c>
      <c r="H16" s="9" t="str">
        <f ca="1">+WORLDCUP!BD63</f>
        <v>Suecia</v>
      </c>
      <c r="I16" s="9" t="str">
        <f ca="1">+WORLDCUP!BD69</f>
        <v>Croacia</v>
      </c>
      <c r="J16" s="9" t="str">
        <f ca="1">+WORLDCUP!BD68</f>
        <v>Uzbekistán</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Nueva Zelanda</v>
      </c>
      <c r="E17" s="9" t="str">
        <f ca="1">+WORLDCUP!BD67</f>
        <v>Argelia</v>
      </c>
      <c r="F17" s="9" t="str">
        <f ca="1">+WORLDCUP!BD60</f>
        <v>Escocia</v>
      </c>
      <c r="G17" s="9" t="str">
        <f ca="1">+WORLDCUP!BD65</f>
        <v>Arabia Saudita</v>
      </c>
      <c r="H17" s="9" t="str">
        <f ca="1">+WORLDCUP!BD63</f>
        <v>Suecia</v>
      </c>
      <c r="I17" s="9" t="str">
        <f ca="1">+WORLDCUP!BD69</f>
        <v>Croacia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Nueva Zelanda</v>
      </c>
      <c r="E18" s="9" t="str">
        <f ca="1">+WORLDCUP!BD67</f>
        <v>Argelia</v>
      </c>
      <c r="F18" s="9" t="str">
        <f ca="1">+WORLDCUP!BD60</f>
        <v>Escocia</v>
      </c>
      <c r="G18" s="9" t="str">
        <f ca="1">+WORLDCUP!BD65</f>
        <v>Arabia Saudita</v>
      </c>
      <c r="H18" s="9" t="str">
        <f ca="1">+WORLDCUP!BD63</f>
        <v>Suecia</v>
      </c>
      <c r="I18" s="9" t="str">
        <f ca="1">+WORLDCUP!BD66</f>
        <v>Senegal</v>
      </c>
      <c r="J18" s="9" t="str">
        <f ca="1">+WORLDCUP!BD68</f>
        <v>Uzbekistán</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Nueva Zelanda</v>
      </c>
      <c r="E19" s="9" t="str">
        <f ca="1">+WORLDCUP!BD66</f>
        <v>Senegal</v>
      </c>
      <c r="F19" s="9" t="str">
        <f ca="1">+WORLDCUP!BD60</f>
        <v>Escocia</v>
      </c>
      <c r="G19" s="9" t="str">
        <f ca="1">+WORLDCUP!BD67</f>
        <v>Argelia</v>
      </c>
      <c r="H19" s="9" t="str">
        <f ca="1">+WORLDCUP!BD61</f>
        <v>Paraguay</v>
      </c>
      <c r="I19" s="9" t="str">
        <f ca="1">+WORLDCUP!BD69</f>
        <v>Croacia</v>
      </c>
      <c r="J19" s="9" t="str">
        <f ca="1">+WORLDCUP!BD68</f>
        <v>Uzbekistán</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Croacia</v>
      </c>
      <c r="J20" s="9" t="str">
        <f ca="1">+WORLDCUP!BD68</f>
        <v>Uzbekistán</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Nueva Zelanda</v>
      </c>
      <c r="E21" s="9" t="str">
        <f ca="1">+WORLDCUP!BD66</f>
        <v>Senegal</v>
      </c>
      <c r="F21" s="9" t="str">
        <f ca="1">+WORLDCUP!BD61</f>
        <v>Paraguay</v>
      </c>
      <c r="G21" s="9" t="str">
        <f ca="1">+WORLDCUP!BD67</f>
        <v>Argelia</v>
      </c>
      <c r="H21" s="9" t="str">
        <f ca="1">+WORLDCUP!BD63</f>
        <v>Suecia</v>
      </c>
      <c r="I21" s="9" t="str">
        <f ca="1">+WORLDCUP!BD69</f>
        <v>Croacia</v>
      </c>
      <c r="J21" s="9" t="str">
        <f ca="1">+WORLDCUP!BD68</f>
        <v>Uzbekistán</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Nueva Zelanda</v>
      </c>
      <c r="E22" s="9" t="str">
        <f ca="1">+WORLDCUP!BD67</f>
        <v>Argelia</v>
      </c>
      <c r="F22" s="9" t="str">
        <f ca="1">+WORLDCUP!BD61</f>
        <v>Paraguay</v>
      </c>
      <c r="G22" s="9" t="str">
        <f ca="1">+WORLDCUP!BD65</f>
        <v>Arabia Saudita</v>
      </c>
      <c r="H22" s="9" t="str">
        <f ca="1">+WORLDCUP!BD63</f>
        <v>Suecia</v>
      </c>
      <c r="I22" s="9" t="str">
        <f ca="1">+WORLDCUP!BD69</f>
        <v>Croacia</v>
      </c>
      <c r="J22" s="9" t="str">
        <f ca="1">+WORLDCUP!BD68</f>
        <v>Uzbekistán</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Nueva Zelanda</v>
      </c>
      <c r="E23" s="9" t="str">
        <f ca="1">+WORLDCUP!BD66</f>
        <v>Senegal</v>
      </c>
      <c r="F23" s="9" t="str">
        <f ca="1">+WORLDCUP!BD61</f>
        <v>Paraguay</v>
      </c>
      <c r="G23" s="9" t="str">
        <f ca="1">+WORLDCUP!BD65</f>
        <v>Arabia Saudita</v>
      </c>
      <c r="H23" s="9" t="str">
        <f ca="1">+WORLDCUP!BD63</f>
        <v>Suecia</v>
      </c>
      <c r="I23" s="9" t="str">
        <f ca="1">+WORLDCUP!BD69</f>
        <v>Croacia</v>
      </c>
      <c r="J23" s="9" t="str">
        <f ca="1">+WORLDCUP!BD68</f>
        <v>Uzbekistán</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Nueva Zelanda</v>
      </c>
      <c r="E24" s="9" t="str">
        <f ca="1">+WORLDCUP!BD67</f>
        <v>Argelia</v>
      </c>
      <c r="F24" s="9" t="str">
        <f ca="1">+WORLDCUP!BD61</f>
        <v>Paraguay</v>
      </c>
      <c r="G24" s="9" t="str">
        <f ca="1">+WORLDCUP!BD65</f>
        <v>Arabia Saudita</v>
      </c>
      <c r="H24" s="9" t="str">
        <f ca="1">+WORLDCUP!BD63</f>
        <v>Suecia</v>
      </c>
      <c r="I24" s="9" t="str">
        <f ca="1">+WORLDCUP!BD69</f>
        <v>Croacia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Nueva Zelanda</v>
      </c>
      <c r="E25" s="9" t="str">
        <f ca="1">+WORLDCUP!BD67</f>
        <v>Argelia</v>
      </c>
      <c r="F25" s="9" t="str">
        <f ca="1">+WORLDCUP!BD61</f>
        <v>Paraguay</v>
      </c>
      <c r="G25" s="9" t="str">
        <f ca="1">+WORLDCUP!BD65</f>
        <v>Arabia Saudita</v>
      </c>
      <c r="H25" s="9" t="str">
        <f ca="1">+WORLDCUP!BD63</f>
        <v>Suecia</v>
      </c>
      <c r="I25" s="9" t="str">
        <f ca="1">+WORLDCUP!BD66</f>
        <v>Senegal</v>
      </c>
      <c r="J25" s="9" t="str">
        <f ca="1">+WORLDCUP!BD68</f>
        <v>Uzbekistán</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Croacia</v>
      </c>
      <c r="J26" s="9" t="str">
        <f ca="1">+WORLDCUP!BD68</f>
        <v>Uzbekistán</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Nueva Zelanda</v>
      </c>
      <c r="E27" s="9" t="str">
        <f ca="1">+WORLDCUP!BD66</f>
        <v>Senegal</v>
      </c>
      <c r="F27" s="9" t="str">
        <f ca="1">+WORLDCUP!BD60</f>
        <v>Escocia</v>
      </c>
      <c r="G27" s="9" t="str">
        <f ca="1">+WORLDCUP!BD67</f>
        <v>Argelia</v>
      </c>
      <c r="H27" s="9" t="str">
        <f ca="1">+WORLDCUP!BD61</f>
        <v>Paraguay</v>
      </c>
      <c r="I27" s="9" t="str">
        <f ca="1">+WORLDCUP!BD69</f>
        <v>Croacia</v>
      </c>
      <c r="J27" s="9" t="str">
        <f ca="1">+WORLDCUP!BD68</f>
        <v>Uzbekistán</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Nueva Zelanda</v>
      </c>
      <c r="E28" s="9" t="str">
        <f ca="1">+WORLDCUP!BD67</f>
        <v>Argelia</v>
      </c>
      <c r="F28" s="9" t="str">
        <f ca="1">+WORLDCUP!BD60</f>
        <v>Escocia</v>
      </c>
      <c r="G28" s="9" t="str">
        <f ca="1">+WORLDCUP!BD65</f>
        <v>Arabia Saudita</v>
      </c>
      <c r="H28" s="9" t="str">
        <f ca="1">+WORLDCUP!BD61</f>
        <v>Paraguay</v>
      </c>
      <c r="I28" s="9" t="str">
        <f ca="1">+WORLDCUP!BD69</f>
        <v>Croacia</v>
      </c>
      <c r="J28" s="9" t="str">
        <f ca="1">+WORLDCUP!BD68</f>
        <v>Uzbekistán</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Nueva Zelanda</v>
      </c>
      <c r="E29" s="9" t="str">
        <f ca="1">+WORLDCUP!BD66</f>
        <v>Senegal</v>
      </c>
      <c r="F29" s="9" t="str">
        <f ca="1">+WORLDCUP!BD60</f>
        <v>Escocia</v>
      </c>
      <c r="G29" s="9" t="str">
        <f ca="1">+WORLDCUP!BD65</f>
        <v>Arabia Saudita</v>
      </c>
      <c r="H29" s="9" t="str">
        <f ca="1">+WORLDCUP!BD61</f>
        <v>Paraguay</v>
      </c>
      <c r="I29" s="9" t="str">
        <f ca="1">+WORLDCUP!BD69</f>
        <v>Croacia</v>
      </c>
      <c r="J29" s="9" t="str">
        <f ca="1">+WORLDCUP!BD68</f>
        <v>Uzbekistán</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Nueva Zelanda</v>
      </c>
      <c r="E30" s="9" t="str">
        <f ca="1">+WORLDCUP!BD67</f>
        <v>Argelia</v>
      </c>
      <c r="F30" s="9" t="str">
        <f ca="1">+WORLDCUP!BD60</f>
        <v>Escocia</v>
      </c>
      <c r="G30" s="9" t="str">
        <f ca="1">+WORLDCUP!BD65</f>
        <v>Arabia Saudita</v>
      </c>
      <c r="H30" s="9" t="str">
        <f ca="1">+WORLDCUP!BD61</f>
        <v>Paraguay</v>
      </c>
      <c r="I30" s="9" t="str">
        <f ca="1">+WORLDCUP!BD69</f>
        <v>Croacia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Nueva Zelanda</v>
      </c>
      <c r="E31" s="9" t="str">
        <f ca="1">+WORLDCUP!BD67</f>
        <v>Argelia</v>
      </c>
      <c r="F31" s="9" t="str">
        <f ca="1">+WORLDCUP!BD60</f>
        <v>Escocia</v>
      </c>
      <c r="G31" s="9" t="str">
        <f ca="1">+WORLDCUP!BD65</f>
        <v>Arabia Saudita</v>
      </c>
      <c r="H31" s="9" t="str">
        <f ca="1">+WORLDCUP!BD61</f>
        <v>Paraguay</v>
      </c>
      <c r="I31" s="9" t="str">
        <f ca="1">+WORLDCUP!BD66</f>
        <v>Senegal</v>
      </c>
      <c r="J31" s="9" t="str">
        <f ca="1">+WORLDCUP!BD68</f>
        <v>Uzbekistán</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Suecia</v>
      </c>
      <c r="I32" s="9" t="str">
        <f ca="1">+WORLDCUP!BD69</f>
        <v>Croacia</v>
      </c>
      <c r="J32" s="9" t="str">
        <f ca="1">+WORLDCUP!BD68</f>
        <v>Uzbekistán</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Suecia</v>
      </c>
      <c r="I33" s="9" t="str">
        <f ca="1">+WORLDCUP!BD69</f>
        <v>Croacia</v>
      </c>
      <c r="J33" s="9" t="str">
        <f ca="1">+WORLDCUP!BD68</f>
        <v>Uzbekistán</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Croacia</v>
      </c>
      <c r="J34" s="9" t="str">
        <f ca="1">+WORLDCUP!BD68</f>
        <v>Uzbekistán</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Suecia</v>
      </c>
      <c r="I35" s="9" t="str">
        <f ca="1">+WORLDCUP!BD69</f>
        <v>Croacia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Uzbekistán</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Nueva Zelanda</v>
      </c>
      <c r="E37" s="9" t="str">
        <f ca="1">+WORLDCUP!BD62</f>
        <v>Costa de Marfil</v>
      </c>
      <c r="F37" s="9" t="str">
        <f ca="1">+WORLDCUP!BD61</f>
        <v>Paraguay</v>
      </c>
      <c r="G37" s="9" t="str">
        <f ca="1">+WORLDCUP!BD67</f>
        <v>Argelia</v>
      </c>
      <c r="H37" s="9" t="str">
        <f ca="1">+WORLDCUP!BD63</f>
        <v>Suecia</v>
      </c>
      <c r="I37" s="9" t="str">
        <f ca="1">+WORLDCUP!BD69</f>
        <v>Croacia</v>
      </c>
      <c r="J37" s="9" t="str">
        <f ca="1">+WORLDCUP!BD68</f>
        <v>Uzbekistán</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Nueva Zelanda</v>
      </c>
      <c r="E38" s="9" t="str">
        <f ca="1">+WORLDCUP!BD62</f>
        <v>Costa de Marfil</v>
      </c>
      <c r="F38" s="9" t="str">
        <f ca="1">+WORLDCUP!BD61</f>
        <v>Paraguay</v>
      </c>
      <c r="G38" s="9" t="str">
        <f ca="1">+WORLDCUP!BD66</f>
        <v>Senegal</v>
      </c>
      <c r="H38" s="9" t="str">
        <f ca="1">+WORLDCUP!BD63</f>
        <v>Suecia</v>
      </c>
      <c r="I38" s="9" t="str">
        <f ca="1">+WORLDCUP!BD69</f>
        <v>Croacia</v>
      </c>
      <c r="J38" s="9" t="str">
        <f ca="1">+WORLDCUP!BD68</f>
        <v>Uzbekistán</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Nueva Zelanda</v>
      </c>
      <c r="E39" s="9" t="str">
        <f ca="1">+WORLDCUP!BD62</f>
        <v>Costa de Marfil</v>
      </c>
      <c r="F39" s="9" t="str">
        <f ca="1">+WORLDCUP!BD61</f>
        <v>Paraguay</v>
      </c>
      <c r="G39" s="9" t="str">
        <f ca="1">+WORLDCUP!BD67</f>
        <v>Argelia</v>
      </c>
      <c r="H39" s="9" t="str">
        <f ca="1">+WORLDCUP!BD63</f>
        <v>Suecia</v>
      </c>
      <c r="I39" s="9" t="str">
        <f ca="1">+WORLDCUP!BD69</f>
        <v>Croacia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Nueva Zelanda</v>
      </c>
      <c r="E40" s="9" t="str">
        <f ca="1">+WORLDCUP!BD62</f>
        <v>Costa de Marfil</v>
      </c>
      <c r="F40" s="9" t="str">
        <f ca="1">+WORLDCUP!BD61</f>
        <v>Paraguay</v>
      </c>
      <c r="G40" s="9" t="str">
        <f ca="1">+WORLDCUP!BD67</f>
        <v>Argelia</v>
      </c>
      <c r="H40" s="9" t="str">
        <f ca="1">+WORLDCUP!BD63</f>
        <v>Suecia</v>
      </c>
      <c r="I40" s="9" t="str">
        <f ca="1">+WORLDCUP!BD66</f>
        <v>Senegal</v>
      </c>
      <c r="J40" s="9" t="str">
        <f ca="1">+WORLDCUP!BD68</f>
        <v>Uzbekistán</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Nueva Zelanda</v>
      </c>
      <c r="E41" s="9" t="str">
        <f ca="1">+WORLDCUP!BD62</f>
        <v>Costa de Marfil</v>
      </c>
      <c r="F41" s="9" t="str">
        <f ca="1">+WORLDCUP!BD61</f>
        <v>Paraguay</v>
      </c>
      <c r="G41" s="9" t="str">
        <f ca="1">+WORLDCUP!BD65</f>
        <v>Arabia Saudita</v>
      </c>
      <c r="H41" s="9" t="str">
        <f ca="1">+WORLDCUP!BD63</f>
        <v>Suecia</v>
      </c>
      <c r="I41" s="9" t="str">
        <f ca="1">+WORLDCUP!BD69</f>
        <v>Croacia</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Nueva Zelanda</v>
      </c>
      <c r="E42" s="9" t="str">
        <f ca="1">+WORLDCUP!BD67</f>
        <v>Argelia</v>
      </c>
      <c r="F42" s="9" t="str">
        <f ca="1">+WORLDCUP!BD61</f>
        <v>Paraguay</v>
      </c>
      <c r="G42" s="9" t="str">
        <f ca="1">+WORLDCUP!BD65</f>
        <v>Arabia Saudita</v>
      </c>
      <c r="H42" s="9" t="str">
        <f ca="1">+WORLDCUP!BD63</f>
        <v>Suecia</v>
      </c>
      <c r="I42" s="9" t="str">
        <f ca="1">+WORLDCUP!BD69</f>
        <v>Croacia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Nueva Zelanda</v>
      </c>
      <c r="E43" s="9" t="str">
        <f ca="1">+WORLDCUP!BD67</f>
        <v>Argelia</v>
      </c>
      <c r="F43" s="9" t="str">
        <f ca="1">+WORLDCUP!BD61</f>
        <v>Paraguay</v>
      </c>
      <c r="G43" s="9" t="str">
        <f ca="1">+WORLDCUP!BD65</f>
        <v>Arabia Saudita</v>
      </c>
      <c r="H43" s="9" t="str">
        <f ca="1">+WORLDCUP!BD63</f>
        <v>Suecia</v>
      </c>
      <c r="I43" s="9" t="str">
        <f ca="1">+WORLDCUP!BD62</f>
        <v>Costa de Marfil</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Nueva Zelanda</v>
      </c>
      <c r="E44" s="9" t="str">
        <f ca="1">+WORLDCUP!BD62</f>
        <v>Costa de Marfil</v>
      </c>
      <c r="F44" s="9" t="str">
        <f ca="1">+WORLDCUP!BD61</f>
        <v>Paraguay</v>
      </c>
      <c r="G44" s="9" t="str">
        <f ca="1">+WORLDCUP!BD65</f>
        <v>Arabia Saudita</v>
      </c>
      <c r="H44" s="9" t="str">
        <f ca="1">+WORLDCUP!BD63</f>
        <v>Suecia</v>
      </c>
      <c r="I44" s="9" t="str">
        <f ca="1">+WORLDCUP!BD69</f>
        <v>Croacia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Nueva Zelanda</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Nueva Zelanda</v>
      </c>
      <c r="E46" s="9" t="str">
        <f ca="1">+WORLDCUP!BD67</f>
        <v>Argelia</v>
      </c>
      <c r="F46" s="9" t="str">
        <f ca="1">+WORLDCUP!BD61</f>
        <v>Paraguay</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Argelia</v>
      </c>
      <c r="E47" s="9" t="str">
        <f ca="1">+WORLDCUP!BD59</f>
        <v>Catar</v>
      </c>
      <c r="F47" s="9" t="str">
        <f ca="1">+WORLDCUP!BD63</f>
        <v>Suecia</v>
      </c>
      <c r="G47" s="9" t="str">
        <f ca="1">+WORLDCUP!BD66</f>
        <v>Senegal</v>
      </c>
      <c r="H47" s="9" t="str">
        <f ca="1">+WORLDCUP!BD64</f>
        <v>Nueva Zelanda</v>
      </c>
      <c r="I47" s="9" t="str">
        <f ca="1">+WORLDCUP!BD69</f>
        <v>Croacia</v>
      </c>
      <c r="J47" s="9" t="str">
        <f ca="1">+WORLDCUP!BD68</f>
        <v>Uzbekistán</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Argelia</v>
      </c>
      <c r="E48" s="9" t="str">
        <f ca="1">+WORLDCUP!BD66</f>
        <v>Senegal</v>
      </c>
      <c r="F48" s="9" t="str">
        <f ca="1">+WORLDCUP!BD59</f>
        <v>Catar</v>
      </c>
      <c r="G48" s="9" t="str">
        <f ca="1">+WORLDCUP!BD65</f>
        <v>Arabia Saudita</v>
      </c>
      <c r="H48" s="9" t="str">
        <f ca="1">+WORLDCUP!BD64</f>
        <v>Nueva Zelanda</v>
      </c>
      <c r="I48" s="9" t="str">
        <f ca="1">+WORLDCUP!BD69</f>
        <v>Croacia</v>
      </c>
      <c r="J48" s="9" t="str">
        <f ca="1">+WORLDCUP!BD68</f>
        <v>Uzbekistán</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Argelia</v>
      </c>
      <c r="E49" s="9" t="str">
        <f ca="1">+WORLDCUP!BD59</f>
        <v>Catar</v>
      </c>
      <c r="F49" s="9" t="str">
        <f ca="1">+WORLDCUP!BD63</f>
        <v>Suecia</v>
      </c>
      <c r="G49" s="9" t="str">
        <f ca="1">+WORLDCUP!BD66</f>
        <v>Senegal</v>
      </c>
      <c r="H49" s="9" t="str">
        <f ca="1">+WORLDCUP!BD65</f>
        <v>Arabia Saudita</v>
      </c>
      <c r="I49" s="9" t="str">
        <f ca="1">+WORLDCUP!BD69</f>
        <v>Croacia</v>
      </c>
      <c r="J49" s="9" t="str">
        <f ca="1">+WORLDCUP!BD68</f>
        <v>Uzbekistán</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Argelia</v>
      </c>
      <c r="E50" s="9" t="str">
        <f ca="1">+WORLDCUP!BD59</f>
        <v>Catar</v>
      </c>
      <c r="F50" s="9" t="str">
        <f ca="1">+WORLDCUP!BD63</f>
        <v>Suecia</v>
      </c>
      <c r="G50" s="9" t="str">
        <f ca="1">+WORLDCUP!BD66</f>
        <v>Senegal</v>
      </c>
      <c r="H50" s="9" t="str">
        <f ca="1">+WORLDCUP!BD64</f>
        <v>Nueva Zelanda</v>
      </c>
      <c r="I50" s="9" t="str">
        <f ca="1">+WORLDCUP!BD69</f>
        <v>Croacia</v>
      </c>
      <c r="J50" s="9" t="str">
        <f ca="1">+WORLDCUP!BD68</f>
        <v>Uzbekistán</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Argelia</v>
      </c>
      <c r="E51" s="9" t="str">
        <f ca="1">+WORLDCUP!BD59</f>
        <v>Catar</v>
      </c>
      <c r="F51" s="9" t="str">
        <f ca="1">+WORLDCUP!BD63</f>
        <v>Suecia</v>
      </c>
      <c r="G51" s="9" t="str">
        <f ca="1">+WORLDCUP!BD65</f>
        <v>Arabia Saudita</v>
      </c>
      <c r="H51" s="9" t="str">
        <f ca="1">+WORLDCUP!BD64</f>
        <v>Nueva Zelanda</v>
      </c>
      <c r="I51" s="9" t="str">
        <f ca="1">+WORLDCUP!BD69</f>
        <v>Croacia</v>
      </c>
      <c r="J51" s="9" t="str">
        <f ca="1">+WORLDCUP!BD68</f>
        <v>Uzbekistán</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Nueva Zelanda</v>
      </c>
      <c r="E52" s="9" t="str">
        <f ca="1">+WORLDCUP!BD59</f>
        <v>Catar</v>
      </c>
      <c r="F52" s="9" t="str">
        <f ca="1">+WORLDCUP!BD63</f>
        <v>Suecia</v>
      </c>
      <c r="G52" s="9" t="str">
        <f ca="1">+WORLDCUP!BD66</f>
        <v>Senegal</v>
      </c>
      <c r="H52" s="9" t="str">
        <f ca="1">+WORLDCUP!BD65</f>
        <v>Arabia Saudita</v>
      </c>
      <c r="I52" s="9" t="str">
        <f ca="1">+WORLDCUP!BD69</f>
        <v>Croacia</v>
      </c>
      <c r="J52" s="9" t="str">
        <f ca="1">+WORLDCUP!BD68</f>
        <v>Uzbekistán</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Argelia</v>
      </c>
      <c r="E53" s="9" t="str">
        <f ca="1">+WORLDCUP!BD59</f>
        <v>Catar</v>
      </c>
      <c r="F53" s="9" t="str">
        <f ca="1">+WORLDCUP!BD63</f>
        <v>Suecia</v>
      </c>
      <c r="G53" s="9" t="str">
        <f ca="1">+WORLDCUP!BD65</f>
        <v>Arabia Saudita</v>
      </c>
      <c r="H53" s="9" t="str">
        <f ca="1">+WORLDCUP!BD64</f>
        <v>Nueva Zelanda</v>
      </c>
      <c r="I53" s="9" t="str">
        <f ca="1">+WORLDCUP!BD69</f>
        <v>Croacia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Argelia</v>
      </c>
      <c r="E54" s="9" t="str">
        <f ca="1">+WORLDCUP!BD59</f>
        <v>Catar</v>
      </c>
      <c r="F54" s="9" t="str">
        <f ca="1">+WORLDCUP!BD63</f>
        <v>Suecia</v>
      </c>
      <c r="G54" s="9" t="str">
        <f ca="1">+WORLDCUP!BD65</f>
        <v>Arabia Saudita</v>
      </c>
      <c r="H54" s="9" t="str">
        <f ca="1">+WORLDCUP!BD64</f>
        <v>Nueva Zelanda</v>
      </c>
      <c r="I54" s="9" t="str">
        <f ca="1">+WORLDCUP!BD66</f>
        <v>Senegal</v>
      </c>
      <c r="J54" s="9" t="str">
        <f ca="1">+WORLDCUP!BD68</f>
        <v>Uzbekistán</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Argelia</v>
      </c>
      <c r="E55" s="9" t="str">
        <f ca="1">+WORLDCUP!BD59</f>
        <v>Catar</v>
      </c>
      <c r="F55" s="9" t="str">
        <f ca="1">+WORLDCUP!BD61</f>
        <v>Paraguay</v>
      </c>
      <c r="G55" s="9" t="str">
        <f ca="1">+WORLDCUP!BD66</f>
        <v>Senegal</v>
      </c>
      <c r="H55" s="9" t="str">
        <f ca="1">+WORLDCUP!BD64</f>
        <v>Nueva Zelanda</v>
      </c>
      <c r="I55" s="9" t="str">
        <f ca="1">+WORLDCUP!BD69</f>
        <v>Croacia</v>
      </c>
      <c r="J55" s="9" t="str">
        <f ca="1">+WORLDCUP!BD68</f>
        <v>Uzbekistán</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Argelia</v>
      </c>
      <c r="E56" s="9" t="str">
        <f ca="1">+WORLDCUP!BD59</f>
        <v>Catar</v>
      </c>
      <c r="F56" s="9" t="str">
        <f ca="1">+WORLDCUP!BD61</f>
        <v>Paraguay</v>
      </c>
      <c r="G56" s="9" t="str">
        <f ca="1">+WORLDCUP!BD66</f>
        <v>Senegal</v>
      </c>
      <c r="H56" s="9" t="str">
        <f ca="1">+WORLDCUP!BD63</f>
        <v>Suecia</v>
      </c>
      <c r="I56" s="9" t="str">
        <f ca="1">+WORLDCUP!BD69</f>
        <v>Croacia</v>
      </c>
      <c r="J56" s="9" t="str">
        <f ca="1">+WORLDCUP!BD68</f>
        <v>Uzbekistán</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Nueva Zelanda</v>
      </c>
      <c r="E57" s="9" t="str">
        <f ca="1">+WORLDCUP!BD59</f>
        <v>Catar</v>
      </c>
      <c r="F57" s="9" t="str">
        <f ca="1">+WORLDCUP!BD61</f>
        <v>Paraguay</v>
      </c>
      <c r="G57" s="9" t="str">
        <f ca="1">+WORLDCUP!BD67</f>
        <v>Argelia</v>
      </c>
      <c r="H57" s="9" t="str">
        <f ca="1">+WORLDCUP!BD63</f>
        <v>Suecia</v>
      </c>
      <c r="I57" s="9" t="str">
        <f ca="1">+WORLDCUP!BD69</f>
        <v>Croacia</v>
      </c>
      <c r="J57" s="9" t="str">
        <f ca="1">+WORLDCUP!BD68</f>
        <v>Uzbekistán</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Nueva Zelanda</v>
      </c>
      <c r="E58" s="9" t="str">
        <f ca="1">+WORLDCUP!BD59</f>
        <v>Catar</v>
      </c>
      <c r="F58" s="9" t="str">
        <f ca="1">+WORLDCUP!BD61</f>
        <v>Paraguay</v>
      </c>
      <c r="G58" s="9" t="str">
        <f ca="1">+WORLDCUP!BD67</f>
        <v>Argelia</v>
      </c>
      <c r="H58" s="9" t="str">
        <f ca="1">+WORLDCUP!BD63</f>
        <v>Suecia</v>
      </c>
      <c r="I58" s="9" t="str">
        <f ca="1">+WORLDCUP!BD69</f>
        <v>Croacia</v>
      </c>
      <c r="J58" s="9" t="str">
        <f ca="1">+WORLDCUP!BD68</f>
        <v>Uzbekistán</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Nueva Zelanda</v>
      </c>
      <c r="E59" s="9" t="str">
        <f ca="1">+WORLDCUP!BD59</f>
        <v>Catar</v>
      </c>
      <c r="F59" s="9" t="str">
        <f ca="1">+WORLDCUP!BD61</f>
        <v>Paraguay</v>
      </c>
      <c r="G59" s="9" t="str">
        <f ca="1">+WORLDCUP!BD66</f>
        <v>Senegal</v>
      </c>
      <c r="H59" s="9" t="str">
        <f ca="1">+WORLDCUP!BD63</f>
        <v>Suecia</v>
      </c>
      <c r="I59" s="9" t="str">
        <f ca="1">+WORLDCUP!BD69</f>
        <v>Croacia</v>
      </c>
      <c r="J59" s="9" t="str">
        <f ca="1">+WORLDCUP!BD68</f>
        <v>Uzbekistán</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Nueva Zelanda</v>
      </c>
      <c r="E60" s="9" t="str">
        <f ca="1">+WORLDCUP!BD59</f>
        <v>Catar</v>
      </c>
      <c r="F60" s="9" t="str">
        <f ca="1">+WORLDCUP!BD61</f>
        <v>Paraguay</v>
      </c>
      <c r="G60" s="9" t="str">
        <f ca="1">+WORLDCUP!BD67</f>
        <v>Argelia</v>
      </c>
      <c r="H60" s="9" t="str">
        <f ca="1">+WORLDCUP!BD63</f>
        <v>Suecia</v>
      </c>
      <c r="I60" s="9" t="str">
        <f ca="1">+WORLDCUP!BD69</f>
        <v>Croacia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Nueva Zelanda</v>
      </c>
      <c r="E61" s="9" t="str">
        <f ca="1">+WORLDCUP!BD59</f>
        <v>Catar</v>
      </c>
      <c r="F61" s="9" t="str">
        <f ca="1">+WORLDCUP!BD61</f>
        <v>Paraguay</v>
      </c>
      <c r="G61" s="9" t="str">
        <f ca="1">+WORLDCUP!BD67</f>
        <v>Argelia</v>
      </c>
      <c r="H61" s="9" t="str">
        <f ca="1">+WORLDCUP!BD63</f>
        <v>Suecia</v>
      </c>
      <c r="I61" s="9" t="str">
        <f ca="1">+WORLDCUP!BD66</f>
        <v>Senegal</v>
      </c>
      <c r="J61" s="9" t="str">
        <f ca="1">+WORLDCUP!BD68</f>
        <v>Uzbekistán</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Argelia</v>
      </c>
      <c r="E62" s="9" t="str">
        <f ca="1">+WORLDCUP!BD59</f>
        <v>Catar</v>
      </c>
      <c r="F62" s="9" t="str">
        <f ca="1">+WORLDCUP!BD61</f>
        <v>Paraguay</v>
      </c>
      <c r="G62" s="9" t="str">
        <f ca="1">+WORLDCUP!BD66</f>
        <v>Senegal</v>
      </c>
      <c r="H62" s="9" t="str">
        <f ca="1">+WORLDCUP!BD65</f>
        <v>Arabia Saudita</v>
      </c>
      <c r="I62" s="9" t="str">
        <f ca="1">+WORLDCUP!BD69</f>
        <v>Croacia</v>
      </c>
      <c r="J62" s="9" t="str">
        <f ca="1">+WORLDCUP!BD68</f>
        <v>Uzbekistán</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Argelia</v>
      </c>
      <c r="E63" s="9" t="str">
        <f ca="1">+WORLDCUP!BD59</f>
        <v>Catar</v>
      </c>
      <c r="F63" s="9" t="str">
        <f ca="1">+WORLDCUP!BD61</f>
        <v>Paraguay</v>
      </c>
      <c r="G63" s="9" t="str">
        <f ca="1">+WORLDCUP!BD66</f>
        <v>Senegal</v>
      </c>
      <c r="H63" s="9" t="str">
        <f ca="1">+WORLDCUP!BD64</f>
        <v>Nueva Zelanda</v>
      </c>
      <c r="I63" s="9" t="str">
        <f ca="1">+WORLDCUP!BD69</f>
        <v>Croacia</v>
      </c>
      <c r="J63" s="9" t="str">
        <f ca="1">+WORLDCUP!BD68</f>
        <v>Uzbekistán</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Argelia</v>
      </c>
      <c r="E64" s="9" t="str">
        <f ca="1">+WORLDCUP!BD59</f>
        <v>Catar</v>
      </c>
      <c r="F64" s="9" t="str">
        <f ca="1">+WORLDCUP!BD61</f>
        <v>Paraguay</v>
      </c>
      <c r="G64" s="9" t="str">
        <f ca="1">+WORLDCUP!BD65</f>
        <v>Arabia Saudita</v>
      </c>
      <c r="H64" s="9" t="str">
        <f ca="1">+WORLDCUP!BD64</f>
        <v>Nueva Zelanda</v>
      </c>
      <c r="I64" s="9" t="str">
        <f ca="1">+WORLDCUP!BD69</f>
        <v>Croacia</v>
      </c>
      <c r="J64" s="9" t="str">
        <f ca="1">+WORLDCUP!BD68</f>
        <v>Uzbekistán</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Nueva Zelanda</v>
      </c>
      <c r="E65" s="9" t="str">
        <f ca="1">+WORLDCUP!BD59</f>
        <v>Catar</v>
      </c>
      <c r="F65" s="9" t="str">
        <f ca="1">+WORLDCUP!BD61</f>
        <v>Paraguay</v>
      </c>
      <c r="G65" s="9" t="str">
        <f ca="1">+WORLDCUP!BD66</f>
        <v>Senegal</v>
      </c>
      <c r="H65" s="9" t="str">
        <f ca="1">+WORLDCUP!BD65</f>
        <v>Arabia Saudita</v>
      </c>
      <c r="I65" s="9" t="str">
        <f ca="1">+WORLDCUP!BD69</f>
        <v>Croacia</v>
      </c>
      <c r="J65" s="9" t="str">
        <f ca="1">+WORLDCUP!BD68</f>
        <v>Uzbekistán</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Argelia</v>
      </c>
      <c r="E66" s="9" t="str">
        <f ca="1">+WORLDCUP!BD59</f>
        <v>Catar</v>
      </c>
      <c r="F66" s="9" t="str">
        <f ca="1">+WORLDCUP!BD61</f>
        <v>Paraguay</v>
      </c>
      <c r="G66" s="9" t="str">
        <f ca="1">+WORLDCUP!BD65</f>
        <v>Arabia Saudita</v>
      </c>
      <c r="H66" s="9" t="str">
        <f ca="1">+WORLDCUP!BD64</f>
        <v>Nueva Zelanda</v>
      </c>
      <c r="I66" s="9" t="str">
        <f ca="1">+WORLDCUP!BD69</f>
        <v>Croacia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Argelia</v>
      </c>
      <c r="E67" s="9" t="str">
        <f ca="1">+WORLDCUP!BD59</f>
        <v>Catar</v>
      </c>
      <c r="F67" s="9" t="str">
        <f ca="1">+WORLDCUP!BD61</f>
        <v>Paraguay</v>
      </c>
      <c r="G67" s="9" t="str">
        <f ca="1">+WORLDCUP!BD65</f>
        <v>Arabia Saudita</v>
      </c>
      <c r="H67" s="9" t="str">
        <f ca="1">+WORLDCUP!BD64</f>
        <v>Nueva Zelanda</v>
      </c>
      <c r="I67" s="9" t="str">
        <f ca="1">+WORLDCUP!BD66</f>
        <v>Senegal</v>
      </c>
      <c r="J67" s="9" t="str">
        <f ca="1">+WORLDCUP!BD68</f>
        <v>Uzbekistán</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Argelia</v>
      </c>
      <c r="E68" s="9" t="str">
        <f ca="1">+WORLDCUP!BD59</f>
        <v>Catar</v>
      </c>
      <c r="F68" s="9" t="str">
        <f ca="1">+WORLDCUP!BD61</f>
        <v>Paraguay</v>
      </c>
      <c r="G68" s="9" t="str">
        <f ca="1">+WORLDCUP!BD66</f>
        <v>Senegal</v>
      </c>
      <c r="H68" s="9" t="str">
        <f ca="1">+WORLDCUP!BD63</f>
        <v>Suecia</v>
      </c>
      <c r="I68" s="9" t="str">
        <f ca="1">+WORLDCUP!BD69</f>
        <v>Croacia</v>
      </c>
      <c r="J68" s="9" t="str">
        <f ca="1">+WORLDCUP!BD68</f>
        <v>Uzbekistán</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Argelia</v>
      </c>
      <c r="E69" s="9" t="str">
        <f ca="1">+WORLDCUP!BD59</f>
        <v>Catar</v>
      </c>
      <c r="F69" s="9" t="str">
        <f ca="1">+WORLDCUP!BD61</f>
        <v>Paraguay</v>
      </c>
      <c r="G69" s="9" t="str">
        <f ca="1">+WORLDCUP!BD65</f>
        <v>Arabia Saudita</v>
      </c>
      <c r="H69" s="9" t="str">
        <f ca="1">+WORLDCUP!BD63</f>
        <v>Suecia</v>
      </c>
      <c r="I69" s="9" t="str">
        <f ca="1">+WORLDCUP!BD69</f>
        <v>Croacia</v>
      </c>
      <c r="J69" s="9" t="str">
        <f ca="1">+WORLDCUP!BD68</f>
        <v>Uzbekistán</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Senegal</v>
      </c>
      <c r="E70" s="9" t="str">
        <f ca="1">+WORLDCUP!BD59</f>
        <v>Catar</v>
      </c>
      <c r="F70" s="9" t="str">
        <f ca="1">+WORLDCUP!BD61</f>
        <v>Paraguay</v>
      </c>
      <c r="G70" s="9" t="str">
        <f ca="1">+WORLDCUP!BD65</f>
        <v>Arabia Saudita</v>
      </c>
      <c r="H70" s="9" t="str">
        <f ca="1">+WORLDCUP!BD63</f>
        <v>Suecia</v>
      </c>
      <c r="I70" s="9" t="str">
        <f ca="1">+WORLDCUP!BD69</f>
        <v>Croacia</v>
      </c>
      <c r="J70" s="9" t="str">
        <f ca="1">+WORLDCUP!BD68</f>
        <v>Uzbekistán</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Argelia</v>
      </c>
      <c r="E71" s="9" t="str">
        <f ca="1">+WORLDCUP!BD59</f>
        <v>Catar</v>
      </c>
      <c r="F71" s="9" t="str">
        <f ca="1">+WORLDCUP!BD61</f>
        <v>Paraguay</v>
      </c>
      <c r="G71" s="9" t="str">
        <f ca="1">+WORLDCUP!BD65</f>
        <v>Arabia Saudita</v>
      </c>
      <c r="H71" s="9" t="str">
        <f ca="1">+WORLDCUP!BD63</f>
        <v>Suecia</v>
      </c>
      <c r="I71" s="9" t="str">
        <f ca="1">+WORLDCUP!BD69</f>
        <v>Croacia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Argelia</v>
      </c>
      <c r="E72" s="9" t="str">
        <f ca="1">+WORLDCUP!BD59</f>
        <v>Catar</v>
      </c>
      <c r="F72" s="9" t="str">
        <f ca="1">+WORLDCUP!BD61</f>
        <v>Paraguay</v>
      </c>
      <c r="G72" s="9" t="str">
        <f ca="1">+WORLDCUP!BD65</f>
        <v>Arabia Saudita</v>
      </c>
      <c r="H72" s="9" t="str">
        <f ca="1">+WORLDCUP!BD63</f>
        <v>Suecia</v>
      </c>
      <c r="I72" s="9" t="str">
        <f ca="1">+WORLDCUP!BD66</f>
        <v>Senegal</v>
      </c>
      <c r="J72" s="9" t="str">
        <f ca="1">+WORLDCUP!BD68</f>
        <v>Uzbekistán</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Nueva Zelanda</v>
      </c>
      <c r="E73" s="9" t="str">
        <f ca="1">+WORLDCUP!BD59</f>
        <v>Catar</v>
      </c>
      <c r="F73" s="9" t="str">
        <f ca="1">+WORLDCUP!BD61</f>
        <v>Paraguay</v>
      </c>
      <c r="G73" s="9" t="str">
        <f ca="1">+WORLDCUP!BD67</f>
        <v>Argelia</v>
      </c>
      <c r="H73" s="9" t="str">
        <f ca="1">+WORLDCUP!BD63</f>
        <v>Suecia</v>
      </c>
      <c r="I73" s="9" t="str">
        <f ca="1">+WORLDCUP!BD69</f>
        <v>Croacia</v>
      </c>
      <c r="J73" s="9" t="str">
        <f ca="1">+WORLDCUP!BD68</f>
        <v>Uzbekistán</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Nueva Zelanda</v>
      </c>
      <c r="E74" s="9" t="str">
        <f ca="1">+WORLDCUP!BD59</f>
        <v>Catar</v>
      </c>
      <c r="F74" s="9" t="str">
        <f ca="1">+WORLDCUP!BD61</f>
        <v>Paraguay</v>
      </c>
      <c r="G74" s="9" t="str">
        <f ca="1">+WORLDCUP!BD66</f>
        <v>Senegal</v>
      </c>
      <c r="H74" s="9" t="str">
        <f ca="1">+WORLDCUP!BD63</f>
        <v>Suecia</v>
      </c>
      <c r="I74" s="9" t="str">
        <f ca="1">+WORLDCUP!BD69</f>
        <v>Croacia</v>
      </c>
      <c r="J74" s="9" t="str">
        <f ca="1">+WORLDCUP!BD68</f>
        <v>Uzbekistán</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Costa de Marfil</v>
      </c>
      <c r="D75" s="9" t="str">
        <f ca="1">+WORLDCUP!BD64</f>
        <v>Nueva Zelanda</v>
      </c>
      <c r="E75" s="9" t="str">
        <f ca="1">+WORLDCUP!BD59</f>
        <v>Catar</v>
      </c>
      <c r="F75" s="9" t="str">
        <f ca="1">+WORLDCUP!BD61</f>
        <v>Paraguay</v>
      </c>
      <c r="G75" s="9" t="str">
        <f ca="1">+WORLDCUP!BD67</f>
        <v>Argelia</v>
      </c>
      <c r="H75" s="9" t="str">
        <f ca="1">+WORLDCUP!BD63</f>
        <v>Suecia</v>
      </c>
      <c r="I75" s="9" t="str">
        <f ca="1">+WORLDCUP!BD69</f>
        <v>Croacia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Nueva Zelanda</v>
      </c>
      <c r="E76" s="9" t="str">
        <f ca="1">+WORLDCUP!BD59</f>
        <v>Catar</v>
      </c>
      <c r="F76" s="9" t="str">
        <f ca="1">+WORLDCUP!BD61</f>
        <v>Paraguay</v>
      </c>
      <c r="G76" s="9" t="str">
        <f ca="1">+WORLDCUP!BD67</f>
        <v>Argelia</v>
      </c>
      <c r="H76" s="9" t="str">
        <f ca="1">+WORLDCUP!BD63</f>
        <v>Suecia</v>
      </c>
      <c r="I76" s="9" t="str">
        <f ca="1">+WORLDCUP!BD66</f>
        <v>Senegal</v>
      </c>
      <c r="J76" s="9" t="str">
        <f ca="1">+WORLDCUP!BD68</f>
        <v>Uzbekistán</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Nueva Zelanda</v>
      </c>
      <c r="E77" s="9" t="str">
        <f ca="1">+WORLDCUP!BD59</f>
        <v>Catar</v>
      </c>
      <c r="F77" s="9" t="str">
        <f ca="1">+WORLDCUP!BD61</f>
        <v>Paraguay</v>
      </c>
      <c r="G77" s="9" t="str">
        <f ca="1">+WORLDCUP!BD65</f>
        <v>Arabia Saudita</v>
      </c>
      <c r="H77" s="9" t="str">
        <f ca="1">+WORLDCUP!BD63</f>
        <v>Suecia</v>
      </c>
      <c r="I77" s="9" t="str">
        <f ca="1">+WORLDCUP!BD69</f>
        <v>Croacia</v>
      </c>
      <c r="J77" s="9" t="str">
        <f ca="1">+WORLDCUP!BD68</f>
        <v>Uzbekistán</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Nueva Zelanda</v>
      </c>
      <c r="E78" s="9" t="str">
        <f ca="1">+WORLDCUP!BD59</f>
        <v>Catar</v>
      </c>
      <c r="F78" s="9" t="str">
        <f ca="1">+WORLDCUP!BD61</f>
        <v>Paraguay</v>
      </c>
      <c r="G78" s="9" t="str">
        <f ca="1">+WORLDCUP!BD67</f>
        <v>Argelia</v>
      </c>
      <c r="H78" s="9" t="str">
        <f ca="1">+WORLDCUP!BD63</f>
        <v>Suecia</v>
      </c>
      <c r="I78" s="9" t="str">
        <f ca="1">+WORLDCUP!BD69</f>
        <v>Croacia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Nueva Zelanda</v>
      </c>
      <c r="E79" s="9" t="str">
        <f ca="1">+WORLDCUP!BD59</f>
        <v>Catar</v>
      </c>
      <c r="F79" s="9" t="str">
        <f ca="1">+WORLDCUP!BD61</f>
        <v>Paraguay</v>
      </c>
      <c r="G79" s="9" t="str">
        <f ca="1">+WORLDCUP!BD67</f>
        <v>Argelia</v>
      </c>
      <c r="H79" s="9" t="str">
        <f ca="1">+WORLDCUP!BD63</f>
        <v>Suecia</v>
      </c>
      <c r="I79" s="9" t="str">
        <f ca="1">+WORLDCUP!BD62</f>
        <v>Costa de Marfil</v>
      </c>
      <c r="J79" s="9" t="str">
        <f ca="1">+WORLDCUP!BD68</f>
        <v>Uzbekistán</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Nueva Zelanda</v>
      </c>
      <c r="E80" s="9" t="str">
        <f ca="1">+WORLDCUP!BD59</f>
        <v>Catar</v>
      </c>
      <c r="F80" s="9" t="str">
        <f ca="1">+WORLDCUP!BD61</f>
        <v>Paraguay</v>
      </c>
      <c r="G80" s="9" t="str">
        <f ca="1">+WORLDCUP!BD65</f>
        <v>Arabia Saudita</v>
      </c>
      <c r="H80" s="9" t="str">
        <f ca="1">+WORLDCUP!BD63</f>
        <v>Suecia</v>
      </c>
      <c r="I80" s="9" t="str">
        <f ca="1">+WORLDCUP!BD69</f>
        <v>Croacia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Nueva Zelanda</v>
      </c>
      <c r="E81" s="9" t="str">
        <f ca="1">+WORLDCUP!BD59</f>
        <v>Catar</v>
      </c>
      <c r="F81" s="9" t="str">
        <f ca="1">+WORLDCUP!BD61</f>
        <v>Paraguay</v>
      </c>
      <c r="G81" s="9" t="str">
        <f ca="1">+WORLDCUP!BD65</f>
        <v>Arabia Saudita</v>
      </c>
      <c r="H81" s="9" t="str">
        <f ca="1">+WORLDCUP!BD63</f>
        <v>Suecia</v>
      </c>
      <c r="I81" s="9" t="str">
        <f ca="1">+WORLDCUP!BD66</f>
        <v>Senegal</v>
      </c>
      <c r="J81" s="9" t="str">
        <f ca="1">+WORLDCUP!BD68</f>
        <v>Uzbekistán</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Nueva Zelanda</v>
      </c>
      <c r="E82" s="9" t="str">
        <f ca="1">+WORLDCUP!BD59</f>
        <v>Catar</v>
      </c>
      <c r="F82" s="9" t="str">
        <f ca="1">+WORLDCUP!BD61</f>
        <v>Paraguay</v>
      </c>
      <c r="G82" s="9" t="str">
        <f ca="1">+WORLDCUP!BD67</f>
        <v>Argelia</v>
      </c>
      <c r="H82" s="9" t="str">
        <f ca="1">+WORLDCUP!BD63</f>
        <v>Suecia</v>
      </c>
      <c r="I82" s="9" t="str">
        <f ca="1">+WORLDCUP!BD62</f>
        <v>Costa de Marfil</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Argelia</v>
      </c>
      <c r="E83" s="9" t="str">
        <f ca="1">+WORLDCUP!BD59</f>
        <v>Catar</v>
      </c>
      <c r="F83" s="9" t="str">
        <f ca="1">+WORLDCUP!BD60</f>
        <v>Escocia</v>
      </c>
      <c r="G83" s="9" t="str">
        <f ca="1">+WORLDCUP!BD66</f>
        <v>Senegal</v>
      </c>
      <c r="H83" s="9" t="str">
        <f ca="1">+WORLDCUP!BD64</f>
        <v>Nueva Zelanda</v>
      </c>
      <c r="I83" s="9" t="str">
        <f ca="1">+WORLDCUP!BD69</f>
        <v>Croacia</v>
      </c>
      <c r="J83" s="9" t="str">
        <f ca="1">+WORLDCUP!BD68</f>
        <v>Uzbekistán</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Argelia</v>
      </c>
      <c r="E84" s="9" t="str">
        <f ca="1">+WORLDCUP!BD59</f>
        <v>Catar</v>
      </c>
      <c r="F84" s="9" t="str">
        <f ca="1">+WORLDCUP!BD60</f>
        <v>Escocia</v>
      </c>
      <c r="G84" s="9" t="str">
        <f ca="1">+WORLDCUP!BD66</f>
        <v>Senegal</v>
      </c>
      <c r="H84" s="9" t="str">
        <f ca="1">+WORLDCUP!BD63</f>
        <v>Suecia</v>
      </c>
      <c r="I84" s="9" t="str">
        <f ca="1">+WORLDCUP!BD69</f>
        <v>Croacia</v>
      </c>
      <c r="J84" s="9" t="str">
        <f ca="1">+WORLDCUP!BD68</f>
        <v>Uzbekistán</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Nueva Zelanda</v>
      </c>
      <c r="E85" s="9" t="str">
        <f ca="1">+WORLDCUP!BD59</f>
        <v>Catar</v>
      </c>
      <c r="F85" s="9" t="str">
        <f ca="1">+WORLDCUP!BD60</f>
        <v>Escocia</v>
      </c>
      <c r="G85" s="9" t="str">
        <f ca="1">+WORLDCUP!BD67</f>
        <v>Argelia</v>
      </c>
      <c r="H85" s="9" t="str">
        <f ca="1">+WORLDCUP!BD63</f>
        <v>Suecia</v>
      </c>
      <c r="I85" s="9" t="str">
        <f ca="1">+WORLDCUP!BD69</f>
        <v>Croacia</v>
      </c>
      <c r="J85" s="9" t="str">
        <f ca="1">+WORLDCUP!BD68</f>
        <v>Uzbekistán</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Nueva Zelanda</v>
      </c>
      <c r="E86" s="9" t="str">
        <f ca="1">+WORLDCUP!BD59</f>
        <v>Catar</v>
      </c>
      <c r="F86" s="9" t="str">
        <f ca="1">+WORLDCUP!BD60</f>
        <v>Escocia</v>
      </c>
      <c r="G86" s="9" t="str">
        <f ca="1">+WORLDCUP!BD67</f>
        <v>Argelia</v>
      </c>
      <c r="H86" s="9" t="str">
        <f ca="1">+WORLDCUP!BD63</f>
        <v>Suecia</v>
      </c>
      <c r="I86" s="9" t="str">
        <f ca="1">+WORLDCUP!BD69</f>
        <v>Croacia</v>
      </c>
      <c r="J86" s="9" t="str">
        <f ca="1">+WORLDCUP!BD68</f>
        <v>Uzbekistán</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Nueva Zelanda</v>
      </c>
      <c r="E87" s="9" t="str">
        <f ca="1">+WORLDCUP!BD59</f>
        <v>Catar</v>
      </c>
      <c r="F87" s="9" t="str">
        <f ca="1">+WORLDCUP!BD60</f>
        <v>Escocia</v>
      </c>
      <c r="G87" s="9" t="str">
        <f ca="1">+WORLDCUP!BD66</f>
        <v>Senegal</v>
      </c>
      <c r="H87" s="9" t="str">
        <f ca="1">+WORLDCUP!BD63</f>
        <v>Suecia</v>
      </c>
      <c r="I87" s="9" t="str">
        <f ca="1">+WORLDCUP!BD69</f>
        <v>Croacia</v>
      </c>
      <c r="J87" s="9" t="str">
        <f ca="1">+WORLDCUP!BD68</f>
        <v>Uzbekistán</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Nueva Zelanda</v>
      </c>
      <c r="E88" s="9" t="str">
        <f ca="1">+WORLDCUP!BD59</f>
        <v>Catar</v>
      </c>
      <c r="F88" s="9" t="str">
        <f ca="1">+WORLDCUP!BD60</f>
        <v>Escocia</v>
      </c>
      <c r="G88" s="9" t="str">
        <f ca="1">+WORLDCUP!BD67</f>
        <v>Argelia</v>
      </c>
      <c r="H88" s="9" t="str">
        <f ca="1">+WORLDCUP!BD63</f>
        <v>Suecia</v>
      </c>
      <c r="I88" s="9" t="str">
        <f ca="1">+WORLDCUP!BD69</f>
        <v>Croacia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Nueva Zelanda</v>
      </c>
      <c r="E89" s="9" t="str">
        <f ca="1">+WORLDCUP!BD59</f>
        <v>Catar</v>
      </c>
      <c r="F89" s="9" t="str">
        <f ca="1">+WORLDCUP!BD60</f>
        <v>Escocia</v>
      </c>
      <c r="G89" s="9" t="str">
        <f ca="1">+WORLDCUP!BD67</f>
        <v>Argelia</v>
      </c>
      <c r="H89" s="9" t="str">
        <f ca="1">+WORLDCUP!BD63</f>
        <v>Suecia</v>
      </c>
      <c r="I89" s="9" t="str">
        <f ca="1">+WORLDCUP!BD66</f>
        <v>Senegal</v>
      </c>
      <c r="J89" s="9" t="str">
        <f ca="1">+WORLDCUP!BD68</f>
        <v>Uzbekistán</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Argelia</v>
      </c>
      <c r="E90" s="9" t="str">
        <f ca="1">+WORLDCUP!BD59</f>
        <v>Catar</v>
      </c>
      <c r="F90" s="9" t="str">
        <f ca="1">+WORLDCUP!BD60</f>
        <v>Escocia</v>
      </c>
      <c r="G90" s="9" t="str">
        <f ca="1">+WORLDCUP!BD66</f>
        <v>Senegal</v>
      </c>
      <c r="H90" s="9" t="str">
        <f ca="1">+WORLDCUP!BD65</f>
        <v>Arabia Saudita</v>
      </c>
      <c r="I90" s="9" t="str">
        <f ca="1">+WORLDCUP!BD69</f>
        <v>Croacia</v>
      </c>
      <c r="J90" s="9" t="str">
        <f ca="1">+WORLDCUP!BD68</f>
        <v>Uzbekistán</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Argelia</v>
      </c>
      <c r="E91" s="9" t="str">
        <f ca="1">+WORLDCUP!BD59</f>
        <v>Catar</v>
      </c>
      <c r="F91" s="9" t="str">
        <f ca="1">+WORLDCUP!BD60</f>
        <v>Escocia</v>
      </c>
      <c r="G91" s="9" t="str">
        <f ca="1">+WORLDCUP!BD66</f>
        <v>Senegal</v>
      </c>
      <c r="H91" s="9" t="str">
        <f ca="1">+WORLDCUP!BD64</f>
        <v>Nueva Zelanda</v>
      </c>
      <c r="I91" s="9" t="str">
        <f ca="1">+WORLDCUP!BD69</f>
        <v>Croacia</v>
      </c>
      <c r="J91" s="9" t="str">
        <f ca="1">+WORLDCUP!BD68</f>
        <v>Uzbekistán</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Argelia</v>
      </c>
      <c r="E92" s="9" t="str">
        <f ca="1">+WORLDCUP!BD59</f>
        <v>Catar</v>
      </c>
      <c r="F92" s="9" t="str">
        <f ca="1">+WORLDCUP!BD60</f>
        <v>Escocia</v>
      </c>
      <c r="G92" s="9" t="str">
        <f ca="1">+WORLDCUP!BD65</f>
        <v>Arabia Saudita</v>
      </c>
      <c r="H92" s="9" t="str">
        <f ca="1">+WORLDCUP!BD64</f>
        <v>Nueva Zelanda</v>
      </c>
      <c r="I92" s="9" t="str">
        <f ca="1">+WORLDCUP!BD69</f>
        <v>Croacia</v>
      </c>
      <c r="J92" s="9" t="str">
        <f ca="1">+WORLDCUP!BD68</f>
        <v>Uzbekistán</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Nueva Zelanda</v>
      </c>
      <c r="E93" s="9" t="str">
        <f ca="1">+WORLDCUP!BD59</f>
        <v>Catar</v>
      </c>
      <c r="F93" s="9" t="str">
        <f ca="1">+WORLDCUP!BD60</f>
        <v>Escocia</v>
      </c>
      <c r="G93" s="9" t="str">
        <f ca="1">+WORLDCUP!BD66</f>
        <v>Senegal</v>
      </c>
      <c r="H93" s="9" t="str">
        <f ca="1">+WORLDCUP!BD65</f>
        <v>Arabia Saudita</v>
      </c>
      <c r="I93" s="9" t="str">
        <f ca="1">+WORLDCUP!BD69</f>
        <v>Croacia</v>
      </c>
      <c r="J93" s="9" t="str">
        <f ca="1">+WORLDCUP!BD68</f>
        <v>Uzbekistán</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Argelia</v>
      </c>
      <c r="E94" s="9" t="str">
        <f ca="1">+WORLDCUP!BD59</f>
        <v>Catar</v>
      </c>
      <c r="F94" s="9" t="str">
        <f ca="1">+WORLDCUP!BD60</f>
        <v>Escocia</v>
      </c>
      <c r="G94" s="9" t="str">
        <f ca="1">+WORLDCUP!BD65</f>
        <v>Arabia Saudita</v>
      </c>
      <c r="H94" s="9" t="str">
        <f ca="1">+WORLDCUP!BD64</f>
        <v>Nueva Zelanda</v>
      </c>
      <c r="I94" s="9" t="str">
        <f ca="1">+WORLDCUP!BD69</f>
        <v>Croacia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Argelia</v>
      </c>
      <c r="E95" s="9" t="str">
        <f ca="1">+WORLDCUP!BD59</f>
        <v>Catar</v>
      </c>
      <c r="F95" s="9" t="str">
        <f ca="1">+WORLDCUP!BD60</f>
        <v>Escocia</v>
      </c>
      <c r="G95" s="9" t="str">
        <f ca="1">+WORLDCUP!BD65</f>
        <v>Arabia Saudita</v>
      </c>
      <c r="H95" s="9" t="str">
        <f ca="1">+WORLDCUP!BD64</f>
        <v>Nueva Zelanda</v>
      </c>
      <c r="I95" s="9" t="str">
        <f ca="1">+WORLDCUP!BD66</f>
        <v>Senegal</v>
      </c>
      <c r="J95" s="9" t="str">
        <f ca="1">+WORLDCUP!BD68</f>
        <v>Uzbekistán</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Argelia</v>
      </c>
      <c r="E96" s="9" t="str">
        <f ca="1">+WORLDCUP!BD59</f>
        <v>Catar</v>
      </c>
      <c r="F96" s="9" t="str">
        <f ca="1">+WORLDCUP!BD60</f>
        <v>Escocia</v>
      </c>
      <c r="G96" s="9" t="str">
        <f ca="1">+WORLDCUP!BD66</f>
        <v>Senegal</v>
      </c>
      <c r="H96" s="9" t="str">
        <f ca="1">+WORLDCUP!BD63</f>
        <v>Suecia</v>
      </c>
      <c r="I96" s="9" t="str">
        <f ca="1">+WORLDCUP!BD69</f>
        <v>Croacia</v>
      </c>
      <c r="J96" s="9" t="str">
        <f ca="1">+WORLDCUP!BD68</f>
        <v>Uzbekistán</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Argelia</v>
      </c>
      <c r="E97" s="9" t="str">
        <f ca="1">+WORLDCUP!BD59</f>
        <v>Catar</v>
      </c>
      <c r="F97" s="9" t="str">
        <f ca="1">+WORLDCUP!BD60</f>
        <v>Escocia</v>
      </c>
      <c r="G97" s="9" t="str">
        <f ca="1">+WORLDCUP!BD65</f>
        <v>Arabia Saudita</v>
      </c>
      <c r="H97" s="9" t="str">
        <f ca="1">+WORLDCUP!BD63</f>
        <v>Suecia</v>
      </c>
      <c r="I97" s="9" t="str">
        <f ca="1">+WORLDCUP!BD69</f>
        <v>Croacia</v>
      </c>
      <c r="J97" s="9" t="str">
        <f ca="1">+WORLDCUP!BD68</f>
        <v>Uzbekistán</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Senegal</v>
      </c>
      <c r="E98" s="9" t="str">
        <f ca="1">+WORLDCUP!BD59</f>
        <v>Catar</v>
      </c>
      <c r="F98" s="9" t="str">
        <f ca="1">+WORLDCUP!BD60</f>
        <v>Escocia</v>
      </c>
      <c r="G98" s="9" t="str">
        <f ca="1">+WORLDCUP!BD65</f>
        <v>Arabia Saudita</v>
      </c>
      <c r="H98" s="9" t="str">
        <f ca="1">+WORLDCUP!BD63</f>
        <v>Suecia</v>
      </c>
      <c r="I98" s="9" t="str">
        <f ca="1">+WORLDCUP!BD69</f>
        <v>Croacia</v>
      </c>
      <c r="J98" s="9" t="str">
        <f ca="1">+WORLDCUP!BD68</f>
        <v>Uzbekistán</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Argelia</v>
      </c>
      <c r="E99" s="9" t="str">
        <f ca="1">+WORLDCUP!BD59</f>
        <v>Catar</v>
      </c>
      <c r="F99" s="9" t="str">
        <f ca="1">+WORLDCUP!BD60</f>
        <v>Escocia</v>
      </c>
      <c r="G99" s="9" t="str">
        <f ca="1">+WORLDCUP!BD65</f>
        <v>Arabia Saudita</v>
      </c>
      <c r="H99" s="9" t="str">
        <f ca="1">+WORLDCUP!BD63</f>
        <v>Suecia</v>
      </c>
      <c r="I99" s="9" t="str">
        <f ca="1">+WORLDCUP!BD69</f>
        <v>Croacia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Argelia</v>
      </c>
      <c r="E100" s="9" t="str">
        <f ca="1">+WORLDCUP!BD59</f>
        <v>Catar</v>
      </c>
      <c r="F100" s="9" t="str">
        <f ca="1">+WORLDCUP!BD60</f>
        <v>Escocia</v>
      </c>
      <c r="G100" s="9" t="str">
        <f ca="1">+WORLDCUP!BD65</f>
        <v>Arabia Saudita</v>
      </c>
      <c r="H100" s="9" t="str">
        <f ca="1">+WORLDCUP!BD63</f>
        <v>Suecia</v>
      </c>
      <c r="I100" s="9" t="str">
        <f ca="1">+WORLDCUP!BD66</f>
        <v>Senegal</v>
      </c>
      <c r="J100" s="9" t="str">
        <f ca="1">+WORLDCUP!BD68</f>
        <v>Uzbekistán</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Nueva Zelanda</v>
      </c>
      <c r="E101" s="9" t="str">
        <f ca="1">+WORLDCUP!BD59</f>
        <v>Catar</v>
      </c>
      <c r="F101" s="9" t="str">
        <f ca="1">+WORLDCUP!BD60</f>
        <v>Escocia</v>
      </c>
      <c r="G101" s="9" t="str">
        <f ca="1">+WORLDCUP!BD67</f>
        <v>Argelia</v>
      </c>
      <c r="H101" s="9" t="str">
        <f ca="1">+WORLDCUP!BD63</f>
        <v>Suecia</v>
      </c>
      <c r="I101" s="9" t="str">
        <f ca="1">+WORLDCUP!BD69</f>
        <v>Croacia</v>
      </c>
      <c r="J101" s="9" t="str">
        <f ca="1">+WORLDCUP!BD68</f>
        <v>Uzbekistán</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Nueva Zelanda</v>
      </c>
      <c r="E102" s="9" t="str">
        <f ca="1">+WORLDCUP!BD59</f>
        <v>Catar</v>
      </c>
      <c r="F102" s="9" t="str">
        <f ca="1">+WORLDCUP!BD60</f>
        <v>Escocia</v>
      </c>
      <c r="G102" s="9" t="str">
        <f ca="1">+WORLDCUP!BD66</f>
        <v>Senegal</v>
      </c>
      <c r="H102" s="9" t="str">
        <f ca="1">+WORLDCUP!BD63</f>
        <v>Suecia</v>
      </c>
      <c r="I102" s="9" t="str">
        <f ca="1">+WORLDCUP!BD69</f>
        <v>Croacia</v>
      </c>
      <c r="J102" s="9" t="str">
        <f ca="1">+WORLDCUP!BD68</f>
        <v>Uzbekistán</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Nueva Zelanda</v>
      </c>
      <c r="E103" s="9" t="str">
        <f ca="1">+WORLDCUP!BD59</f>
        <v>Catar</v>
      </c>
      <c r="F103" s="9" t="str">
        <f ca="1">+WORLDCUP!BD60</f>
        <v>Escocia</v>
      </c>
      <c r="G103" s="9" t="str">
        <f ca="1">+WORLDCUP!BD67</f>
        <v>Argelia</v>
      </c>
      <c r="H103" s="9" t="str">
        <f ca="1">+WORLDCUP!BD63</f>
        <v>Suecia</v>
      </c>
      <c r="I103" s="9" t="str">
        <f ca="1">+WORLDCUP!BD69</f>
        <v>Croacia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Nueva Zelanda</v>
      </c>
      <c r="E104" s="9" t="str">
        <f ca="1">+WORLDCUP!BD59</f>
        <v>Catar</v>
      </c>
      <c r="F104" s="9" t="str">
        <f ca="1">+WORLDCUP!BD60</f>
        <v>Escocia</v>
      </c>
      <c r="G104" s="9" t="str">
        <f ca="1">+WORLDCUP!BD67</f>
        <v>Argelia</v>
      </c>
      <c r="H104" s="9" t="str">
        <f ca="1">+WORLDCUP!BD63</f>
        <v>Suecia</v>
      </c>
      <c r="I104" s="9" t="str">
        <f ca="1">+WORLDCUP!BD66</f>
        <v>Senegal</v>
      </c>
      <c r="J104" s="9" t="str">
        <f ca="1">+WORLDCUP!BD68</f>
        <v>Uzbekistán</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Nueva Zelanda</v>
      </c>
      <c r="E105" s="9" t="str">
        <f ca="1">+WORLDCUP!BD59</f>
        <v>Catar</v>
      </c>
      <c r="F105" s="9" t="str">
        <f ca="1">+WORLDCUP!BD60</f>
        <v>Escocia</v>
      </c>
      <c r="G105" s="9" t="str">
        <f ca="1">+WORLDCUP!BD65</f>
        <v>Arabia Saudita</v>
      </c>
      <c r="H105" s="9" t="str">
        <f ca="1">+WORLDCUP!BD63</f>
        <v>Suecia</v>
      </c>
      <c r="I105" s="9" t="str">
        <f ca="1">+WORLDCUP!BD69</f>
        <v>Croacia</v>
      </c>
      <c r="J105" s="9" t="str">
        <f ca="1">+WORLDCUP!BD68</f>
        <v>Uzbekistán</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Nueva Zelanda</v>
      </c>
      <c r="E106" s="9" t="str">
        <f ca="1">+WORLDCUP!BD59</f>
        <v>Catar</v>
      </c>
      <c r="F106" s="9" t="str">
        <f ca="1">+WORLDCUP!BD60</f>
        <v>Escocia</v>
      </c>
      <c r="G106" s="9" t="str">
        <f ca="1">+WORLDCUP!BD67</f>
        <v>Argelia</v>
      </c>
      <c r="H106" s="9" t="str">
        <f ca="1">+WORLDCUP!BD63</f>
        <v>Suecia</v>
      </c>
      <c r="I106" s="9" t="str">
        <f ca="1">+WORLDCUP!BD69</f>
        <v>Croacia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Nueva Zelanda</v>
      </c>
      <c r="E107" s="9" t="str">
        <f ca="1">+WORLDCUP!BD59</f>
        <v>Catar</v>
      </c>
      <c r="F107" s="9" t="str">
        <f ca="1">+WORLDCUP!BD60</f>
        <v>Escocia</v>
      </c>
      <c r="G107" s="9" t="str">
        <f ca="1">+WORLDCUP!BD67</f>
        <v>Argelia</v>
      </c>
      <c r="H107" s="9" t="str">
        <f ca="1">+WORLDCUP!BD63</f>
        <v>Suecia</v>
      </c>
      <c r="I107" s="9" t="str">
        <f ca="1">+WORLDCUP!BD62</f>
        <v>Costa de Marfil</v>
      </c>
      <c r="J107" s="9" t="str">
        <f ca="1">+WORLDCUP!BD68</f>
        <v>Uzbekistán</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Nueva Zelanda</v>
      </c>
      <c r="E108" s="9" t="str">
        <f ca="1">+WORLDCUP!BD59</f>
        <v>Catar</v>
      </c>
      <c r="F108" s="9" t="str">
        <f ca="1">+WORLDCUP!BD60</f>
        <v>Escocia</v>
      </c>
      <c r="G108" s="9" t="str">
        <f ca="1">+WORLDCUP!BD65</f>
        <v>Arabia Saudita</v>
      </c>
      <c r="H108" s="9" t="str">
        <f ca="1">+WORLDCUP!BD63</f>
        <v>Suecia</v>
      </c>
      <c r="I108" s="9" t="str">
        <f ca="1">+WORLDCUP!BD69</f>
        <v>Croacia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Nueva Zelanda</v>
      </c>
      <c r="E109" s="9" t="str">
        <f ca="1">+WORLDCUP!BD59</f>
        <v>Catar</v>
      </c>
      <c r="F109" s="9" t="str">
        <f ca="1">+WORLDCUP!BD60</f>
        <v>Escocia</v>
      </c>
      <c r="G109" s="9" t="str">
        <f ca="1">+WORLDCUP!BD65</f>
        <v>Arabia Saudita</v>
      </c>
      <c r="H109" s="9" t="str">
        <f ca="1">+WORLDCUP!BD63</f>
        <v>Suecia</v>
      </c>
      <c r="I109" s="9" t="str">
        <f ca="1">+WORLDCUP!BD66</f>
        <v>Senegal</v>
      </c>
      <c r="J109" s="9" t="str">
        <f ca="1">+WORLDCUP!BD68</f>
        <v>Uzbekistán</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Nueva Zelanda</v>
      </c>
      <c r="E110" s="9" t="str">
        <f ca="1">+WORLDCUP!BD59</f>
        <v>Catar</v>
      </c>
      <c r="F110" s="9" t="str">
        <f ca="1">+WORLDCUP!BD60</f>
        <v>Escocia</v>
      </c>
      <c r="G110" s="9" t="str">
        <f ca="1">+WORLDCUP!BD67</f>
        <v>Argelia</v>
      </c>
      <c r="H110" s="9" t="str">
        <f ca="1">+WORLDCUP!BD63</f>
        <v>Suecia</v>
      </c>
      <c r="I110" s="9" t="str">
        <f ca="1">+WORLDCUP!BD62</f>
        <v>Costa de Marfil</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Argelia</v>
      </c>
      <c r="E111" s="9" t="str">
        <f ca="1">+WORLDCUP!BD59</f>
        <v>Catar</v>
      </c>
      <c r="F111" s="9" t="str">
        <f ca="1">+WORLDCUP!BD60</f>
        <v>Escocia</v>
      </c>
      <c r="G111" s="9" t="str">
        <f ca="1">+WORLDCUP!BD66</f>
        <v>Senegal</v>
      </c>
      <c r="H111" s="9" t="str">
        <f ca="1">+WORLDCUP!BD61</f>
        <v>Paraguay</v>
      </c>
      <c r="I111" s="9" t="str">
        <f ca="1">+WORLDCUP!BD69</f>
        <v>Croacia</v>
      </c>
      <c r="J111" s="9" t="str">
        <f ca="1">+WORLDCUP!BD68</f>
        <v>Uzbekistán</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Nueva Zelanda</v>
      </c>
      <c r="E112" s="9" t="str">
        <f ca="1">+WORLDCUP!BD59</f>
        <v>Catar</v>
      </c>
      <c r="F112" s="9" t="str">
        <f ca="1">+WORLDCUP!BD60</f>
        <v>Escocia</v>
      </c>
      <c r="G112" s="9" t="str">
        <f ca="1">+WORLDCUP!BD67</f>
        <v>Argelia</v>
      </c>
      <c r="H112" s="9" t="str">
        <f ca="1">+WORLDCUP!BD61</f>
        <v>Paraguay</v>
      </c>
      <c r="I112" s="9" t="str">
        <f ca="1">+WORLDCUP!BD69</f>
        <v>Croacia</v>
      </c>
      <c r="J112" s="9" t="str">
        <f ca="1">+WORLDCUP!BD68</f>
        <v>Uzbekistán</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Nueva Zelanda</v>
      </c>
      <c r="E113" s="9" t="str">
        <f ca="1">+WORLDCUP!BD59</f>
        <v>Catar</v>
      </c>
      <c r="F113" s="9" t="str">
        <f ca="1">+WORLDCUP!BD60</f>
        <v>Escocia</v>
      </c>
      <c r="G113" s="9" t="str">
        <f ca="1">+WORLDCUP!BD67</f>
        <v>Argelia</v>
      </c>
      <c r="H113" s="9" t="str">
        <f ca="1">+WORLDCUP!BD61</f>
        <v>Paraguay</v>
      </c>
      <c r="I113" s="9" t="str">
        <f ca="1">+WORLDCUP!BD69</f>
        <v>Croacia</v>
      </c>
      <c r="J113" s="9" t="str">
        <f ca="1">+WORLDCUP!BD68</f>
        <v>Uzbekistán</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Nueva Zelanda</v>
      </c>
      <c r="E114" s="9" t="str">
        <f ca="1">+WORLDCUP!BD59</f>
        <v>Catar</v>
      </c>
      <c r="F114" s="9" t="str">
        <f ca="1">+WORLDCUP!BD60</f>
        <v>Escocia</v>
      </c>
      <c r="G114" s="9" t="str">
        <f ca="1">+WORLDCUP!BD66</f>
        <v>Senegal</v>
      </c>
      <c r="H114" s="9" t="str">
        <f ca="1">+WORLDCUP!BD61</f>
        <v>Paraguay</v>
      </c>
      <c r="I114" s="9" t="str">
        <f ca="1">+WORLDCUP!BD69</f>
        <v>Croacia</v>
      </c>
      <c r="J114" s="9" t="str">
        <f ca="1">+WORLDCUP!BD68</f>
        <v>Uzbekistán</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Nueva Zelanda</v>
      </c>
      <c r="E115" s="9" t="str">
        <f ca="1">+WORLDCUP!BD59</f>
        <v>Catar</v>
      </c>
      <c r="F115" s="9" t="str">
        <f ca="1">+WORLDCUP!BD60</f>
        <v>Escocia</v>
      </c>
      <c r="G115" s="9" t="str">
        <f ca="1">+WORLDCUP!BD67</f>
        <v>Argelia</v>
      </c>
      <c r="H115" s="9" t="str">
        <f ca="1">+WORLDCUP!BD61</f>
        <v>Paraguay</v>
      </c>
      <c r="I115" s="9" t="str">
        <f ca="1">+WORLDCUP!BD69</f>
        <v>Croacia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Nueva Zelanda</v>
      </c>
      <c r="E116" s="9" t="str">
        <f ca="1">+WORLDCUP!BD59</f>
        <v>Catar</v>
      </c>
      <c r="F116" s="9" t="str">
        <f ca="1">+WORLDCUP!BD60</f>
        <v>Escocia</v>
      </c>
      <c r="G116" s="9" t="str">
        <f ca="1">+WORLDCUP!BD67</f>
        <v>Argelia</v>
      </c>
      <c r="H116" s="9" t="str">
        <f ca="1">+WORLDCUP!BD61</f>
        <v>Paraguay</v>
      </c>
      <c r="I116" s="9" t="str">
        <f ca="1">+WORLDCUP!BD66</f>
        <v>Senegal</v>
      </c>
      <c r="J116" s="9" t="str">
        <f ca="1">+WORLDCUP!BD68</f>
        <v>Uzbekistán</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Catar</v>
      </c>
      <c r="F117" s="9" t="str">
        <f ca="1">+WORLDCUP!BD61</f>
        <v>Paraguay</v>
      </c>
      <c r="G117" s="9" t="str">
        <f ca="1">+WORLDCUP!BD66</f>
        <v>Senegal</v>
      </c>
      <c r="H117" s="9" t="str">
        <f ca="1">+WORLDCUP!BD63</f>
        <v>Suecia</v>
      </c>
      <c r="I117" s="9" t="str">
        <f ca="1">+WORLDCUP!BD69</f>
        <v>Croacia</v>
      </c>
      <c r="J117" s="9" t="str">
        <f ca="1">+WORLDCUP!BD68</f>
        <v>Uzbekistán</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Catar</v>
      </c>
      <c r="F118" s="9" t="str">
        <f ca="1">+WORLDCUP!BD61</f>
        <v>Paraguay</v>
      </c>
      <c r="G118" s="9" t="str">
        <f ca="1">+WORLDCUP!BD65</f>
        <v>Arabia Saudita</v>
      </c>
      <c r="H118" s="9" t="str">
        <f ca="1">+WORLDCUP!BD63</f>
        <v>Suecia</v>
      </c>
      <c r="I118" s="9" t="str">
        <f ca="1">+WORLDCUP!BD69</f>
        <v>Croacia</v>
      </c>
      <c r="J118" s="9" t="str">
        <f ca="1">+WORLDCUP!BD68</f>
        <v>Uzbekistán</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Catar</v>
      </c>
      <c r="F119" s="9" t="str">
        <f ca="1">+WORLDCUP!BD61</f>
        <v>Paraguay</v>
      </c>
      <c r="G119" s="9" t="str">
        <f ca="1">+WORLDCUP!BD65</f>
        <v>Arabia Saudita</v>
      </c>
      <c r="H119" s="9" t="str">
        <f ca="1">+WORLDCUP!BD63</f>
        <v>Suecia</v>
      </c>
      <c r="I119" s="9" t="str">
        <f ca="1">+WORLDCUP!BD69</f>
        <v>Croacia</v>
      </c>
      <c r="J119" s="9" t="str">
        <f ca="1">+WORLDCUP!BD68</f>
        <v>Uzbekistán</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Catar</v>
      </c>
      <c r="F120" s="9" t="str">
        <f ca="1">+WORLDCUP!BD61</f>
        <v>Paraguay</v>
      </c>
      <c r="G120" s="9" t="str">
        <f ca="1">+WORLDCUP!BD65</f>
        <v>Arabia Saudita</v>
      </c>
      <c r="H120" s="9" t="str">
        <f ca="1">+WORLDCUP!BD63</f>
        <v>Suecia</v>
      </c>
      <c r="I120" s="9" t="str">
        <f ca="1">+WORLDCUP!BD69</f>
        <v>Croacia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Catar</v>
      </c>
      <c r="F121" s="9" t="str">
        <f ca="1">+WORLDCUP!BD61</f>
        <v>Paraguay</v>
      </c>
      <c r="G121" s="9" t="str">
        <f ca="1">+WORLDCUP!BD65</f>
        <v>Arabia Saudita</v>
      </c>
      <c r="H121" s="9" t="str">
        <f ca="1">+WORLDCUP!BD63</f>
        <v>Suecia</v>
      </c>
      <c r="I121" s="9" t="str">
        <f ca="1">+WORLDCUP!BD66</f>
        <v>Senegal</v>
      </c>
      <c r="J121" s="9" t="str">
        <f ca="1">+WORLDCUP!BD68</f>
        <v>Uzbekistán</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Nueva Zelanda</v>
      </c>
      <c r="E122" s="9" t="str">
        <f ca="1">+WORLDCUP!BD59</f>
        <v>Catar</v>
      </c>
      <c r="F122" s="9" t="str">
        <f ca="1">+WORLDCUP!BD61</f>
        <v>Paraguay</v>
      </c>
      <c r="G122" s="9" t="str">
        <f ca="1">+WORLDCUP!BD67</f>
        <v>Argelia</v>
      </c>
      <c r="H122" s="9" t="str">
        <f ca="1">+WORLDCUP!BD63</f>
        <v>Suecia</v>
      </c>
      <c r="I122" s="9" t="str">
        <f ca="1">+WORLDCUP!BD69</f>
        <v>Croacia</v>
      </c>
      <c r="J122" s="9" t="str">
        <f ca="1">+WORLDCUP!BD68</f>
        <v>Uzbekistán</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Nueva Zelanda</v>
      </c>
      <c r="E123" s="9" t="str">
        <f ca="1">+WORLDCUP!BD59</f>
        <v>Catar</v>
      </c>
      <c r="F123" s="9" t="str">
        <f ca="1">+WORLDCUP!BD61</f>
        <v>Paraguay</v>
      </c>
      <c r="G123" s="9" t="str">
        <f ca="1">+WORLDCUP!BD66</f>
        <v>Senegal</v>
      </c>
      <c r="H123" s="9" t="str">
        <f ca="1">+WORLDCUP!BD63</f>
        <v>Suecia</v>
      </c>
      <c r="I123" s="9" t="str">
        <f ca="1">+WORLDCUP!BD69</f>
        <v>Croacia</v>
      </c>
      <c r="J123" s="9" t="str">
        <f ca="1">+WORLDCUP!BD68</f>
        <v>Uzbekistán</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Nueva Zelanda</v>
      </c>
      <c r="E124" s="9" t="str">
        <f ca="1">+WORLDCUP!BD59</f>
        <v>Catar</v>
      </c>
      <c r="F124" s="9" t="str">
        <f ca="1">+WORLDCUP!BD61</f>
        <v>Paraguay</v>
      </c>
      <c r="G124" s="9" t="str">
        <f ca="1">+WORLDCUP!BD67</f>
        <v>Argelia</v>
      </c>
      <c r="H124" s="9" t="str">
        <f ca="1">+WORLDCUP!BD63</f>
        <v>Suecia</v>
      </c>
      <c r="I124" s="9" t="str">
        <f ca="1">+WORLDCUP!BD69</f>
        <v>Croacia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Nueva Zelanda</v>
      </c>
      <c r="E125" s="9" t="str">
        <f ca="1">+WORLDCUP!BD59</f>
        <v>Catar</v>
      </c>
      <c r="F125" s="9" t="str">
        <f ca="1">+WORLDCUP!BD61</f>
        <v>Paraguay</v>
      </c>
      <c r="G125" s="9" t="str">
        <f ca="1">+WORLDCUP!BD67</f>
        <v>Argelia</v>
      </c>
      <c r="H125" s="9" t="str">
        <f ca="1">+WORLDCUP!BD63</f>
        <v>Suecia</v>
      </c>
      <c r="I125" s="9" t="str">
        <f ca="1">+WORLDCUP!BD66</f>
        <v>Senegal</v>
      </c>
      <c r="J125" s="9" t="str">
        <f ca="1">+WORLDCUP!BD68</f>
        <v>Uzbekistán</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Nueva Zelanda</v>
      </c>
      <c r="E126" s="9" t="str">
        <f ca="1">+WORLDCUP!BD59</f>
        <v>Catar</v>
      </c>
      <c r="F126" s="9" t="str">
        <f ca="1">+WORLDCUP!BD61</f>
        <v>Paraguay</v>
      </c>
      <c r="G126" s="9" t="str">
        <f ca="1">+WORLDCUP!BD65</f>
        <v>Arabia Saudita</v>
      </c>
      <c r="H126" s="9" t="str">
        <f ca="1">+WORLDCUP!BD63</f>
        <v>Suecia</v>
      </c>
      <c r="I126" s="9" t="str">
        <f ca="1">+WORLDCUP!BD69</f>
        <v>Croacia</v>
      </c>
      <c r="J126" s="9" t="str">
        <f ca="1">+WORLDCUP!BD68</f>
        <v>Uzbekistán</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Nueva Zelanda</v>
      </c>
      <c r="E127" s="9" t="str">
        <f ca="1">+WORLDCUP!BD59</f>
        <v>Catar</v>
      </c>
      <c r="F127" s="9" t="str">
        <f ca="1">+WORLDCUP!BD61</f>
        <v>Paraguay</v>
      </c>
      <c r="G127" s="9" t="str">
        <f ca="1">+WORLDCUP!BD65</f>
        <v>Arabia Saudita</v>
      </c>
      <c r="H127" s="9" t="str">
        <f ca="1">+WORLDCUP!BD63</f>
        <v>Suecia</v>
      </c>
      <c r="I127" s="9" t="str">
        <f ca="1">+WORLDCUP!BD69</f>
        <v>Croacia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Nueva Zelanda</v>
      </c>
      <c r="E128" s="9" t="str">
        <f ca="1">+WORLDCUP!BD59</f>
        <v>Catar</v>
      </c>
      <c r="F128" s="9" t="str">
        <f ca="1">+WORLDCUP!BD60</f>
        <v>Escocia</v>
      </c>
      <c r="G128" s="9" t="str">
        <f ca="1">+WORLDCUP!BD67</f>
        <v>Argelia</v>
      </c>
      <c r="H128" s="9" t="str">
        <f ca="1">+WORLDCUP!BD63</f>
        <v>Suecia</v>
      </c>
      <c r="I128" s="9" t="str">
        <f ca="1">+WORLDCUP!BD61</f>
        <v>Paraguay</v>
      </c>
      <c r="J128" s="9" t="str">
        <f ca="1">+WORLDCUP!BD68</f>
        <v>Uzbekistán</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Nueva Zelanda</v>
      </c>
      <c r="E129" s="9" t="str">
        <f ca="1">+WORLDCUP!BD59</f>
        <v>Catar</v>
      </c>
      <c r="F129" s="9" t="str">
        <f ca="1">+WORLDCUP!BD61</f>
        <v>Paraguay</v>
      </c>
      <c r="G129" s="9" t="str">
        <f ca="1">+WORLDCUP!BD65</f>
        <v>Arabia Saudita</v>
      </c>
      <c r="H129" s="9" t="str">
        <f ca="1">+WORLDCUP!BD63</f>
        <v>Suecia</v>
      </c>
      <c r="I129" s="9" t="str">
        <f ca="1">+WORLDCUP!BD69</f>
        <v>Croacia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Nueva Zelanda</v>
      </c>
      <c r="E130" s="9" t="str">
        <f ca="1">+WORLDCUP!BD59</f>
        <v>Catar</v>
      </c>
      <c r="F130" s="9" t="str">
        <f ca="1">+WORLDCUP!BD61</f>
        <v>Paraguay</v>
      </c>
      <c r="G130" s="9" t="str">
        <f ca="1">+WORLDCUP!BD65</f>
        <v>Arabia Saudita</v>
      </c>
      <c r="H130" s="9" t="str">
        <f ca="1">+WORLDCUP!BD63</f>
        <v>Suecia</v>
      </c>
      <c r="I130" s="9" t="str">
        <f ca="1">+WORLDCUP!BD66</f>
        <v>Senegal</v>
      </c>
      <c r="J130" s="9" t="str">
        <f ca="1">+WORLDCUP!BD68</f>
        <v>Uzbekistán</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Nueva Zelanda</v>
      </c>
      <c r="E131" s="9" t="str">
        <f ca="1">+WORLDCUP!BD59</f>
        <v>Catar</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Argelia</v>
      </c>
      <c r="E132" s="9" t="str">
        <f ca="1">+WORLDCUP!BD59</f>
        <v>Catar</v>
      </c>
      <c r="F132" s="9" t="str">
        <f ca="1">+WORLDCUP!BD60</f>
        <v>Escocia</v>
      </c>
      <c r="G132" s="9" t="str">
        <f ca="1">+WORLDCUP!BD66</f>
        <v>Senegal</v>
      </c>
      <c r="H132" s="9" t="str">
        <f ca="1">+WORLDCUP!BD61</f>
        <v>Paraguay</v>
      </c>
      <c r="I132" s="9" t="str">
        <f ca="1">+WORLDCUP!BD69</f>
        <v>Croacia</v>
      </c>
      <c r="J132" s="9" t="str">
        <f ca="1">+WORLDCUP!BD68</f>
        <v>Uzbekistán</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Argelia</v>
      </c>
      <c r="E133" s="9" t="str">
        <f ca="1">+WORLDCUP!BD59</f>
        <v>Catar</v>
      </c>
      <c r="F133" s="9" t="str">
        <f ca="1">+WORLDCUP!BD60</f>
        <v>Escocia</v>
      </c>
      <c r="G133" s="9" t="str">
        <f ca="1">+WORLDCUP!BD65</f>
        <v>Arabia Saudita</v>
      </c>
      <c r="H133" s="9" t="str">
        <f ca="1">+WORLDCUP!BD61</f>
        <v>Paraguay</v>
      </c>
      <c r="I133" s="9" t="str">
        <f ca="1">+WORLDCUP!BD69</f>
        <v>Croacia</v>
      </c>
      <c r="J133" s="9" t="str">
        <f ca="1">+WORLDCUP!BD68</f>
        <v>Uzbekistán</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Senegal</v>
      </c>
      <c r="E134" s="9" t="str">
        <f ca="1">+WORLDCUP!BD59</f>
        <v>Catar</v>
      </c>
      <c r="F134" s="9" t="str">
        <f ca="1">+WORLDCUP!BD60</f>
        <v>Escocia</v>
      </c>
      <c r="G134" s="9" t="str">
        <f ca="1">+WORLDCUP!BD65</f>
        <v>Arabia Saudita</v>
      </c>
      <c r="H134" s="9" t="str">
        <f ca="1">+WORLDCUP!BD61</f>
        <v>Paraguay</v>
      </c>
      <c r="I134" s="9" t="str">
        <f ca="1">+WORLDCUP!BD69</f>
        <v>Croacia</v>
      </c>
      <c r="J134" s="9" t="str">
        <f ca="1">+WORLDCUP!BD68</f>
        <v>Uzbekistán</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Argelia</v>
      </c>
      <c r="E135" s="9" t="str">
        <f ca="1">+WORLDCUP!BD59</f>
        <v>Catar</v>
      </c>
      <c r="F135" s="9" t="str">
        <f ca="1">+WORLDCUP!BD60</f>
        <v>Escocia</v>
      </c>
      <c r="G135" s="9" t="str">
        <f ca="1">+WORLDCUP!BD65</f>
        <v>Arabia Saudita</v>
      </c>
      <c r="H135" s="9" t="str">
        <f ca="1">+WORLDCUP!BD61</f>
        <v>Paraguay</v>
      </c>
      <c r="I135" s="9" t="str">
        <f ca="1">+WORLDCUP!BD69</f>
        <v>Croacia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Argelia</v>
      </c>
      <c r="E136" s="9" t="str">
        <f ca="1">+WORLDCUP!BD59</f>
        <v>Catar</v>
      </c>
      <c r="F136" s="9" t="str">
        <f ca="1">+WORLDCUP!BD60</f>
        <v>Escocia</v>
      </c>
      <c r="G136" s="9" t="str">
        <f ca="1">+WORLDCUP!BD65</f>
        <v>Arabia Saudita</v>
      </c>
      <c r="H136" s="9" t="str">
        <f ca="1">+WORLDCUP!BD61</f>
        <v>Paraguay</v>
      </c>
      <c r="I136" s="9" t="str">
        <f ca="1">+WORLDCUP!BD66</f>
        <v>Senegal</v>
      </c>
      <c r="J136" s="9" t="str">
        <f ca="1">+WORLDCUP!BD68</f>
        <v>Uzbekistán</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Nueva Zelanda</v>
      </c>
      <c r="E137" s="9" t="str">
        <f ca="1">+WORLDCUP!BD59</f>
        <v>Catar</v>
      </c>
      <c r="F137" s="9" t="str">
        <f ca="1">+WORLDCUP!BD60</f>
        <v>Escocia</v>
      </c>
      <c r="G137" s="9" t="str">
        <f ca="1">+WORLDCUP!BD67</f>
        <v>Argelia</v>
      </c>
      <c r="H137" s="9" t="str">
        <f ca="1">+WORLDCUP!BD61</f>
        <v>Paraguay</v>
      </c>
      <c r="I137" s="9" t="str">
        <f ca="1">+WORLDCUP!BD69</f>
        <v>Croacia</v>
      </c>
      <c r="J137" s="9" t="str">
        <f ca="1">+WORLDCUP!BD68</f>
        <v>Uzbekistán</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Nueva Zelanda</v>
      </c>
      <c r="E138" s="9" t="str">
        <f ca="1">+WORLDCUP!BD59</f>
        <v>Catar</v>
      </c>
      <c r="F138" s="9" t="str">
        <f ca="1">+WORLDCUP!BD60</f>
        <v>Escocia</v>
      </c>
      <c r="G138" s="9" t="str">
        <f ca="1">+WORLDCUP!BD66</f>
        <v>Senegal</v>
      </c>
      <c r="H138" s="9" t="str">
        <f ca="1">+WORLDCUP!BD61</f>
        <v>Paraguay</v>
      </c>
      <c r="I138" s="9" t="str">
        <f ca="1">+WORLDCUP!BD69</f>
        <v>Croacia</v>
      </c>
      <c r="J138" s="9" t="str">
        <f ca="1">+WORLDCUP!BD68</f>
        <v>Uzbekistán</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Nueva Zelanda</v>
      </c>
      <c r="E139" s="9" t="str">
        <f ca="1">+WORLDCUP!BD59</f>
        <v>Catar</v>
      </c>
      <c r="F139" s="9" t="str">
        <f ca="1">+WORLDCUP!BD60</f>
        <v>Escocia</v>
      </c>
      <c r="G139" s="9" t="str">
        <f ca="1">+WORLDCUP!BD67</f>
        <v>Argelia</v>
      </c>
      <c r="H139" s="9" t="str">
        <f ca="1">+WORLDCUP!BD61</f>
        <v>Paraguay</v>
      </c>
      <c r="I139" s="9" t="str">
        <f ca="1">+WORLDCUP!BD69</f>
        <v>Croacia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Nueva Zelanda</v>
      </c>
      <c r="E140" s="9" t="str">
        <f ca="1">+WORLDCUP!BD59</f>
        <v>Catar</v>
      </c>
      <c r="F140" s="9" t="str">
        <f ca="1">+WORLDCUP!BD60</f>
        <v>Escocia</v>
      </c>
      <c r="G140" s="9" t="str">
        <f ca="1">+WORLDCUP!BD67</f>
        <v>Argelia</v>
      </c>
      <c r="H140" s="9" t="str">
        <f ca="1">+WORLDCUP!BD61</f>
        <v>Paraguay</v>
      </c>
      <c r="I140" s="9" t="str">
        <f ca="1">+WORLDCUP!BD66</f>
        <v>Senegal</v>
      </c>
      <c r="J140" s="9" t="str">
        <f ca="1">+WORLDCUP!BD68</f>
        <v>Uzbekistán</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Nueva Zelanda</v>
      </c>
      <c r="E141" s="9" t="str">
        <f ca="1">+WORLDCUP!BD59</f>
        <v>Catar</v>
      </c>
      <c r="F141" s="9" t="str">
        <f ca="1">+WORLDCUP!BD60</f>
        <v>Escocia</v>
      </c>
      <c r="G141" s="9" t="str">
        <f ca="1">+WORLDCUP!BD65</f>
        <v>Arabia Saudita</v>
      </c>
      <c r="H141" s="9" t="str">
        <f ca="1">+WORLDCUP!BD61</f>
        <v>Paraguay</v>
      </c>
      <c r="I141" s="9" t="str">
        <f ca="1">+WORLDCUP!BD69</f>
        <v>Croacia</v>
      </c>
      <c r="J141" s="9" t="str">
        <f ca="1">+WORLDCUP!BD68</f>
        <v>Uzbekistán</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Nueva Zelanda</v>
      </c>
      <c r="E142" s="9" t="str">
        <f ca="1">+WORLDCUP!BD59</f>
        <v>Catar</v>
      </c>
      <c r="F142" s="9" t="str">
        <f ca="1">+WORLDCUP!BD60</f>
        <v>Escocia</v>
      </c>
      <c r="G142" s="9" t="str">
        <f ca="1">+WORLDCUP!BD67</f>
        <v>Argelia</v>
      </c>
      <c r="H142" s="9" t="str">
        <f ca="1">+WORLDCUP!BD61</f>
        <v>Paraguay</v>
      </c>
      <c r="I142" s="9" t="str">
        <f ca="1">+WORLDCUP!BD69</f>
        <v>Croacia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Nueva Zelanda</v>
      </c>
      <c r="E143" s="9" t="str">
        <f ca="1">+WORLDCUP!BD59</f>
        <v>Catar</v>
      </c>
      <c r="F143" s="9" t="str">
        <f ca="1">+WORLDCUP!BD60</f>
        <v>Escocia</v>
      </c>
      <c r="G143" s="9" t="str">
        <f ca="1">+WORLDCUP!BD67</f>
        <v>Argelia</v>
      </c>
      <c r="H143" s="9" t="str">
        <f ca="1">+WORLDCUP!BD61</f>
        <v>Paraguay</v>
      </c>
      <c r="I143" s="9" t="str">
        <f ca="1">+WORLDCUP!BD62</f>
        <v>Costa de Marfil</v>
      </c>
      <c r="J143" s="9" t="str">
        <f ca="1">+WORLDCUP!BD68</f>
        <v>Uzbekistán</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Nueva Zelanda</v>
      </c>
      <c r="E144" s="9" t="str">
        <f ca="1">+WORLDCUP!BD59</f>
        <v>Catar</v>
      </c>
      <c r="F144" s="9" t="str">
        <f ca="1">+WORLDCUP!BD60</f>
        <v>Escocia</v>
      </c>
      <c r="G144" s="9" t="str">
        <f ca="1">+WORLDCUP!BD65</f>
        <v>Arabia Saudita</v>
      </c>
      <c r="H144" s="9" t="str">
        <f ca="1">+WORLDCUP!BD61</f>
        <v>Paraguay</v>
      </c>
      <c r="I144" s="9" t="str">
        <f ca="1">+WORLDCUP!BD69</f>
        <v>Croacia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Nueva Zelanda</v>
      </c>
      <c r="E145" s="9" t="str">
        <f ca="1">+WORLDCUP!BD59</f>
        <v>Catar</v>
      </c>
      <c r="F145" s="9" t="str">
        <f ca="1">+WORLDCUP!BD60</f>
        <v>Escocia</v>
      </c>
      <c r="G145" s="9" t="str">
        <f ca="1">+WORLDCUP!BD65</f>
        <v>Arabia Saudita</v>
      </c>
      <c r="H145" s="9" t="str">
        <f ca="1">+WORLDCUP!BD61</f>
        <v>Paraguay</v>
      </c>
      <c r="I145" s="9" t="str">
        <f ca="1">+WORLDCUP!BD66</f>
        <v>Senegal</v>
      </c>
      <c r="J145" s="9" t="str">
        <f ca="1">+WORLDCUP!BD68</f>
        <v>Uzbekistán</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Nueva Zelanda</v>
      </c>
      <c r="E146" s="9" t="str">
        <f ca="1">+WORLDCUP!BD59</f>
        <v>Catar</v>
      </c>
      <c r="F146" s="9" t="str">
        <f ca="1">+WORLDCUP!BD60</f>
        <v>Escocia</v>
      </c>
      <c r="G146" s="9" t="str">
        <f ca="1">+WORLDCUP!BD67</f>
        <v>Argelia</v>
      </c>
      <c r="H146" s="9" t="str">
        <f ca="1">+WORLDCUP!BD61</f>
        <v>Paraguay</v>
      </c>
      <c r="I146" s="9" t="str">
        <f ca="1">+WORLDCUP!BD62</f>
        <v>Costa de Marfil</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Catar</v>
      </c>
      <c r="F147" s="9" t="str">
        <f ca="1">+WORLDCUP!BD61</f>
        <v>Paraguay</v>
      </c>
      <c r="G147" s="9" t="str">
        <f ca="1">+WORLDCUP!BD62</f>
        <v>Costa de Marfil</v>
      </c>
      <c r="H147" s="9" t="str">
        <f ca="1">+WORLDCUP!BD63</f>
        <v>Suecia</v>
      </c>
      <c r="I147" s="9" t="str">
        <f ca="1">+WORLDCUP!BD69</f>
        <v>Croacia</v>
      </c>
      <c r="J147" s="9" t="str">
        <f ca="1">+WORLDCUP!BD68</f>
        <v>Uzbekistán</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Costa de Marfil</v>
      </c>
      <c r="E148" s="9" t="str">
        <f ca="1">+WORLDCUP!BD59</f>
        <v>Catar</v>
      </c>
      <c r="F148" s="9" t="str">
        <f ca="1">+WORLDCUP!BD61</f>
        <v>Paraguay</v>
      </c>
      <c r="G148" s="9" t="str">
        <f ca="1">+WORLDCUP!BD66</f>
        <v>Senegal</v>
      </c>
      <c r="H148" s="9" t="str">
        <f ca="1">+WORLDCUP!BD63</f>
        <v>Suecia</v>
      </c>
      <c r="I148" s="9" t="str">
        <f ca="1">+WORLDCUP!BD69</f>
        <v>Croacia</v>
      </c>
      <c r="J148" s="9" t="str">
        <f ca="1">+WORLDCUP!BD68</f>
        <v>Uzbekistán</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Catar</v>
      </c>
      <c r="F149" s="9" t="str">
        <f ca="1">+WORLDCUP!BD61</f>
        <v>Paraguay</v>
      </c>
      <c r="G149" s="9" t="str">
        <f ca="1">+WORLDCUP!BD62</f>
        <v>Costa de Marfil</v>
      </c>
      <c r="H149" s="9" t="str">
        <f ca="1">+WORLDCUP!BD63</f>
        <v>Suecia</v>
      </c>
      <c r="I149" s="9" t="str">
        <f ca="1">+WORLDCUP!BD69</f>
        <v>Croacia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Catar</v>
      </c>
      <c r="F150" s="9" t="str">
        <f ca="1">+WORLDCUP!BD61</f>
        <v>Paraguay</v>
      </c>
      <c r="G150" s="9" t="str">
        <f ca="1">+WORLDCUP!BD62</f>
        <v>Costa de Marfil</v>
      </c>
      <c r="H150" s="9" t="str">
        <f ca="1">+WORLDCUP!BD63</f>
        <v>Suecia</v>
      </c>
      <c r="I150" s="9" t="str">
        <f ca="1">+WORLDCUP!BD66</f>
        <v>Senegal</v>
      </c>
      <c r="J150" s="9" t="str">
        <f ca="1">+WORLDCUP!BD68</f>
        <v>Uzbekistán</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Costa de Marfil</v>
      </c>
      <c r="E151" s="9" t="str">
        <f ca="1">+WORLDCUP!BD59</f>
        <v>Catar</v>
      </c>
      <c r="F151" s="9" t="str">
        <f ca="1">+WORLDCUP!BD61</f>
        <v>Paraguay</v>
      </c>
      <c r="G151" s="9" t="str">
        <f ca="1">+WORLDCUP!BD65</f>
        <v>Arabia Saudita</v>
      </c>
      <c r="H151" s="9" t="str">
        <f ca="1">+WORLDCUP!BD63</f>
        <v>Suecia</v>
      </c>
      <c r="I151" s="9" t="str">
        <f ca="1">+WORLDCUP!BD69</f>
        <v>Croacia</v>
      </c>
      <c r="J151" s="9" t="str">
        <f ca="1">+WORLDCUP!BD68</f>
        <v>Uzbekistán</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Catar</v>
      </c>
      <c r="F152" s="9" t="str">
        <f ca="1">+WORLDCUP!BD61</f>
        <v>Paraguay</v>
      </c>
      <c r="G152" s="9" t="str">
        <f ca="1">+WORLDCUP!BD65</f>
        <v>Arabia Saudita</v>
      </c>
      <c r="H152" s="9" t="str">
        <f ca="1">+WORLDCUP!BD63</f>
        <v>Suecia</v>
      </c>
      <c r="I152" s="9" t="str">
        <f ca="1">+WORLDCUP!BD69</f>
        <v>Croacia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Catar</v>
      </c>
      <c r="F153" s="9" t="str">
        <f ca="1">+WORLDCUP!BD61</f>
        <v>Paraguay</v>
      </c>
      <c r="G153" s="9" t="str">
        <f ca="1">+WORLDCUP!BD65</f>
        <v>Arabia Saudita</v>
      </c>
      <c r="H153" s="9" t="str">
        <f ca="1">+WORLDCUP!BD63</f>
        <v>Suecia</v>
      </c>
      <c r="I153" s="9" t="str">
        <f ca="1">+WORLDCUP!BD62</f>
        <v>Costa de Marfil</v>
      </c>
      <c r="J153" s="9" t="str">
        <f ca="1">+WORLDCUP!BD68</f>
        <v>Uzbekistán</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Costa de Marfil</v>
      </c>
      <c r="E154" s="9" t="str">
        <f ca="1">+WORLDCUP!BD59</f>
        <v>Catar</v>
      </c>
      <c r="F154" s="9" t="str">
        <f ca="1">+WORLDCUP!BD61</f>
        <v>Paraguay</v>
      </c>
      <c r="G154" s="9" t="str">
        <f ca="1">+WORLDCUP!BD65</f>
        <v>Arabia Saudita</v>
      </c>
      <c r="H154" s="9" t="str">
        <f ca="1">+WORLDCUP!BD63</f>
        <v>Suecia</v>
      </c>
      <c r="I154" s="9" t="str">
        <f ca="1">+WORLDCUP!BD69</f>
        <v>Croacia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Costa de Marfil</v>
      </c>
      <c r="E155" s="9" t="str">
        <f ca="1">+WORLDCUP!BD59</f>
        <v>Catar</v>
      </c>
      <c r="F155" s="9" t="str">
        <f ca="1">+WORLDCUP!BD61</f>
        <v>Paraguay</v>
      </c>
      <c r="G155" s="9" t="str">
        <f ca="1">+WORLDCUP!BD65</f>
        <v>Arabia Saudita</v>
      </c>
      <c r="H155" s="9" t="str">
        <f ca="1">+WORLDCUP!BD63</f>
        <v>Suecia</v>
      </c>
      <c r="I155" s="9" t="str">
        <f ca="1">+WORLDCUP!BD66</f>
        <v>Senegal</v>
      </c>
      <c r="J155" s="9" t="str">
        <f ca="1">+WORLDCUP!BD68</f>
        <v>Uzbekistán</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Catar</v>
      </c>
      <c r="F156" s="9" t="str">
        <f ca="1">+WORLDCUP!BD61</f>
        <v>Paraguay</v>
      </c>
      <c r="G156" s="9" t="str">
        <f ca="1">+WORLDCUP!BD65</f>
        <v>Arabia Saudita</v>
      </c>
      <c r="H156" s="9" t="str">
        <f ca="1">+WORLDCUP!BD63</f>
        <v>Suecia</v>
      </c>
      <c r="I156" s="9" t="str">
        <f ca="1">+WORLDCUP!BD62</f>
        <v>Costa de Marfil</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Nueva Zelanda</v>
      </c>
      <c r="E157" s="9" t="str">
        <f ca="1">+WORLDCUP!BD59</f>
        <v>Catar</v>
      </c>
      <c r="F157" s="9" t="str">
        <f ca="1">+WORLDCUP!BD61</f>
        <v>Paraguay</v>
      </c>
      <c r="G157" s="9" t="str">
        <f ca="1">+WORLDCUP!BD62</f>
        <v>Costa de Marfil</v>
      </c>
      <c r="H157" s="9" t="str">
        <f ca="1">+WORLDCUP!BD63</f>
        <v>Suecia</v>
      </c>
      <c r="I157" s="9" t="str">
        <f ca="1">+WORLDCUP!BD69</f>
        <v>Croacia</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Nueva Zelanda</v>
      </c>
      <c r="E158" s="9" t="str">
        <f ca="1">+WORLDCUP!BD59</f>
        <v>Catar</v>
      </c>
      <c r="F158" s="9" t="str">
        <f ca="1">+WORLDCUP!BD61</f>
        <v>Paraguay</v>
      </c>
      <c r="G158" s="9" t="str">
        <f ca="1">+WORLDCUP!BD67</f>
        <v>Argelia</v>
      </c>
      <c r="H158" s="9" t="str">
        <f ca="1">+WORLDCUP!BD63</f>
        <v>Suecia</v>
      </c>
      <c r="I158" s="9" t="str">
        <f ca="1">+WORLDCUP!BD69</f>
        <v>Croacia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Nueva Zelanda</v>
      </c>
      <c r="E159" s="9" t="str">
        <f ca="1">+WORLDCUP!BD59</f>
        <v>Catar</v>
      </c>
      <c r="F159" s="9" t="str">
        <f ca="1">+WORLDCUP!BD61</f>
        <v>Paraguay</v>
      </c>
      <c r="G159" s="9" t="str">
        <f ca="1">+WORLDCUP!BD67</f>
        <v>Argelia</v>
      </c>
      <c r="H159" s="9" t="str">
        <f ca="1">+WORLDCUP!BD63</f>
        <v>Suecia</v>
      </c>
      <c r="I159" s="9" t="str">
        <f ca="1">+WORLDCUP!BD62</f>
        <v>Costa de Marfil</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Nueva Zelanda</v>
      </c>
      <c r="E160" s="9" t="str">
        <f ca="1">+WORLDCUP!BD59</f>
        <v>Catar</v>
      </c>
      <c r="F160" s="9" t="str">
        <f ca="1">+WORLDCUP!BD61</f>
        <v>Paraguay</v>
      </c>
      <c r="G160" s="9" t="str">
        <f ca="1">+WORLDCUP!BD62</f>
        <v>Costa de Marfil</v>
      </c>
      <c r="H160" s="9" t="str">
        <f ca="1">+WORLDCUP!BD63</f>
        <v>Suecia</v>
      </c>
      <c r="I160" s="9" t="str">
        <f ca="1">+WORLDCUP!BD69</f>
        <v>Croacia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Nueva Zelanda</v>
      </c>
      <c r="E161" s="9" t="str">
        <f ca="1">+WORLDCUP!BD59</f>
        <v>Catar</v>
      </c>
      <c r="F161" s="9" t="str">
        <f ca="1">+WORLDCUP!BD61</f>
        <v>Paraguay</v>
      </c>
      <c r="G161" s="9" t="str">
        <f ca="1">+WORLDCUP!BD62</f>
        <v>Costa de Marfil</v>
      </c>
      <c r="H161" s="9" t="str">
        <f ca="1">+WORLDCUP!BD63</f>
        <v>Suecia</v>
      </c>
      <c r="I161" s="9" t="str">
        <f ca="1">+WORLDCUP!BD66</f>
        <v>Senegal</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Nueva Zelanda</v>
      </c>
      <c r="E162" s="9" t="str">
        <f ca="1">+WORLDCUP!BD59</f>
        <v>Catar</v>
      </c>
      <c r="F162" s="9" t="str">
        <f ca="1">+WORLDCUP!BD61</f>
        <v>Paraguay</v>
      </c>
      <c r="G162" s="9" t="str">
        <f ca="1">+WORLDCUP!BD67</f>
        <v>Argelia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Nueva Zelanda</v>
      </c>
      <c r="E163" s="9" t="str">
        <f ca="1">+WORLDCUP!BD59</f>
        <v>Catar</v>
      </c>
      <c r="F163" s="9" t="str">
        <f ca="1">+WORLDCUP!BD61</f>
        <v>Paraguay</v>
      </c>
      <c r="G163" s="9" t="str">
        <f ca="1">+WORLDCUP!BD65</f>
        <v>Arabia Saudita</v>
      </c>
      <c r="H163" s="9" t="str">
        <f ca="1">+WORLDCUP!BD63</f>
        <v>Suecia</v>
      </c>
      <c r="I163" s="9" t="str">
        <f ca="1">+WORLDCUP!BD69</f>
        <v>Croacia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Nueva Zelanda</v>
      </c>
      <c r="E164" s="9" t="str">
        <f ca="1">+WORLDCUP!BD59</f>
        <v>Catar</v>
      </c>
      <c r="F164" s="9" t="str">
        <f ca="1">+WORLDCUP!BD61</f>
        <v>Paraguay</v>
      </c>
      <c r="G164" s="9" t="str">
        <f ca="1">+WORLDCUP!BD65</f>
        <v>Arabia Saudita</v>
      </c>
      <c r="H164" s="9" t="str">
        <f ca="1">+WORLDCUP!BD63</f>
        <v>Suecia</v>
      </c>
      <c r="I164" s="9" t="str">
        <f ca="1">+WORLDCUP!BD62</f>
        <v>Costa de Marfil</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Nueva Zelanda</v>
      </c>
      <c r="E165" s="9" t="str">
        <f ca="1">+WORLDCUP!BD59</f>
        <v>Catar</v>
      </c>
      <c r="F165" s="9" t="str">
        <f ca="1">+WORLDCUP!BD60</f>
        <v>Escocia</v>
      </c>
      <c r="G165" s="9" t="str">
        <f ca="1">+WORLDCUP!BD67</f>
        <v>Argelia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Nueva Zelanda</v>
      </c>
      <c r="E166" s="9" t="str">
        <f ca="1">+WORLDCUP!BD59</f>
        <v>Catar</v>
      </c>
      <c r="F166" s="9" t="str">
        <f ca="1">+WORLDCUP!BD61</f>
        <v>Paraguay</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Argelia</v>
      </c>
      <c r="E167" s="9" t="str">
        <f ca="1">+WORLDCUP!BD66</f>
        <v>Senegal</v>
      </c>
      <c r="F167" s="9" t="str">
        <f ca="1">+WORLDCUP!BD63</f>
        <v>Suecia</v>
      </c>
      <c r="G167" s="9" t="str">
        <f ca="1">+WORLDCUP!BD58</f>
        <v>República Checa</v>
      </c>
      <c r="H167" s="9" t="str">
        <f ca="1">+WORLDCUP!BD64</f>
        <v>Nueva Zelanda</v>
      </c>
      <c r="I167" s="9" t="str">
        <f ca="1">+WORLDCUP!BD69</f>
        <v>Croacia</v>
      </c>
      <c r="J167" s="9" t="str">
        <f ca="1">+WORLDCUP!BD68</f>
        <v>Uzbekistán</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Argelia</v>
      </c>
      <c r="E168" s="9" t="str">
        <f ca="1">+WORLDCUP!BD66</f>
        <v>Senegal</v>
      </c>
      <c r="F168" s="9" t="str">
        <f ca="1">+WORLDCUP!BD58</f>
        <v>República Checa</v>
      </c>
      <c r="G168" s="9" t="str">
        <f ca="1">+WORLDCUP!BD65</f>
        <v>Arabia Saudita</v>
      </c>
      <c r="H168" s="9" t="str">
        <f ca="1">+WORLDCUP!BD64</f>
        <v>Nueva Zelanda</v>
      </c>
      <c r="I168" s="9" t="str">
        <f ca="1">+WORLDCUP!BD69</f>
        <v>Croacia</v>
      </c>
      <c r="J168" s="9" t="str">
        <f ca="1">+WORLDCUP!BD68</f>
        <v>Uzbekistán</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República Checa</v>
      </c>
      <c r="H169" s="9" t="str">
        <f ca="1">+WORLDCUP!BD65</f>
        <v>Arabia Saudita</v>
      </c>
      <c r="I169" s="9" t="str">
        <f ca="1">+WORLDCUP!BD69</f>
        <v>Croacia</v>
      </c>
      <c r="J169" s="9" t="str">
        <f ca="1">+WORLDCUP!BD68</f>
        <v>Uzbekistán</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República Checa</v>
      </c>
      <c r="H170" s="9" t="str">
        <f ca="1">+WORLDCUP!BD64</f>
        <v>Nueva Zelanda</v>
      </c>
      <c r="I170" s="9" t="str">
        <f ca="1">+WORLDCUP!BD69</f>
        <v>Croacia</v>
      </c>
      <c r="J170" s="9" t="str">
        <f ca="1">+WORLDCUP!BD68</f>
        <v>Uzbekistán</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Nueva Zelanda</v>
      </c>
      <c r="E171" s="9" t="str">
        <f ca="1">+WORLDCUP!BD67</f>
        <v>Argelia</v>
      </c>
      <c r="F171" s="9" t="str">
        <f ca="1">+WORLDCUP!BD63</f>
        <v>Suecia</v>
      </c>
      <c r="G171" s="9" t="str">
        <f ca="1">+WORLDCUP!BD58</f>
        <v>República Checa</v>
      </c>
      <c r="H171" s="9" t="str">
        <f ca="1">+WORLDCUP!BD65</f>
        <v>Arabia Saudita</v>
      </c>
      <c r="I171" s="9" t="str">
        <f ca="1">+WORLDCUP!BD69</f>
        <v>Croacia</v>
      </c>
      <c r="J171" s="9" t="str">
        <f ca="1">+WORLDCUP!BD68</f>
        <v>Uzbekistán</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Nueva Zelanda</v>
      </c>
      <c r="E172" s="9" t="str">
        <f ca="1">+WORLDCUP!BD66</f>
        <v>Senegal</v>
      </c>
      <c r="F172" s="9" t="str">
        <f ca="1">+WORLDCUP!BD63</f>
        <v>Suecia</v>
      </c>
      <c r="G172" s="9" t="str">
        <f ca="1">+WORLDCUP!BD58</f>
        <v>República Checa</v>
      </c>
      <c r="H172" s="9" t="str">
        <f ca="1">+WORLDCUP!BD65</f>
        <v>Arabia Saudita</v>
      </c>
      <c r="I172" s="9" t="str">
        <f ca="1">+WORLDCUP!BD69</f>
        <v>Croacia</v>
      </c>
      <c r="J172" s="9" t="str">
        <f ca="1">+WORLDCUP!BD68</f>
        <v>Uzbekistán</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Costa de Marfil</v>
      </c>
      <c r="D173" s="9" t="str">
        <f ca="1">+WORLDCUP!BD64</f>
        <v>Nueva Zelanda</v>
      </c>
      <c r="E173" s="9" t="str">
        <f ca="1">+WORLDCUP!BD67</f>
        <v>Argelia</v>
      </c>
      <c r="F173" s="9" t="str">
        <f ca="1">+WORLDCUP!BD63</f>
        <v>Suecia</v>
      </c>
      <c r="G173" s="9" t="str">
        <f ca="1">+WORLDCUP!BD58</f>
        <v>República Checa</v>
      </c>
      <c r="H173" s="9" t="str">
        <f ca="1">+WORLDCUP!BD65</f>
        <v>Arabia Saudita</v>
      </c>
      <c r="I173" s="9" t="str">
        <f ca="1">+WORLDCUP!BD69</f>
        <v>Croacia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Nueva Zelanda</v>
      </c>
      <c r="E174" s="9" t="str">
        <f ca="1">+WORLDCUP!BD67</f>
        <v>Argelia</v>
      </c>
      <c r="F174" s="9" t="str">
        <f ca="1">+WORLDCUP!BD63</f>
        <v>Suecia</v>
      </c>
      <c r="G174" s="9" t="str">
        <f ca="1">+WORLDCUP!BD58</f>
        <v>República Checa</v>
      </c>
      <c r="H174" s="9" t="str">
        <f ca="1">+WORLDCUP!BD65</f>
        <v>Arabia Saudita</v>
      </c>
      <c r="I174" s="9" t="str">
        <f ca="1">+WORLDCUP!BD66</f>
        <v>Senegal</v>
      </c>
      <c r="J174" s="9" t="str">
        <f ca="1">+WORLDCUP!BD68</f>
        <v>Uzbekistán</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República Checa</v>
      </c>
      <c r="H175" s="9" t="str">
        <f ca="1">+WORLDCUP!BD64</f>
        <v>Nueva Zelanda</v>
      </c>
      <c r="I175" s="9" t="str">
        <f ca="1">+WORLDCUP!BD69</f>
        <v>Croacia</v>
      </c>
      <c r="J175" s="9" t="str">
        <f ca="1">+WORLDCUP!BD68</f>
        <v>Uzbekistán</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República Checa</v>
      </c>
      <c r="H176" s="9" t="str">
        <f ca="1">+WORLDCUP!BD63</f>
        <v>Suecia</v>
      </c>
      <c r="I176" s="9" t="str">
        <f ca="1">+WORLDCUP!BD69</f>
        <v>Croacia</v>
      </c>
      <c r="J176" s="9" t="str">
        <f ca="1">+WORLDCUP!BD68</f>
        <v>Uzbekistán</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Nueva Zelanda</v>
      </c>
      <c r="E177" s="9" t="str">
        <f ca="1">+WORLDCUP!BD67</f>
        <v>Argelia</v>
      </c>
      <c r="F177" s="9" t="str">
        <f ca="1">+WORLDCUP!BD61</f>
        <v>Paraguay</v>
      </c>
      <c r="G177" s="9" t="str">
        <f ca="1">+WORLDCUP!BD58</f>
        <v>República Checa</v>
      </c>
      <c r="H177" s="9" t="str">
        <f ca="1">+WORLDCUP!BD63</f>
        <v>Suecia</v>
      </c>
      <c r="I177" s="9" t="str">
        <f ca="1">+WORLDCUP!BD69</f>
        <v>Croacia</v>
      </c>
      <c r="J177" s="9" t="str">
        <f ca="1">+WORLDCUP!BD68</f>
        <v>Uzbekistán</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Nueva Zelanda</v>
      </c>
      <c r="E178" s="9" t="str">
        <f ca="1">+WORLDCUP!BD67</f>
        <v>Argelia</v>
      </c>
      <c r="F178" s="9" t="str">
        <f ca="1">+WORLDCUP!BD61</f>
        <v>Paraguay</v>
      </c>
      <c r="G178" s="9" t="str">
        <f ca="1">+WORLDCUP!BD58</f>
        <v>República Checa</v>
      </c>
      <c r="H178" s="9" t="str">
        <f ca="1">+WORLDCUP!BD63</f>
        <v>Suecia</v>
      </c>
      <c r="I178" s="9" t="str">
        <f ca="1">+WORLDCUP!BD69</f>
        <v>Croacia</v>
      </c>
      <c r="J178" s="9" t="str">
        <f ca="1">+WORLDCUP!BD68</f>
        <v>Uzbekistán</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Nueva Zelanda</v>
      </c>
      <c r="E179" s="9" t="str">
        <f ca="1">+WORLDCUP!BD66</f>
        <v>Senegal</v>
      </c>
      <c r="F179" s="9" t="str">
        <f ca="1">+WORLDCUP!BD61</f>
        <v>Paraguay</v>
      </c>
      <c r="G179" s="9" t="str">
        <f ca="1">+WORLDCUP!BD58</f>
        <v>República Checa</v>
      </c>
      <c r="H179" s="9" t="str">
        <f ca="1">+WORLDCUP!BD63</f>
        <v>Suecia</v>
      </c>
      <c r="I179" s="9" t="str">
        <f ca="1">+WORLDCUP!BD69</f>
        <v>Croacia</v>
      </c>
      <c r="J179" s="9" t="str">
        <f ca="1">+WORLDCUP!BD68</f>
        <v>Uzbekistán</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Nueva Zelanda</v>
      </c>
      <c r="E180" s="9" t="str">
        <f ca="1">+WORLDCUP!BD67</f>
        <v>Argelia</v>
      </c>
      <c r="F180" s="9" t="str">
        <f ca="1">+WORLDCUP!BD61</f>
        <v>Paraguay</v>
      </c>
      <c r="G180" s="9" t="str">
        <f ca="1">+WORLDCUP!BD58</f>
        <v>República Checa</v>
      </c>
      <c r="H180" s="9" t="str">
        <f ca="1">+WORLDCUP!BD63</f>
        <v>Suecia</v>
      </c>
      <c r="I180" s="9" t="str">
        <f ca="1">+WORLDCUP!BD69</f>
        <v>Croacia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Nueva Zelanda</v>
      </c>
      <c r="E181" s="9" t="str">
        <f ca="1">+WORLDCUP!BD67</f>
        <v>Argelia</v>
      </c>
      <c r="F181" s="9" t="str">
        <f ca="1">+WORLDCUP!BD61</f>
        <v>Paraguay</v>
      </c>
      <c r="G181" s="9" t="str">
        <f ca="1">+WORLDCUP!BD58</f>
        <v>República Checa</v>
      </c>
      <c r="H181" s="9" t="str">
        <f ca="1">+WORLDCUP!BD63</f>
        <v>Suecia</v>
      </c>
      <c r="I181" s="9" t="str">
        <f ca="1">+WORLDCUP!BD66</f>
        <v>Senegal</v>
      </c>
      <c r="J181" s="9" t="str">
        <f ca="1">+WORLDCUP!BD68</f>
        <v>Uzbekistán</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República Checa</v>
      </c>
      <c r="H182" s="9" t="str">
        <f ca="1">+WORLDCUP!BD65</f>
        <v>Arabia Saudita</v>
      </c>
      <c r="I182" s="9" t="str">
        <f ca="1">+WORLDCUP!BD69</f>
        <v>Croacia</v>
      </c>
      <c r="J182" s="9" t="str">
        <f ca="1">+WORLDCUP!BD68</f>
        <v>Uzbekistán</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República Checa</v>
      </c>
      <c r="H183" s="9" t="str">
        <f ca="1">+WORLDCUP!BD64</f>
        <v>Nueva Zelanda</v>
      </c>
      <c r="I183" s="9" t="str">
        <f ca="1">+WORLDCUP!BD69</f>
        <v>Croacia</v>
      </c>
      <c r="J183" s="9" t="str">
        <f ca="1">+WORLDCUP!BD68</f>
        <v>Uzbekistán</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Nueva Zelanda</v>
      </c>
      <c r="E184" s="9" t="str">
        <f ca="1">+WORLDCUP!BD67</f>
        <v>Argelia</v>
      </c>
      <c r="F184" s="9" t="str">
        <f ca="1">+WORLDCUP!BD61</f>
        <v>Paraguay</v>
      </c>
      <c r="G184" s="9" t="str">
        <f ca="1">+WORLDCUP!BD58</f>
        <v>República Checa</v>
      </c>
      <c r="H184" s="9" t="str">
        <f ca="1">+WORLDCUP!BD65</f>
        <v>Arabia Saudita</v>
      </c>
      <c r="I184" s="9" t="str">
        <f ca="1">+WORLDCUP!BD69</f>
        <v>Croacia</v>
      </c>
      <c r="J184" s="9" t="str">
        <f ca="1">+WORLDCUP!BD68</f>
        <v>Uzbekistán</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Nueva Zelanda</v>
      </c>
      <c r="E185" s="9" t="str">
        <f ca="1">+WORLDCUP!BD66</f>
        <v>Senegal</v>
      </c>
      <c r="F185" s="9" t="str">
        <f ca="1">+WORLDCUP!BD61</f>
        <v>Paraguay</v>
      </c>
      <c r="G185" s="9" t="str">
        <f ca="1">+WORLDCUP!BD58</f>
        <v>República Checa</v>
      </c>
      <c r="H185" s="9" t="str">
        <f ca="1">+WORLDCUP!BD65</f>
        <v>Arabia Saudita</v>
      </c>
      <c r="I185" s="9" t="str">
        <f ca="1">+WORLDCUP!BD69</f>
        <v>Croacia</v>
      </c>
      <c r="J185" s="9" t="str">
        <f ca="1">+WORLDCUP!BD68</f>
        <v>Uzbekistán</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Nueva Zelanda</v>
      </c>
      <c r="E186" s="9" t="str">
        <f ca="1">+WORLDCUP!BD67</f>
        <v>Argelia</v>
      </c>
      <c r="F186" s="9" t="str">
        <f ca="1">+WORLDCUP!BD61</f>
        <v>Paraguay</v>
      </c>
      <c r="G186" s="9" t="str">
        <f ca="1">+WORLDCUP!BD58</f>
        <v>República Checa</v>
      </c>
      <c r="H186" s="9" t="str">
        <f ca="1">+WORLDCUP!BD65</f>
        <v>Arabia Saudita</v>
      </c>
      <c r="I186" s="9" t="str">
        <f ca="1">+WORLDCUP!BD69</f>
        <v>Croacia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Nueva Zelanda</v>
      </c>
      <c r="E187" s="9" t="str">
        <f ca="1">+WORLDCUP!BD67</f>
        <v>Argelia</v>
      </c>
      <c r="F187" s="9" t="str">
        <f ca="1">+WORLDCUP!BD61</f>
        <v>Paraguay</v>
      </c>
      <c r="G187" s="9" t="str">
        <f ca="1">+WORLDCUP!BD58</f>
        <v>República Checa</v>
      </c>
      <c r="H187" s="9" t="str">
        <f ca="1">+WORLDCUP!BD65</f>
        <v>Arabia Saudita</v>
      </c>
      <c r="I187" s="9" t="str">
        <f ca="1">+WORLDCUP!BD66</f>
        <v>Senegal</v>
      </c>
      <c r="J187" s="9" t="str">
        <f ca="1">+WORLDCUP!BD68</f>
        <v>Uzbekistán</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República Checa</v>
      </c>
      <c r="H188" s="9" t="str">
        <f ca="1">+WORLDCUP!BD63</f>
        <v>Suecia</v>
      </c>
      <c r="I188" s="9" t="str">
        <f ca="1">+WORLDCUP!BD69</f>
        <v>Croacia</v>
      </c>
      <c r="J188" s="9" t="str">
        <f ca="1">+WORLDCUP!BD68</f>
        <v>Uzbekistán</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República Checa</v>
      </c>
      <c r="H189" s="9" t="str">
        <f ca="1">+WORLDCUP!BD63</f>
        <v>Suecia</v>
      </c>
      <c r="I189" s="9" t="str">
        <f ca="1">+WORLDCUP!BD69</f>
        <v>Croacia</v>
      </c>
      <c r="J189" s="9" t="str">
        <f ca="1">+WORLDCUP!BD68</f>
        <v>Uzbekistán</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República Checa</v>
      </c>
      <c r="H190" s="9" t="str">
        <f ca="1">+WORLDCUP!BD63</f>
        <v>Suecia</v>
      </c>
      <c r="I190" s="9" t="str">
        <f ca="1">+WORLDCUP!BD69</f>
        <v>Croacia</v>
      </c>
      <c r="J190" s="9" t="str">
        <f ca="1">+WORLDCUP!BD68</f>
        <v>Uzbekistán</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República Checa</v>
      </c>
      <c r="H191" s="9" t="str">
        <f ca="1">+WORLDCUP!BD63</f>
        <v>Suecia</v>
      </c>
      <c r="I191" s="9" t="str">
        <f ca="1">+WORLDCUP!BD69</f>
        <v>Croacia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República Checa</v>
      </c>
      <c r="H192" s="9" t="str">
        <f ca="1">+WORLDCUP!BD63</f>
        <v>Suecia</v>
      </c>
      <c r="I192" s="9" t="str">
        <f ca="1">+WORLDCUP!BD66</f>
        <v>Senegal</v>
      </c>
      <c r="J192" s="9" t="str">
        <f ca="1">+WORLDCUP!BD68</f>
        <v>Uzbekistán</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Nueva Zelanda</v>
      </c>
      <c r="E193" s="9" t="str">
        <f ca="1">+WORLDCUP!BD67</f>
        <v>Argelia</v>
      </c>
      <c r="F193" s="9" t="str">
        <f ca="1">+WORLDCUP!BD61</f>
        <v>Paraguay</v>
      </c>
      <c r="G193" s="9" t="str">
        <f ca="1">+WORLDCUP!BD58</f>
        <v>República Checa</v>
      </c>
      <c r="H193" s="9" t="str">
        <f ca="1">+WORLDCUP!BD63</f>
        <v>Suecia</v>
      </c>
      <c r="I193" s="9" t="str">
        <f ca="1">+WORLDCUP!BD69</f>
        <v>Croacia</v>
      </c>
      <c r="J193" s="9" t="str">
        <f ca="1">+WORLDCUP!BD68</f>
        <v>Uzbekistán</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Nueva Zelanda</v>
      </c>
      <c r="E194" s="9" t="str">
        <f ca="1">+WORLDCUP!BD66</f>
        <v>Senegal</v>
      </c>
      <c r="F194" s="9" t="str">
        <f ca="1">+WORLDCUP!BD61</f>
        <v>Paraguay</v>
      </c>
      <c r="G194" s="9" t="str">
        <f ca="1">+WORLDCUP!BD58</f>
        <v>República Checa</v>
      </c>
      <c r="H194" s="9" t="str">
        <f ca="1">+WORLDCUP!BD63</f>
        <v>Suecia</v>
      </c>
      <c r="I194" s="9" t="str">
        <f ca="1">+WORLDCUP!BD69</f>
        <v>Croacia</v>
      </c>
      <c r="J194" s="9" t="str">
        <f ca="1">+WORLDCUP!BD68</f>
        <v>Uzbekistán</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Nueva Zelanda</v>
      </c>
      <c r="E195" s="9" t="str">
        <f ca="1">+WORLDCUP!BD67</f>
        <v>Argelia</v>
      </c>
      <c r="F195" s="9" t="str">
        <f ca="1">+WORLDCUP!BD61</f>
        <v>Paraguay</v>
      </c>
      <c r="G195" s="9" t="str">
        <f ca="1">+WORLDCUP!BD58</f>
        <v>República Checa</v>
      </c>
      <c r="H195" s="9" t="str">
        <f ca="1">+WORLDCUP!BD63</f>
        <v>Suecia</v>
      </c>
      <c r="I195" s="9" t="str">
        <f ca="1">+WORLDCUP!BD69</f>
        <v>Croacia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Nueva Zelanda</v>
      </c>
      <c r="E196" s="9" t="str">
        <f ca="1">+WORLDCUP!BD67</f>
        <v>Argelia</v>
      </c>
      <c r="F196" s="9" t="str">
        <f ca="1">+WORLDCUP!BD61</f>
        <v>Paraguay</v>
      </c>
      <c r="G196" s="9" t="str">
        <f ca="1">+WORLDCUP!BD58</f>
        <v>República Checa</v>
      </c>
      <c r="H196" s="9" t="str">
        <f ca="1">+WORLDCUP!BD63</f>
        <v>Suecia</v>
      </c>
      <c r="I196" s="9" t="str">
        <f ca="1">+WORLDCUP!BD66</f>
        <v>Senegal</v>
      </c>
      <c r="J196" s="9" t="str">
        <f ca="1">+WORLDCUP!BD68</f>
        <v>Uzbekistán</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Nueva Zelanda</v>
      </c>
      <c r="E197" s="9" t="str">
        <f ca="1">+WORLDCUP!BD62</f>
        <v>Costa de Marfil</v>
      </c>
      <c r="F197" s="9" t="str">
        <f ca="1">+WORLDCUP!BD61</f>
        <v>Paraguay</v>
      </c>
      <c r="G197" s="9" t="str">
        <f ca="1">+WORLDCUP!BD58</f>
        <v>República Checa</v>
      </c>
      <c r="H197" s="9" t="str">
        <f ca="1">+WORLDCUP!BD63</f>
        <v>Suecia</v>
      </c>
      <c r="I197" s="9" t="str">
        <f ca="1">+WORLDCUP!BD69</f>
        <v>Croacia</v>
      </c>
      <c r="J197" s="9" t="str">
        <f ca="1">+WORLDCUP!BD68</f>
        <v>Uzbekistán</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Nueva Zelanda</v>
      </c>
      <c r="E198" s="9" t="str">
        <f ca="1">+WORLDCUP!BD67</f>
        <v>Argelia</v>
      </c>
      <c r="F198" s="9" t="str">
        <f ca="1">+WORLDCUP!BD61</f>
        <v>Paraguay</v>
      </c>
      <c r="G198" s="9" t="str">
        <f ca="1">+WORLDCUP!BD58</f>
        <v>República Checa</v>
      </c>
      <c r="H198" s="9" t="str">
        <f ca="1">+WORLDCUP!BD63</f>
        <v>Suecia</v>
      </c>
      <c r="I198" s="9" t="str">
        <f ca="1">+WORLDCUP!BD69</f>
        <v>Croacia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Nueva Zelanda</v>
      </c>
      <c r="E199" s="9" t="str">
        <f ca="1">+WORLDCUP!BD67</f>
        <v>Argelia</v>
      </c>
      <c r="F199" s="9" t="str">
        <f ca="1">+WORLDCUP!BD61</f>
        <v>Paraguay</v>
      </c>
      <c r="G199" s="9" t="str">
        <f ca="1">+WORLDCUP!BD58</f>
        <v>República Checa</v>
      </c>
      <c r="H199" s="9" t="str">
        <f ca="1">+WORLDCUP!BD63</f>
        <v>Suecia</v>
      </c>
      <c r="I199" s="9" t="str">
        <f ca="1">+WORLDCUP!BD62</f>
        <v>Costa de Marfil</v>
      </c>
      <c r="J199" s="9" t="str">
        <f ca="1">+WORLDCUP!BD68</f>
        <v>Uzbekistán</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Nueva Zelanda</v>
      </c>
      <c r="E200" s="9" t="str">
        <f ca="1">+WORLDCUP!BD62</f>
        <v>Costa de Marfil</v>
      </c>
      <c r="F200" s="9" t="str">
        <f ca="1">+WORLDCUP!BD61</f>
        <v>Paraguay</v>
      </c>
      <c r="G200" s="9" t="str">
        <f ca="1">+WORLDCUP!BD58</f>
        <v>República Checa</v>
      </c>
      <c r="H200" s="9" t="str">
        <f ca="1">+WORLDCUP!BD63</f>
        <v>Suecia</v>
      </c>
      <c r="I200" s="9" t="str">
        <f ca="1">+WORLDCUP!BD69</f>
        <v>Croacia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Nueva Zelanda</v>
      </c>
      <c r="E201" s="9" t="str">
        <f ca="1">+WORLDCUP!BD62</f>
        <v>Costa de Marfil</v>
      </c>
      <c r="F201" s="9" t="str">
        <f ca="1">+WORLDCUP!BD61</f>
        <v>Paraguay</v>
      </c>
      <c r="G201" s="9" t="str">
        <f ca="1">+WORLDCUP!BD58</f>
        <v>República Checa</v>
      </c>
      <c r="H201" s="9" t="str">
        <f ca="1">+WORLDCUP!BD63</f>
        <v>Suecia</v>
      </c>
      <c r="I201" s="9" t="str">
        <f ca="1">+WORLDCUP!BD66</f>
        <v>Senegal</v>
      </c>
      <c r="J201" s="9" t="str">
        <f ca="1">+WORLDCUP!BD68</f>
        <v>Uzbekistán</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Nueva Zelanda</v>
      </c>
      <c r="E202" s="9" t="str">
        <f ca="1">+WORLDCUP!BD67</f>
        <v>Argelia</v>
      </c>
      <c r="F202" s="9" t="str">
        <f ca="1">+WORLDCUP!BD61</f>
        <v>Paraguay</v>
      </c>
      <c r="G202" s="9" t="str">
        <f ca="1">+WORLDCUP!BD58</f>
        <v>República Checa</v>
      </c>
      <c r="H202" s="9" t="str">
        <f ca="1">+WORLDCUP!BD63</f>
        <v>Suecia</v>
      </c>
      <c r="I202" s="9" t="str">
        <f ca="1">+WORLDCUP!BD62</f>
        <v>Costa de Marfil</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República Checa</v>
      </c>
      <c r="H203" s="9" t="str">
        <f ca="1">+WORLDCUP!BD64</f>
        <v>Nueva Zelanda</v>
      </c>
      <c r="I203" s="9" t="str">
        <f ca="1">+WORLDCUP!BD69</f>
        <v>Croacia</v>
      </c>
      <c r="J203" s="9" t="str">
        <f ca="1">+WORLDCUP!BD68</f>
        <v>Uzbekistán</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República Checa</v>
      </c>
      <c r="H204" s="9" t="str">
        <f ca="1">+WORLDCUP!BD63</f>
        <v>Suecia</v>
      </c>
      <c r="I204" s="9" t="str">
        <f ca="1">+WORLDCUP!BD69</f>
        <v>Croacia</v>
      </c>
      <c r="J204" s="9" t="str">
        <f ca="1">+WORLDCUP!BD68</f>
        <v>Uzbekistán</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Nueva Zelanda</v>
      </c>
      <c r="E205" s="9" t="str">
        <f ca="1">+WORLDCUP!BD67</f>
        <v>Argelia</v>
      </c>
      <c r="F205" s="9" t="str">
        <f ca="1">+WORLDCUP!BD60</f>
        <v>Escocia</v>
      </c>
      <c r="G205" s="9" t="str">
        <f ca="1">+WORLDCUP!BD58</f>
        <v>República Checa</v>
      </c>
      <c r="H205" s="9" t="str">
        <f ca="1">+WORLDCUP!BD63</f>
        <v>Suecia</v>
      </c>
      <c r="I205" s="9" t="str">
        <f ca="1">+WORLDCUP!BD69</f>
        <v>Croacia</v>
      </c>
      <c r="J205" s="9" t="str">
        <f ca="1">+WORLDCUP!BD68</f>
        <v>Uzbekistán</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Nueva Zelanda</v>
      </c>
      <c r="E206" s="9" t="str">
        <f ca="1">+WORLDCUP!BD67</f>
        <v>Argelia</v>
      </c>
      <c r="F206" s="9" t="str">
        <f ca="1">+WORLDCUP!BD60</f>
        <v>Escocia</v>
      </c>
      <c r="G206" s="9" t="str">
        <f ca="1">+WORLDCUP!BD58</f>
        <v>República Checa</v>
      </c>
      <c r="H206" s="9" t="str">
        <f ca="1">+WORLDCUP!BD63</f>
        <v>Suecia</v>
      </c>
      <c r="I206" s="9" t="str">
        <f ca="1">+WORLDCUP!BD69</f>
        <v>Croacia</v>
      </c>
      <c r="J206" s="9" t="str">
        <f ca="1">+WORLDCUP!BD68</f>
        <v>Uzbekistán</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Nueva Zelanda</v>
      </c>
      <c r="E207" s="9" t="str">
        <f ca="1">+WORLDCUP!BD66</f>
        <v>Senegal</v>
      </c>
      <c r="F207" s="9" t="str">
        <f ca="1">+WORLDCUP!BD60</f>
        <v>Escocia</v>
      </c>
      <c r="G207" s="9" t="str">
        <f ca="1">+WORLDCUP!BD58</f>
        <v>República Checa</v>
      </c>
      <c r="H207" s="9" t="str">
        <f ca="1">+WORLDCUP!BD63</f>
        <v>Suecia</v>
      </c>
      <c r="I207" s="9" t="str">
        <f ca="1">+WORLDCUP!BD69</f>
        <v>Croacia</v>
      </c>
      <c r="J207" s="9" t="str">
        <f ca="1">+WORLDCUP!BD68</f>
        <v>Uzbekistán</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Nueva Zelanda</v>
      </c>
      <c r="E208" s="9" t="str">
        <f ca="1">+WORLDCUP!BD67</f>
        <v>Argelia</v>
      </c>
      <c r="F208" s="9" t="str">
        <f ca="1">+WORLDCUP!BD60</f>
        <v>Escocia</v>
      </c>
      <c r="G208" s="9" t="str">
        <f ca="1">+WORLDCUP!BD58</f>
        <v>República Checa</v>
      </c>
      <c r="H208" s="9" t="str">
        <f ca="1">+WORLDCUP!BD63</f>
        <v>Suecia</v>
      </c>
      <c r="I208" s="9" t="str">
        <f ca="1">+WORLDCUP!BD69</f>
        <v>Croacia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Nueva Zelanda</v>
      </c>
      <c r="E209" s="9" t="str">
        <f ca="1">+WORLDCUP!BD67</f>
        <v>Argelia</v>
      </c>
      <c r="F209" s="9" t="str">
        <f ca="1">+WORLDCUP!BD60</f>
        <v>Escocia</v>
      </c>
      <c r="G209" s="9" t="str">
        <f ca="1">+WORLDCUP!BD58</f>
        <v>República Checa</v>
      </c>
      <c r="H209" s="9" t="str">
        <f ca="1">+WORLDCUP!BD63</f>
        <v>Suecia</v>
      </c>
      <c r="I209" s="9" t="str">
        <f ca="1">+WORLDCUP!BD66</f>
        <v>Senegal</v>
      </c>
      <c r="J209" s="9" t="str">
        <f ca="1">+WORLDCUP!BD68</f>
        <v>Uzbekistán</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República Checa</v>
      </c>
      <c r="H210" s="9" t="str">
        <f ca="1">+WORLDCUP!BD65</f>
        <v>Arabia Saudita</v>
      </c>
      <c r="I210" s="9" t="str">
        <f ca="1">+WORLDCUP!BD69</f>
        <v>Croacia</v>
      </c>
      <c r="J210" s="9" t="str">
        <f ca="1">+WORLDCUP!BD68</f>
        <v>Uzbekistán</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República Checa</v>
      </c>
      <c r="H211" s="9" t="str">
        <f ca="1">+WORLDCUP!BD64</f>
        <v>Nueva Zelanda</v>
      </c>
      <c r="I211" s="9" t="str">
        <f ca="1">+WORLDCUP!BD69</f>
        <v>Croacia</v>
      </c>
      <c r="J211" s="9" t="str">
        <f ca="1">+WORLDCUP!BD68</f>
        <v>Uzbekistán</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Nueva Zelanda</v>
      </c>
      <c r="E212" s="9" t="str">
        <f ca="1">+WORLDCUP!BD67</f>
        <v>Argelia</v>
      </c>
      <c r="F212" s="9" t="str">
        <f ca="1">+WORLDCUP!BD60</f>
        <v>Escocia</v>
      </c>
      <c r="G212" s="9" t="str">
        <f ca="1">+WORLDCUP!BD58</f>
        <v>República Checa</v>
      </c>
      <c r="H212" s="9" t="str">
        <f ca="1">+WORLDCUP!BD65</f>
        <v>Arabia Saudita</v>
      </c>
      <c r="I212" s="9" t="str">
        <f ca="1">+WORLDCUP!BD69</f>
        <v>Croacia</v>
      </c>
      <c r="J212" s="9" t="str">
        <f ca="1">+WORLDCUP!BD68</f>
        <v>Uzbekistán</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Nueva Zelanda</v>
      </c>
      <c r="E213" s="9" t="str">
        <f ca="1">+WORLDCUP!BD66</f>
        <v>Senegal</v>
      </c>
      <c r="F213" s="9" t="str">
        <f ca="1">+WORLDCUP!BD60</f>
        <v>Escocia</v>
      </c>
      <c r="G213" s="9" t="str">
        <f ca="1">+WORLDCUP!BD58</f>
        <v>República Checa</v>
      </c>
      <c r="H213" s="9" t="str">
        <f ca="1">+WORLDCUP!BD65</f>
        <v>Arabia Saudita</v>
      </c>
      <c r="I213" s="9" t="str">
        <f ca="1">+WORLDCUP!BD69</f>
        <v>Croacia</v>
      </c>
      <c r="J213" s="9" t="str">
        <f ca="1">+WORLDCUP!BD68</f>
        <v>Uzbekistán</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Nueva Zelanda</v>
      </c>
      <c r="E214" s="9" t="str">
        <f ca="1">+WORLDCUP!BD67</f>
        <v>Argelia</v>
      </c>
      <c r="F214" s="9" t="str">
        <f ca="1">+WORLDCUP!BD60</f>
        <v>Escocia</v>
      </c>
      <c r="G214" s="9" t="str">
        <f ca="1">+WORLDCUP!BD58</f>
        <v>República Checa</v>
      </c>
      <c r="H214" s="9" t="str">
        <f ca="1">+WORLDCUP!BD65</f>
        <v>Arabia Saudita</v>
      </c>
      <c r="I214" s="9" t="str">
        <f ca="1">+WORLDCUP!BD69</f>
        <v>Croacia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Nueva Zelanda</v>
      </c>
      <c r="E215" s="9" t="str">
        <f ca="1">+WORLDCUP!BD67</f>
        <v>Argelia</v>
      </c>
      <c r="F215" s="9" t="str">
        <f ca="1">+WORLDCUP!BD60</f>
        <v>Escocia</v>
      </c>
      <c r="G215" s="9" t="str">
        <f ca="1">+WORLDCUP!BD58</f>
        <v>República Checa</v>
      </c>
      <c r="H215" s="9" t="str">
        <f ca="1">+WORLDCUP!BD65</f>
        <v>Arabia Saudita</v>
      </c>
      <c r="I215" s="9" t="str">
        <f ca="1">+WORLDCUP!BD66</f>
        <v>Senegal</v>
      </c>
      <c r="J215" s="9" t="str">
        <f ca="1">+WORLDCUP!BD68</f>
        <v>Uzbekistán</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República Checa</v>
      </c>
      <c r="H216" s="9" t="str">
        <f ca="1">+WORLDCUP!BD63</f>
        <v>Suecia</v>
      </c>
      <c r="I216" s="9" t="str">
        <f ca="1">+WORLDCUP!BD69</f>
        <v>Croacia</v>
      </c>
      <c r="J216" s="9" t="str">
        <f ca="1">+WORLDCUP!BD68</f>
        <v>Uzbekistán</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República Checa</v>
      </c>
      <c r="H217" s="9" t="str">
        <f ca="1">+WORLDCUP!BD63</f>
        <v>Suecia</v>
      </c>
      <c r="I217" s="9" t="str">
        <f ca="1">+WORLDCUP!BD69</f>
        <v>Croacia</v>
      </c>
      <c r="J217" s="9" t="str">
        <f ca="1">+WORLDCUP!BD68</f>
        <v>Uzbekistán</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Suecia</v>
      </c>
      <c r="I218" s="9" t="str">
        <f ca="1">+WORLDCUP!BD69</f>
        <v>Croacia</v>
      </c>
      <c r="J218" s="9" t="str">
        <f ca="1">+WORLDCUP!BD68</f>
        <v>Uzbekistán</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República Checa</v>
      </c>
      <c r="H219" s="9" t="str">
        <f ca="1">+WORLDCUP!BD63</f>
        <v>Suecia</v>
      </c>
      <c r="I219" s="9" t="str">
        <f ca="1">+WORLDCUP!BD69</f>
        <v>Croacia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República Checa</v>
      </c>
      <c r="H220" s="9" t="str">
        <f ca="1">+WORLDCUP!BD63</f>
        <v>Suecia</v>
      </c>
      <c r="I220" s="9" t="str">
        <f ca="1">+WORLDCUP!BD66</f>
        <v>Senegal</v>
      </c>
      <c r="J220" s="9" t="str">
        <f ca="1">+WORLDCUP!BD68</f>
        <v>Uzbekistán</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Nueva Zelanda</v>
      </c>
      <c r="E221" s="9" t="str">
        <f ca="1">+WORLDCUP!BD67</f>
        <v>Argelia</v>
      </c>
      <c r="F221" s="9" t="str">
        <f ca="1">+WORLDCUP!BD60</f>
        <v>Escocia</v>
      </c>
      <c r="G221" s="9" t="str">
        <f ca="1">+WORLDCUP!BD58</f>
        <v>República Checa</v>
      </c>
      <c r="H221" s="9" t="str">
        <f ca="1">+WORLDCUP!BD63</f>
        <v>Suecia</v>
      </c>
      <c r="I221" s="9" t="str">
        <f ca="1">+WORLDCUP!BD69</f>
        <v>Croacia</v>
      </c>
      <c r="J221" s="9" t="str">
        <f ca="1">+WORLDCUP!BD68</f>
        <v>Uzbekistán</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Nueva Zelanda</v>
      </c>
      <c r="E222" s="9" t="str">
        <f ca="1">+WORLDCUP!BD66</f>
        <v>Senegal</v>
      </c>
      <c r="F222" s="9" t="str">
        <f ca="1">+WORLDCUP!BD60</f>
        <v>Escocia</v>
      </c>
      <c r="G222" s="9" t="str">
        <f ca="1">+WORLDCUP!BD58</f>
        <v>República Checa</v>
      </c>
      <c r="H222" s="9" t="str">
        <f ca="1">+WORLDCUP!BD63</f>
        <v>Suecia</v>
      </c>
      <c r="I222" s="9" t="str">
        <f ca="1">+WORLDCUP!BD69</f>
        <v>Croacia</v>
      </c>
      <c r="J222" s="9" t="str">
        <f ca="1">+WORLDCUP!BD68</f>
        <v>Uzbekistán</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Nueva Zelanda</v>
      </c>
      <c r="E223" s="9" t="str">
        <f ca="1">+WORLDCUP!BD67</f>
        <v>Argelia</v>
      </c>
      <c r="F223" s="9" t="str">
        <f ca="1">+WORLDCUP!BD60</f>
        <v>Escocia</v>
      </c>
      <c r="G223" s="9" t="str">
        <f ca="1">+WORLDCUP!BD58</f>
        <v>República Checa</v>
      </c>
      <c r="H223" s="9" t="str">
        <f ca="1">+WORLDCUP!BD63</f>
        <v>Suecia</v>
      </c>
      <c r="I223" s="9" t="str">
        <f ca="1">+WORLDCUP!BD69</f>
        <v>Croacia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Nueva Zelanda</v>
      </c>
      <c r="E224" s="9" t="str">
        <f ca="1">+WORLDCUP!BD67</f>
        <v>Argelia</v>
      </c>
      <c r="F224" s="9" t="str">
        <f ca="1">+WORLDCUP!BD60</f>
        <v>Escocia</v>
      </c>
      <c r="G224" s="9" t="str">
        <f ca="1">+WORLDCUP!BD58</f>
        <v>República Checa</v>
      </c>
      <c r="H224" s="9" t="str">
        <f ca="1">+WORLDCUP!BD63</f>
        <v>Suecia</v>
      </c>
      <c r="I224" s="9" t="str">
        <f ca="1">+WORLDCUP!BD66</f>
        <v>Senegal</v>
      </c>
      <c r="J224" s="9" t="str">
        <f ca="1">+WORLDCUP!BD68</f>
        <v>Uzbekistán</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Nueva Zelanda</v>
      </c>
      <c r="E225" s="9" t="str">
        <f ca="1">+WORLDCUP!BD62</f>
        <v>Costa de Marfil</v>
      </c>
      <c r="F225" s="9" t="str">
        <f ca="1">+WORLDCUP!BD60</f>
        <v>Escocia</v>
      </c>
      <c r="G225" s="9" t="str">
        <f ca="1">+WORLDCUP!BD58</f>
        <v>República Checa</v>
      </c>
      <c r="H225" s="9" t="str">
        <f ca="1">+WORLDCUP!BD63</f>
        <v>Suecia</v>
      </c>
      <c r="I225" s="9" t="str">
        <f ca="1">+WORLDCUP!BD69</f>
        <v>Croacia</v>
      </c>
      <c r="J225" s="9" t="str">
        <f ca="1">+WORLDCUP!BD68</f>
        <v>Uzbekistán</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Nueva Zelanda</v>
      </c>
      <c r="E226" s="9" t="str">
        <f ca="1">+WORLDCUP!BD67</f>
        <v>Argelia</v>
      </c>
      <c r="F226" s="9" t="str">
        <f ca="1">+WORLDCUP!BD60</f>
        <v>Escocia</v>
      </c>
      <c r="G226" s="9" t="str">
        <f ca="1">+WORLDCUP!BD58</f>
        <v>República Checa</v>
      </c>
      <c r="H226" s="9" t="str">
        <f ca="1">+WORLDCUP!BD63</f>
        <v>Suecia</v>
      </c>
      <c r="I226" s="9" t="str">
        <f ca="1">+WORLDCUP!BD69</f>
        <v>Croacia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Nueva Zelanda</v>
      </c>
      <c r="E227" s="9" t="str">
        <f ca="1">+WORLDCUP!BD67</f>
        <v>Argelia</v>
      </c>
      <c r="F227" s="9" t="str">
        <f ca="1">+WORLDCUP!BD60</f>
        <v>Escocia</v>
      </c>
      <c r="G227" s="9" t="str">
        <f ca="1">+WORLDCUP!BD58</f>
        <v>República Checa</v>
      </c>
      <c r="H227" s="9" t="str">
        <f ca="1">+WORLDCUP!BD63</f>
        <v>Suecia</v>
      </c>
      <c r="I227" s="9" t="str">
        <f ca="1">+WORLDCUP!BD62</f>
        <v>Costa de Marfil</v>
      </c>
      <c r="J227" s="9" t="str">
        <f ca="1">+WORLDCUP!BD68</f>
        <v>Uzbekistán</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Nueva Zelanda</v>
      </c>
      <c r="E228" s="9" t="str">
        <f ca="1">+WORLDCUP!BD62</f>
        <v>Costa de Marfil</v>
      </c>
      <c r="F228" s="9" t="str">
        <f ca="1">+WORLDCUP!BD60</f>
        <v>Escocia</v>
      </c>
      <c r="G228" s="9" t="str">
        <f ca="1">+WORLDCUP!BD58</f>
        <v>República Checa</v>
      </c>
      <c r="H228" s="9" t="str">
        <f ca="1">+WORLDCUP!BD63</f>
        <v>Suecia</v>
      </c>
      <c r="I228" s="9" t="str">
        <f ca="1">+WORLDCUP!BD69</f>
        <v>Croacia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Nueva Zelanda</v>
      </c>
      <c r="E229" s="9" t="str">
        <f ca="1">+WORLDCUP!BD62</f>
        <v>Costa de Marfil</v>
      </c>
      <c r="F229" s="9" t="str">
        <f ca="1">+WORLDCUP!BD60</f>
        <v>Escocia</v>
      </c>
      <c r="G229" s="9" t="str">
        <f ca="1">+WORLDCUP!BD58</f>
        <v>República Checa</v>
      </c>
      <c r="H229" s="9" t="str">
        <f ca="1">+WORLDCUP!BD63</f>
        <v>Suecia</v>
      </c>
      <c r="I229" s="9" t="str">
        <f ca="1">+WORLDCUP!BD66</f>
        <v>Senegal</v>
      </c>
      <c r="J229" s="9" t="str">
        <f ca="1">+WORLDCUP!BD68</f>
        <v>Uzbekistán</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Nueva Zelanda</v>
      </c>
      <c r="E230" s="9" t="str">
        <f ca="1">+WORLDCUP!BD67</f>
        <v>Argelia</v>
      </c>
      <c r="F230" s="9" t="str">
        <f ca="1">+WORLDCUP!BD60</f>
        <v>Escocia</v>
      </c>
      <c r="G230" s="9" t="str">
        <f ca="1">+WORLDCUP!BD58</f>
        <v>República Checa</v>
      </c>
      <c r="H230" s="9" t="str">
        <f ca="1">+WORLDCUP!BD63</f>
        <v>Suecia</v>
      </c>
      <c r="I230" s="9" t="str">
        <f ca="1">+WORLDCUP!BD62</f>
        <v>Costa de Marfil</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República Checa</v>
      </c>
      <c r="H231" s="9" t="str">
        <f ca="1">+WORLDCUP!BD61</f>
        <v>Paraguay</v>
      </c>
      <c r="I231" s="9" t="str">
        <f ca="1">+WORLDCUP!BD69</f>
        <v>Croacia</v>
      </c>
      <c r="J231" s="9" t="str">
        <f ca="1">+WORLDCUP!BD68</f>
        <v>Uzbekistán</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Nueva Zelanda</v>
      </c>
      <c r="E232" s="9" t="str">
        <f ca="1">+WORLDCUP!BD67</f>
        <v>Argelia</v>
      </c>
      <c r="F232" s="9" t="str">
        <f ca="1">+WORLDCUP!BD60</f>
        <v>Escocia</v>
      </c>
      <c r="G232" s="9" t="str">
        <f ca="1">+WORLDCUP!BD58</f>
        <v>República Checa</v>
      </c>
      <c r="H232" s="9" t="str">
        <f ca="1">+WORLDCUP!BD61</f>
        <v>Paraguay</v>
      </c>
      <c r="I232" s="9" t="str">
        <f ca="1">+WORLDCUP!BD69</f>
        <v>Croacia</v>
      </c>
      <c r="J232" s="9" t="str">
        <f ca="1">+WORLDCUP!BD68</f>
        <v>Uzbekistán</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Nueva Zelanda</v>
      </c>
      <c r="E233" s="9" t="str">
        <f ca="1">+WORLDCUP!BD67</f>
        <v>Argelia</v>
      </c>
      <c r="F233" s="9" t="str">
        <f ca="1">+WORLDCUP!BD60</f>
        <v>Escocia</v>
      </c>
      <c r="G233" s="9" t="str">
        <f ca="1">+WORLDCUP!BD58</f>
        <v>República Checa</v>
      </c>
      <c r="H233" s="9" t="str">
        <f ca="1">+WORLDCUP!BD61</f>
        <v>Paraguay</v>
      </c>
      <c r="I233" s="9" t="str">
        <f ca="1">+WORLDCUP!BD69</f>
        <v>Croacia</v>
      </c>
      <c r="J233" s="9" t="str">
        <f ca="1">+WORLDCUP!BD68</f>
        <v>Uzbekistán</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Nueva Zelanda</v>
      </c>
      <c r="E234" s="9" t="str">
        <f ca="1">+WORLDCUP!BD66</f>
        <v>Senegal</v>
      </c>
      <c r="F234" s="9" t="str">
        <f ca="1">+WORLDCUP!BD60</f>
        <v>Escocia</v>
      </c>
      <c r="G234" s="9" t="str">
        <f ca="1">+WORLDCUP!BD58</f>
        <v>República Checa</v>
      </c>
      <c r="H234" s="9" t="str">
        <f ca="1">+WORLDCUP!BD61</f>
        <v>Paraguay</v>
      </c>
      <c r="I234" s="9" t="str">
        <f ca="1">+WORLDCUP!BD69</f>
        <v>Croacia</v>
      </c>
      <c r="J234" s="9" t="str">
        <f ca="1">+WORLDCUP!BD68</f>
        <v>Uzbekistán</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Nueva Zelanda</v>
      </c>
      <c r="E235" s="9" t="str">
        <f ca="1">+WORLDCUP!BD67</f>
        <v>Argelia</v>
      </c>
      <c r="F235" s="9" t="str">
        <f ca="1">+WORLDCUP!BD60</f>
        <v>Escocia</v>
      </c>
      <c r="G235" s="9" t="str">
        <f ca="1">+WORLDCUP!BD58</f>
        <v>República Checa</v>
      </c>
      <c r="H235" s="9" t="str">
        <f ca="1">+WORLDCUP!BD61</f>
        <v>Paraguay</v>
      </c>
      <c r="I235" s="9" t="str">
        <f ca="1">+WORLDCUP!BD69</f>
        <v>Croacia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Nueva Zelanda</v>
      </c>
      <c r="E236" s="9" t="str">
        <f ca="1">+WORLDCUP!BD67</f>
        <v>Argelia</v>
      </c>
      <c r="F236" s="9" t="str">
        <f ca="1">+WORLDCUP!BD60</f>
        <v>Escocia</v>
      </c>
      <c r="G236" s="9" t="str">
        <f ca="1">+WORLDCUP!BD58</f>
        <v>República Checa</v>
      </c>
      <c r="H236" s="9" t="str">
        <f ca="1">+WORLDCUP!BD61</f>
        <v>Paraguay</v>
      </c>
      <c r="I236" s="9" t="str">
        <f ca="1">+WORLDCUP!BD66</f>
        <v>Senegal</v>
      </c>
      <c r="J236" s="9" t="str">
        <f ca="1">+WORLDCUP!BD68</f>
        <v>Uzbekistán</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República Checa</v>
      </c>
      <c r="H237" s="9" t="str">
        <f ca="1">+WORLDCUP!BD63</f>
        <v>Suecia</v>
      </c>
      <c r="I237" s="9" t="str">
        <f ca="1">+WORLDCUP!BD69</f>
        <v>Croacia</v>
      </c>
      <c r="J237" s="9" t="str">
        <f ca="1">+WORLDCUP!BD68</f>
        <v>Uzbekistán</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Argelia</v>
      </c>
      <c r="E238" s="9" t="str">
        <f ca="1">+WORLDCUP!BD63</f>
        <v>Suecia</v>
      </c>
      <c r="F238" s="9" t="str">
        <f ca="1">+WORLDCUP!BD60</f>
        <v>Escocia</v>
      </c>
      <c r="G238" s="9" t="str">
        <f ca="1">+WORLDCUP!BD58</f>
        <v>República Checa</v>
      </c>
      <c r="H238" s="9" t="str">
        <f ca="1">+WORLDCUP!BD61</f>
        <v>Paraguay</v>
      </c>
      <c r="I238" s="9" t="str">
        <f ca="1">+WORLDCUP!BD69</f>
        <v>Croacia</v>
      </c>
      <c r="J238" s="9" t="str">
        <f ca="1">+WORLDCUP!BD68</f>
        <v>Uzbekistán</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Paraguay</v>
      </c>
      <c r="I239" s="9" t="str">
        <f ca="1">+WORLDCUP!BD69</f>
        <v>Croacia</v>
      </c>
      <c r="J239" s="9" t="str">
        <f ca="1">+WORLDCUP!BD68</f>
        <v>Uzbekistán</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Argelia</v>
      </c>
      <c r="E240" s="9" t="str">
        <f ca="1">+WORLDCUP!BD63</f>
        <v>Suecia</v>
      </c>
      <c r="F240" s="9" t="str">
        <f ca="1">+WORLDCUP!BD60</f>
        <v>Escocia</v>
      </c>
      <c r="G240" s="9" t="str">
        <f ca="1">+WORLDCUP!BD58</f>
        <v>República Checa</v>
      </c>
      <c r="H240" s="9" t="str">
        <f ca="1">+WORLDCUP!BD61</f>
        <v>Paraguay</v>
      </c>
      <c r="I240" s="9" t="str">
        <f ca="1">+WORLDCUP!BD69</f>
        <v>Croacia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Argelia</v>
      </c>
      <c r="E241" s="9" t="str">
        <f ca="1">+WORLDCUP!BD63</f>
        <v>Suecia</v>
      </c>
      <c r="F241" s="9" t="str">
        <f ca="1">+WORLDCUP!BD60</f>
        <v>Escocia</v>
      </c>
      <c r="G241" s="9" t="str">
        <f ca="1">+WORLDCUP!BD58</f>
        <v>República Checa</v>
      </c>
      <c r="H241" s="9" t="str">
        <f ca="1">+WORLDCUP!BD61</f>
        <v>Paraguay</v>
      </c>
      <c r="I241" s="9" t="str">
        <f ca="1">+WORLDCUP!BD66</f>
        <v>Senegal</v>
      </c>
      <c r="J241" s="9" t="str">
        <f ca="1">+WORLDCUP!BD68</f>
        <v>Uzbekistán</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Nueva Zelanda</v>
      </c>
      <c r="E242" s="9" t="str">
        <f ca="1">+WORLDCUP!BD67</f>
        <v>Argelia</v>
      </c>
      <c r="F242" s="9" t="str">
        <f ca="1">+WORLDCUP!BD61</f>
        <v>Paraguay</v>
      </c>
      <c r="G242" s="9" t="str">
        <f ca="1">+WORLDCUP!BD58</f>
        <v>República Checa</v>
      </c>
      <c r="H242" s="9" t="str">
        <f ca="1">+WORLDCUP!BD63</f>
        <v>Suecia</v>
      </c>
      <c r="I242" s="9" t="str">
        <f ca="1">+WORLDCUP!BD69</f>
        <v>Croacia</v>
      </c>
      <c r="J242" s="9" t="str">
        <f ca="1">+WORLDCUP!BD68</f>
        <v>Uzbekistán</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Nueva Zelanda</v>
      </c>
      <c r="E243" s="9" t="str">
        <f ca="1">+WORLDCUP!BD66</f>
        <v>Senegal</v>
      </c>
      <c r="F243" s="9" t="str">
        <f ca="1">+WORLDCUP!BD61</f>
        <v>Paraguay</v>
      </c>
      <c r="G243" s="9" t="str">
        <f ca="1">+WORLDCUP!BD58</f>
        <v>República Checa</v>
      </c>
      <c r="H243" s="9" t="str">
        <f ca="1">+WORLDCUP!BD63</f>
        <v>Suecia</v>
      </c>
      <c r="I243" s="9" t="str">
        <f ca="1">+WORLDCUP!BD69</f>
        <v>Croacia</v>
      </c>
      <c r="J243" s="9" t="str">
        <f ca="1">+WORLDCUP!BD68</f>
        <v>Uzbekistán</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Nueva Zelanda</v>
      </c>
      <c r="E244" s="9" t="str">
        <f ca="1">+WORLDCUP!BD67</f>
        <v>Argelia</v>
      </c>
      <c r="F244" s="9" t="str">
        <f ca="1">+WORLDCUP!BD61</f>
        <v>Paraguay</v>
      </c>
      <c r="G244" s="9" t="str">
        <f ca="1">+WORLDCUP!BD58</f>
        <v>República Checa</v>
      </c>
      <c r="H244" s="9" t="str">
        <f ca="1">+WORLDCUP!BD63</f>
        <v>Suecia</v>
      </c>
      <c r="I244" s="9" t="str">
        <f ca="1">+WORLDCUP!BD69</f>
        <v>Croacia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Nueva Zelanda</v>
      </c>
      <c r="E245" s="9" t="str">
        <f ca="1">+WORLDCUP!BD67</f>
        <v>Argelia</v>
      </c>
      <c r="F245" s="9" t="str">
        <f ca="1">+WORLDCUP!BD61</f>
        <v>Paraguay</v>
      </c>
      <c r="G245" s="9" t="str">
        <f ca="1">+WORLDCUP!BD58</f>
        <v>República Checa</v>
      </c>
      <c r="H245" s="9" t="str">
        <f ca="1">+WORLDCUP!BD63</f>
        <v>Suecia</v>
      </c>
      <c r="I245" s="9" t="str">
        <f ca="1">+WORLDCUP!BD66</f>
        <v>Senegal</v>
      </c>
      <c r="J245" s="9" t="str">
        <f ca="1">+WORLDCUP!BD68</f>
        <v>Uzbekistán</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Nueva Zelanda</v>
      </c>
      <c r="E246" s="9" t="str">
        <f ca="1">+WORLDCUP!BD63</f>
        <v>Suecia</v>
      </c>
      <c r="F246" s="9" t="str">
        <f ca="1">+WORLDCUP!BD60</f>
        <v>Escocia</v>
      </c>
      <c r="G246" s="9" t="str">
        <f ca="1">+WORLDCUP!BD58</f>
        <v>República Checa</v>
      </c>
      <c r="H246" s="9" t="str">
        <f ca="1">+WORLDCUP!BD61</f>
        <v>Paraguay</v>
      </c>
      <c r="I246" s="9" t="str">
        <f ca="1">+WORLDCUP!BD69</f>
        <v>Croacia</v>
      </c>
      <c r="J246" s="9" t="str">
        <f ca="1">+WORLDCUP!BD68</f>
        <v>Uzbekistán</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Nueva Zelanda</v>
      </c>
      <c r="E247" s="9" t="str">
        <f ca="1">+WORLDCUP!BD67</f>
        <v>Argelia</v>
      </c>
      <c r="F247" s="9" t="str">
        <f ca="1">+WORLDCUP!BD61</f>
        <v>Paraguay</v>
      </c>
      <c r="G247" s="9" t="str">
        <f ca="1">+WORLDCUP!BD58</f>
        <v>República Checa</v>
      </c>
      <c r="H247" s="9" t="str">
        <f ca="1">+WORLDCUP!BD63</f>
        <v>Suecia</v>
      </c>
      <c r="I247" s="9" t="str">
        <f ca="1">+WORLDCUP!BD69</f>
        <v>Croacia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Nueva Zelanda</v>
      </c>
      <c r="E248" s="9" t="str">
        <f ca="1">+WORLDCUP!BD67</f>
        <v>Argelia</v>
      </c>
      <c r="F248" s="9" t="str">
        <f ca="1">+WORLDCUP!BD60</f>
        <v>Escocia</v>
      </c>
      <c r="G248" s="9" t="str">
        <f ca="1">+WORLDCUP!BD58</f>
        <v>República Checa</v>
      </c>
      <c r="H248" s="9" t="str">
        <f ca="1">+WORLDCUP!BD63</f>
        <v>Suecia</v>
      </c>
      <c r="I248" s="9" t="str">
        <f ca="1">+WORLDCUP!BD61</f>
        <v>Paraguay</v>
      </c>
      <c r="J248" s="9" t="str">
        <f ca="1">+WORLDCUP!BD68</f>
        <v>Uzbekistán</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Nueva Zelanda</v>
      </c>
      <c r="E249" s="9" t="str">
        <f ca="1">+WORLDCUP!BD63</f>
        <v>Suecia</v>
      </c>
      <c r="F249" s="9" t="str">
        <f ca="1">+WORLDCUP!BD60</f>
        <v>Escocia</v>
      </c>
      <c r="G249" s="9" t="str">
        <f ca="1">+WORLDCUP!BD58</f>
        <v>República Checa</v>
      </c>
      <c r="H249" s="9" t="str">
        <f ca="1">+WORLDCUP!BD61</f>
        <v>Paraguay</v>
      </c>
      <c r="I249" s="9" t="str">
        <f ca="1">+WORLDCUP!BD69</f>
        <v>Croacia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Nueva Zelanda</v>
      </c>
      <c r="E250" s="9" t="str">
        <f ca="1">+WORLDCUP!BD63</f>
        <v>Suecia</v>
      </c>
      <c r="F250" s="9" t="str">
        <f ca="1">+WORLDCUP!BD60</f>
        <v>Escocia</v>
      </c>
      <c r="G250" s="9" t="str">
        <f ca="1">+WORLDCUP!BD58</f>
        <v>República Checa</v>
      </c>
      <c r="H250" s="9" t="str">
        <f ca="1">+WORLDCUP!BD61</f>
        <v>Paraguay</v>
      </c>
      <c r="I250" s="9" t="str">
        <f ca="1">+WORLDCUP!BD66</f>
        <v>Senegal</v>
      </c>
      <c r="J250" s="9" t="str">
        <f ca="1">+WORLDCUP!BD68</f>
        <v>Uzbekistán</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Nueva Zelanda</v>
      </c>
      <c r="E251" s="9" t="str">
        <f ca="1">+WORLDCUP!BD67</f>
        <v>Argelia</v>
      </c>
      <c r="F251" s="9" t="str">
        <f ca="1">+WORLDCUP!BD60</f>
        <v>Escocia</v>
      </c>
      <c r="G251" s="9" t="str">
        <f ca="1">+WORLDCUP!BD58</f>
        <v>República Checa</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República Checa</v>
      </c>
      <c r="H252" s="9" t="str">
        <f ca="1">+WORLDCUP!BD61</f>
        <v>Paraguay</v>
      </c>
      <c r="I252" s="9" t="str">
        <f ca="1">+WORLDCUP!BD69</f>
        <v>Croacia</v>
      </c>
      <c r="J252" s="9" t="str">
        <f ca="1">+WORLDCUP!BD68</f>
        <v>Uzbekistán</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República Checa</v>
      </c>
      <c r="H253" s="9" t="str">
        <f ca="1">+WORLDCUP!BD61</f>
        <v>Paraguay</v>
      </c>
      <c r="I253" s="9" t="str">
        <f ca="1">+WORLDCUP!BD69</f>
        <v>Croacia</v>
      </c>
      <c r="J253" s="9" t="str">
        <f ca="1">+WORLDCUP!BD68</f>
        <v>Uzbekistán</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Paraguay</v>
      </c>
      <c r="I254" s="9" t="str">
        <f ca="1">+WORLDCUP!BD69</f>
        <v>Croacia</v>
      </c>
      <c r="J254" s="9" t="str">
        <f ca="1">+WORLDCUP!BD68</f>
        <v>Uzbekistán</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República Checa</v>
      </c>
      <c r="H255" s="9" t="str">
        <f ca="1">+WORLDCUP!BD61</f>
        <v>Paraguay</v>
      </c>
      <c r="I255" s="9" t="str">
        <f ca="1">+WORLDCUP!BD69</f>
        <v>Croacia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República Checa</v>
      </c>
      <c r="H256" s="9" t="str">
        <f ca="1">+WORLDCUP!BD61</f>
        <v>Paraguay</v>
      </c>
      <c r="I256" s="9" t="str">
        <f ca="1">+WORLDCUP!BD66</f>
        <v>Senegal</v>
      </c>
      <c r="J256" s="9" t="str">
        <f ca="1">+WORLDCUP!BD68</f>
        <v>Uzbekistán</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Nueva Zelanda</v>
      </c>
      <c r="E257" s="9" t="str">
        <f ca="1">+WORLDCUP!BD67</f>
        <v>Argelia</v>
      </c>
      <c r="F257" s="9" t="str">
        <f ca="1">+WORLDCUP!BD60</f>
        <v>Escocia</v>
      </c>
      <c r="G257" s="9" t="str">
        <f ca="1">+WORLDCUP!BD58</f>
        <v>República Checa</v>
      </c>
      <c r="H257" s="9" t="str">
        <f ca="1">+WORLDCUP!BD61</f>
        <v>Paraguay</v>
      </c>
      <c r="I257" s="9" t="str">
        <f ca="1">+WORLDCUP!BD69</f>
        <v>Croacia</v>
      </c>
      <c r="J257" s="9" t="str">
        <f ca="1">+WORLDCUP!BD68</f>
        <v>Uzbekistán</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Costa de Marfil</v>
      </c>
      <c r="D258" s="9" t="str">
        <f ca="1">+WORLDCUP!BD64</f>
        <v>Nueva Zelanda</v>
      </c>
      <c r="E258" s="9" t="str">
        <f ca="1">+WORLDCUP!BD66</f>
        <v>Senegal</v>
      </c>
      <c r="F258" s="9" t="str">
        <f ca="1">+WORLDCUP!BD60</f>
        <v>Escocia</v>
      </c>
      <c r="G258" s="9" t="str">
        <f ca="1">+WORLDCUP!BD58</f>
        <v>República Checa</v>
      </c>
      <c r="H258" s="9" t="str">
        <f ca="1">+WORLDCUP!BD61</f>
        <v>Paraguay</v>
      </c>
      <c r="I258" s="9" t="str">
        <f ca="1">+WORLDCUP!BD69</f>
        <v>Croacia</v>
      </c>
      <c r="J258" s="9" t="str">
        <f ca="1">+WORLDCUP!BD68</f>
        <v>Uzbekistán</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Nueva Zelanda</v>
      </c>
      <c r="E259" s="9" t="str">
        <f ca="1">+WORLDCUP!BD67</f>
        <v>Argelia</v>
      </c>
      <c r="F259" s="9" t="str">
        <f ca="1">+WORLDCUP!BD60</f>
        <v>Escocia</v>
      </c>
      <c r="G259" s="9" t="str">
        <f ca="1">+WORLDCUP!BD58</f>
        <v>República Checa</v>
      </c>
      <c r="H259" s="9" t="str">
        <f ca="1">+WORLDCUP!BD61</f>
        <v>Paraguay</v>
      </c>
      <c r="I259" s="9" t="str">
        <f ca="1">+WORLDCUP!BD69</f>
        <v>Croacia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Nueva Zelanda</v>
      </c>
      <c r="E260" s="9" t="str">
        <f ca="1">+WORLDCUP!BD67</f>
        <v>Argelia</v>
      </c>
      <c r="F260" s="9" t="str">
        <f ca="1">+WORLDCUP!BD60</f>
        <v>Escocia</v>
      </c>
      <c r="G260" s="9" t="str">
        <f ca="1">+WORLDCUP!BD58</f>
        <v>República Checa</v>
      </c>
      <c r="H260" s="9" t="str">
        <f ca="1">+WORLDCUP!BD61</f>
        <v>Paraguay</v>
      </c>
      <c r="I260" s="9" t="str">
        <f ca="1">+WORLDCUP!BD66</f>
        <v>Senegal</v>
      </c>
      <c r="J260" s="9" t="str">
        <f ca="1">+WORLDCUP!BD68</f>
        <v>Uzbekistán</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Nueva Zelanda</v>
      </c>
      <c r="E261" s="9" t="str">
        <f ca="1">+WORLDCUP!BD62</f>
        <v>Costa de Marfil</v>
      </c>
      <c r="F261" s="9" t="str">
        <f ca="1">+WORLDCUP!BD60</f>
        <v>Escocia</v>
      </c>
      <c r="G261" s="9" t="str">
        <f ca="1">+WORLDCUP!BD58</f>
        <v>República Checa</v>
      </c>
      <c r="H261" s="9" t="str">
        <f ca="1">+WORLDCUP!BD61</f>
        <v>Paraguay</v>
      </c>
      <c r="I261" s="9" t="str">
        <f ca="1">+WORLDCUP!BD69</f>
        <v>Croacia</v>
      </c>
      <c r="J261" s="9" t="str">
        <f ca="1">+WORLDCUP!BD68</f>
        <v>Uzbekistán</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Nueva Zelanda</v>
      </c>
      <c r="E262" s="9" t="str">
        <f ca="1">+WORLDCUP!BD67</f>
        <v>Argelia</v>
      </c>
      <c r="F262" s="9" t="str">
        <f ca="1">+WORLDCUP!BD60</f>
        <v>Escocia</v>
      </c>
      <c r="G262" s="9" t="str">
        <f ca="1">+WORLDCUP!BD58</f>
        <v>República Checa</v>
      </c>
      <c r="H262" s="9" t="str">
        <f ca="1">+WORLDCUP!BD61</f>
        <v>Paraguay</v>
      </c>
      <c r="I262" s="9" t="str">
        <f ca="1">+WORLDCUP!BD69</f>
        <v>Croacia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Nueva Zelanda</v>
      </c>
      <c r="E263" s="9" t="str">
        <f ca="1">+WORLDCUP!BD67</f>
        <v>Argelia</v>
      </c>
      <c r="F263" s="9" t="str">
        <f ca="1">+WORLDCUP!BD60</f>
        <v>Escocia</v>
      </c>
      <c r="G263" s="9" t="str">
        <f ca="1">+WORLDCUP!BD58</f>
        <v>República Checa</v>
      </c>
      <c r="H263" s="9" t="str">
        <f ca="1">+WORLDCUP!BD61</f>
        <v>Paraguay</v>
      </c>
      <c r="I263" s="9" t="str">
        <f ca="1">+WORLDCUP!BD62</f>
        <v>Costa de Marfil</v>
      </c>
      <c r="J263" s="9" t="str">
        <f ca="1">+WORLDCUP!BD68</f>
        <v>Uzbekistán</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Nueva Zelanda</v>
      </c>
      <c r="E264" s="9" t="str">
        <f ca="1">+WORLDCUP!BD62</f>
        <v>Costa de Marfil</v>
      </c>
      <c r="F264" s="9" t="str">
        <f ca="1">+WORLDCUP!BD60</f>
        <v>Escocia</v>
      </c>
      <c r="G264" s="9" t="str">
        <f ca="1">+WORLDCUP!BD58</f>
        <v>República Checa</v>
      </c>
      <c r="H264" s="9" t="str">
        <f ca="1">+WORLDCUP!BD61</f>
        <v>Paraguay</v>
      </c>
      <c r="I264" s="9" t="str">
        <f ca="1">+WORLDCUP!BD69</f>
        <v>Croacia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Nueva Zelanda</v>
      </c>
      <c r="E265" s="9" t="str">
        <f ca="1">+WORLDCUP!BD62</f>
        <v>Costa de Marfil</v>
      </c>
      <c r="F265" s="9" t="str">
        <f ca="1">+WORLDCUP!BD60</f>
        <v>Escocia</v>
      </c>
      <c r="G265" s="9" t="str">
        <f ca="1">+WORLDCUP!BD58</f>
        <v>República Checa</v>
      </c>
      <c r="H265" s="9" t="str">
        <f ca="1">+WORLDCUP!BD61</f>
        <v>Paraguay</v>
      </c>
      <c r="I265" s="9" t="str">
        <f ca="1">+WORLDCUP!BD66</f>
        <v>Senegal</v>
      </c>
      <c r="J265" s="9" t="str">
        <f ca="1">+WORLDCUP!BD68</f>
        <v>Uzbekistán</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Nueva Zelanda</v>
      </c>
      <c r="E266" s="9" t="str">
        <f ca="1">+WORLDCUP!BD67</f>
        <v>Argelia</v>
      </c>
      <c r="F266" s="9" t="str">
        <f ca="1">+WORLDCUP!BD60</f>
        <v>Escocia</v>
      </c>
      <c r="G266" s="9" t="str">
        <f ca="1">+WORLDCUP!BD58</f>
        <v>República Checa</v>
      </c>
      <c r="H266" s="9" t="str">
        <f ca="1">+WORLDCUP!BD61</f>
        <v>Paraguay</v>
      </c>
      <c r="I266" s="9" t="str">
        <f ca="1">+WORLDCUP!BD62</f>
        <v>Costa de Marfil</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República Checa</v>
      </c>
      <c r="H267" s="9" t="str">
        <f ca="1">+WORLDCUP!BD63</f>
        <v>Suecia</v>
      </c>
      <c r="I267" s="9" t="str">
        <f ca="1">+WORLDCUP!BD69</f>
        <v>Croacia</v>
      </c>
      <c r="J267" s="9" t="str">
        <f ca="1">+WORLDCUP!BD68</f>
        <v>Uzbekistán</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República Checa</v>
      </c>
      <c r="H268" s="9" t="str">
        <f ca="1">+WORLDCUP!BD63</f>
        <v>Suecia</v>
      </c>
      <c r="I268" s="9" t="str">
        <f ca="1">+WORLDCUP!BD69</f>
        <v>Croacia</v>
      </c>
      <c r="J268" s="9" t="str">
        <f ca="1">+WORLDCUP!BD68</f>
        <v>Uzbekistán</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República Checa</v>
      </c>
      <c r="H269" s="9" t="str">
        <f ca="1">+WORLDCUP!BD63</f>
        <v>Suecia</v>
      </c>
      <c r="I269" s="9" t="str">
        <f ca="1">+WORLDCUP!BD69</f>
        <v>Croacia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República Checa</v>
      </c>
      <c r="H270" s="9" t="str">
        <f ca="1">+WORLDCUP!BD63</f>
        <v>Suecia</v>
      </c>
      <c r="I270" s="9" t="str">
        <f ca="1">+WORLDCUP!BD66</f>
        <v>Senegal</v>
      </c>
      <c r="J270" s="9" t="str">
        <f ca="1">+WORLDCUP!BD68</f>
        <v>Uzbekistán</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Paraguay</v>
      </c>
      <c r="I271" s="9" t="str">
        <f ca="1">+WORLDCUP!BD69</f>
        <v>Croacia</v>
      </c>
      <c r="J271" s="9" t="str">
        <f ca="1">+WORLDCUP!BD68</f>
        <v>Uzbekistán</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Argelia</v>
      </c>
      <c r="E272" s="9" t="str">
        <f ca="1">+WORLDCUP!BD63</f>
        <v>Suecia</v>
      </c>
      <c r="F272" s="9" t="str">
        <f ca="1">+WORLDCUP!BD60</f>
        <v>Escocia</v>
      </c>
      <c r="G272" s="9" t="str">
        <f ca="1">+WORLDCUP!BD58</f>
        <v>República Checa</v>
      </c>
      <c r="H272" s="9" t="str">
        <f ca="1">+WORLDCUP!BD61</f>
        <v>Paraguay</v>
      </c>
      <c r="I272" s="9" t="str">
        <f ca="1">+WORLDCUP!BD69</f>
        <v>Croacia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República Checa</v>
      </c>
      <c r="H273" s="9" t="str">
        <f ca="1">+WORLDCUP!BD63</f>
        <v>Suecia</v>
      </c>
      <c r="I273" s="9" t="str">
        <f ca="1">+WORLDCUP!BD61</f>
        <v>Paraguay</v>
      </c>
      <c r="J273" s="9" t="str">
        <f ca="1">+WORLDCUP!BD68</f>
        <v>Uzbekistán</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Paraguay</v>
      </c>
      <c r="I274" s="9" t="str">
        <f ca="1">+WORLDCUP!BD69</f>
        <v>Croacia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Paraguay</v>
      </c>
      <c r="I275" s="9" t="str">
        <f ca="1">+WORLDCUP!BD66</f>
        <v>Senegal</v>
      </c>
      <c r="J275" s="9" t="str">
        <f ca="1">+WORLDCUP!BD68</f>
        <v>Uzbekistán</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República Checa</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Nueva Zelanda</v>
      </c>
      <c r="E277" s="9" t="str">
        <f ca="1">+WORLDCUP!BD62</f>
        <v>Costa de Marfil</v>
      </c>
      <c r="F277" s="9" t="str">
        <f ca="1">+WORLDCUP!BD61</f>
        <v>Paraguay</v>
      </c>
      <c r="G277" s="9" t="str">
        <f ca="1">+WORLDCUP!BD58</f>
        <v>República Checa</v>
      </c>
      <c r="H277" s="9" t="str">
        <f ca="1">+WORLDCUP!BD63</f>
        <v>Suecia</v>
      </c>
      <c r="I277" s="9" t="str">
        <f ca="1">+WORLDCUP!BD69</f>
        <v>Croacia</v>
      </c>
      <c r="J277" s="9" t="str">
        <f ca="1">+WORLDCUP!BD68</f>
        <v>Uzbekistán</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Nueva Zelanda</v>
      </c>
      <c r="E278" s="9" t="str">
        <f ca="1">+WORLDCUP!BD67</f>
        <v>Argelia</v>
      </c>
      <c r="F278" s="9" t="str">
        <f ca="1">+WORLDCUP!BD61</f>
        <v>Paraguay</v>
      </c>
      <c r="G278" s="9" t="str">
        <f ca="1">+WORLDCUP!BD58</f>
        <v>República Checa</v>
      </c>
      <c r="H278" s="9" t="str">
        <f ca="1">+WORLDCUP!BD63</f>
        <v>Suecia</v>
      </c>
      <c r="I278" s="9" t="str">
        <f ca="1">+WORLDCUP!BD69</f>
        <v>Croacia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Nueva Zelanda</v>
      </c>
      <c r="E279" s="9" t="str">
        <f ca="1">+WORLDCUP!BD67</f>
        <v>Argelia</v>
      </c>
      <c r="F279" s="9" t="str">
        <f ca="1">+WORLDCUP!BD61</f>
        <v>Paraguay</v>
      </c>
      <c r="G279" s="9" t="str">
        <f ca="1">+WORLDCUP!BD58</f>
        <v>República Checa</v>
      </c>
      <c r="H279" s="9" t="str">
        <f ca="1">+WORLDCUP!BD63</f>
        <v>Suecia</v>
      </c>
      <c r="I279" s="9" t="str">
        <f ca="1">+WORLDCUP!BD62</f>
        <v>Costa de Marfil</v>
      </c>
      <c r="J279" s="9" t="str">
        <f ca="1">+WORLDCUP!BD68</f>
        <v>Uzbekistán</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1</v>
      </c>
      <c r="C280" s="9" t="str">
        <f ca="1">+WORLDCUP!BD60</f>
        <v>Escocia</v>
      </c>
      <c r="D280" s="9" t="str">
        <f ca="1">+WORLDCUP!BD64</f>
        <v>Nueva Zelanda</v>
      </c>
      <c r="E280" s="9" t="str">
        <f ca="1">+WORLDCUP!BD62</f>
        <v>Costa de Marfil</v>
      </c>
      <c r="F280" s="9" t="str">
        <f ca="1">+WORLDCUP!BD61</f>
        <v>Paraguay</v>
      </c>
      <c r="G280" s="9" t="str">
        <f ca="1">+WORLDCUP!BD58</f>
        <v>República Checa</v>
      </c>
      <c r="H280" s="9" t="str">
        <f ca="1">+WORLDCUP!BD63</f>
        <v>Suecia</v>
      </c>
      <c r="I280" s="9" t="str">
        <f ca="1">+WORLDCUP!BD69</f>
        <v>Croacia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Nueva Zelanda</v>
      </c>
      <c r="E281" s="9" t="str">
        <f ca="1">+WORLDCUP!BD62</f>
        <v>Costa de Marfil</v>
      </c>
      <c r="F281" s="9" t="str">
        <f ca="1">+WORLDCUP!BD61</f>
        <v>Paraguay</v>
      </c>
      <c r="G281" s="9" t="str">
        <f ca="1">+WORLDCUP!BD58</f>
        <v>República Checa</v>
      </c>
      <c r="H281" s="9" t="str">
        <f ca="1">+WORLDCUP!BD63</f>
        <v>Suecia</v>
      </c>
      <c r="I281" s="9" t="str">
        <f ca="1">+WORLDCUP!BD66</f>
        <v>Senegal</v>
      </c>
      <c r="J281" s="9" t="str">
        <f ca="1">+WORLDCUP!BD68</f>
        <v>Uzbekistán</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Nueva Zelanda</v>
      </c>
      <c r="E282" s="9" t="str">
        <f ca="1">+WORLDCUP!BD67</f>
        <v>Argelia</v>
      </c>
      <c r="F282" s="9" t="str">
        <f ca="1">+WORLDCUP!BD61</f>
        <v>Paraguay</v>
      </c>
      <c r="G282" s="9" t="str">
        <f ca="1">+WORLDCUP!BD58</f>
        <v>República Checa</v>
      </c>
      <c r="H282" s="9" t="str">
        <f ca="1">+WORLDCUP!BD63</f>
        <v>Suecia</v>
      </c>
      <c r="I282" s="9" t="str">
        <f ca="1">+WORLDCUP!BD62</f>
        <v>Costa de Marfil</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Nueva Zelanda</v>
      </c>
      <c r="E283" s="9" t="str">
        <f ca="1">+WORLDCUP!BD63</f>
        <v>Suecia</v>
      </c>
      <c r="F283" s="9" t="str">
        <f ca="1">+WORLDCUP!BD60</f>
        <v>Escocia</v>
      </c>
      <c r="G283" s="9" t="str">
        <f ca="1">+WORLDCUP!BD58</f>
        <v>República Checa</v>
      </c>
      <c r="H283" s="9" t="str">
        <f ca="1">+WORLDCUP!BD61</f>
        <v>Paraguay</v>
      </c>
      <c r="I283" s="9" t="str">
        <f ca="1">+WORLDCUP!BD69</f>
        <v>Croacia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Nueva Zelanda</v>
      </c>
      <c r="E284" s="9" t="str">
        <f ca="1">+WORLDCUP!BD62</f>
        <v>Costa de Marfil</v>
      </c>
      <c r="F284" s="9" t="str">
        <f ca="1">+WORLDCUP!BD60</f>
        <v>Escocia</v>
      </c>
      <c r="G284" s="9" t="str">
        <f ca="1">+WORLDCUP!BD58</f>
        <v>República Checa</v>
      </c>
      <c r="H284" s="9" t="str">
        <f ca="1">+WORLDCUP!BD63</f>
        <v>Suecia</v>
      </c>
      <c r="I284" s="9" t="str">
        <f ca="1">+WORLDCUP!BD61</f>
        <v>Paraguay</v>
      </c>
      <c r="J284" s="9" t="str">
        <f ca="1">+WORLDCUP!BD68</f>
        <v>Uzbekistán</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Nueva Zelanda</v>
      </c>
      <c r="E285" s="9" t="str">
        <f ca="1">+WORLDCUP!BD67</f>
        <v>Argelia</v>
      </c>
      <c r="F285" s="9" t="str">
        <f ca="1">+WORLDCUP!BD60</f>
        <v>Escocia</v>
      </c>
      <c r="G285" s="9" t="str">
        <f ca="1">+WORLDCUP!BD58</f>
        <v>República Checa</v>
      </c>
      <c r="H285" s="9" t="str">
        <f ca="1">+WORLDCUP!BD63</f>
        <v>Suecia</v>
      </c>
      <c r="I285" s="9" t="str">
        <f ca="1">+WORLDCUP!BD61</f>
        <v>Paraguay</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Nueva Zelanda</v>
      </c>
      <c r="E286" s="9" t="str">
        <f ca="1">+WORLDCUP!BD62</f>
        <v>Costa de Marfil</v>
      </c>
      <c r="F286" s="9" t="str">
        <f ca="1">+WORLDCUP!BD60</f>
        <v>Escocia</v>
      </c>
      <c r="G286" s="9" t="str">
        <f ca="1">+WORLDCUP!BD58</f>
        <v>República Checa</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Argelia</v>
      </c>
      <c r="E287" s="9" t="str">
        <f ca="1">+WORLDCUP!BD59</f>
        <v>Catar</v>
      </c>
      <c r="F287" s="9" t="str">
        <f ca="1">+WORLDCUP!BD58</f>
        <v>República Checa</v>
      </c>
      <c r="G287" s="9" t="str">
        <f ca="1">+WORLDCUP!BD66</f>
        <v>Senegal</v>
      </c>
      <c r="H287" s="9" t="str">
        <f ca="1">+WORLDCUP!BD64</f>
        <v>Nueva Zelanda</v>
      </c>
      <c r="I287" s="9" t="str">
        <f ca="1">+WORLDCUP!BD69</f>
        <v>Croacia</v>
      </c>
      <c r="J287" s="9" t="str">
        <f ca="1">+WORLDCUP!BD68</f>
        <v>Uzbekistán</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Argelia</v>
      </c>
      <c r="E288" s="9" t="str">
        <f ca="1">+WORLDCUP!BD59</f>
        <v>Catar</v>
      </c>
      <c r="F288" s="9" t="str">
        <f ca="1">+WORLDCUP!BD58</f>
        <v>República Checa</v>
      </c>
      <c r="G288" s="9" t="str">
        <f ca="1">+WORLDCUP!BD66</f>
        <v>Senegal</v>
      </c>
      <c r="H288" s="9" t="str">
        <f ca="1">+WORLDCUP!BD63</f>
        <v>Suecia</v>
      </c>
      <c r="I288" s="9" t="str">
        <f ca="1">+WORLDCUP!BD69</f>
        <v>Croacia</v>
      </c>
      <c r="J288" s="9" t="str">
        <f ca="1">+WORLDCUP!BD68</f>
        <v>Uzbekistán</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Catar</v>
      </c>
      <c r="F289" s="9" t="str">
        <f ca="1">+WORLDCUP!BD63</f>
        <v>Suecia</v>
      </c>
      <c r="G289" s="9" t="str">
        <f ca="1">+WORLDCUP!BD58</f>
        <v>República Checa</v>
      </c>
      <c r="H289" s="9" t="str">
        <f ca="1">+WORLDCUP!BD64</f>
        <v>Nueva Zelanda</v>
      </c>
      <c r="I289" s="9" t="str">
        <f ca="1">+WORLDCUP!BD69</f>
        <v>Croacia</v>
      </c>
      <c r="J289" s="9" t="str">
        <f ca="1">+WORLDCUP!BD68</f>
        <v>Uzbekistán</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Argelia</v>
      </c>
      <c r="E290" s="9" t="str">
        <f ca="1">+WORLDCUP!BD59</f>
        <v>Catar</v>
      </c>
      <c r="F290" s="9" t="str">
        <f ca="1">+WORLDCUP!BD63</f>
        <v>Suecia</v>
      </c>
      <c r="G290" s="9" t="str">
        <f ca="1">+WORLDCUP!BD58</f>
        <v>República Checa</v>
      </c>
      <c r="H290" s="9" t="str">
        <f ca="1">+WORLDCUP!BD64</f>
        <v>Nueva Zelanda</v>
      </c>
      <c r="I290" s="9" t="str">
        <f ca="1">+WORLDCUP!BD69</f>
        <v>Croacia</v>
      </c>
      <c r="J290" s="9" t="str">
        <f ca="1">+WORLDCUP!BD68</f>
        <v>Uzbekistán</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Nueva Zelanda</v>
      </c>
      <c r="E291" s="9" t="str">
        <f ca="1">+WORLDCUP!BD59</f>
        <v>Catar</v>
      </c>
      <c r="F291" s="9" t="str">
        <f ca="1">+WORLDCUP!BD58</f>
        <v>República Checa</v>
      </c>
      <c r="G291" s="9" t="str">
        <f ca="1">+WORLDCUP!BD66</f>
        <v>Senegal</v>
      </c>
      <c r="H291" s="9" t="str">
        <f ca="1">+WORLDCUP!BD63</f>
        <v>Suecia</v>
      </c>
      <c r="I291" s="9" t="str">
        <f ca="1">+WORLDCUP!BD69</f>
        <v>Croacia</v>
      </c>
      <c r="J291" s="9" t="str">
        <f ca="1">+WORLDCUP!BD68</f>
        <v>Uzbekistán</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Argelia</v>
      </c>
      <c r="E292" s="9" t="str">
        <f ca="1">+WORLDCUP!BD59</f>
        <v>Catar</v>
      </c>
      <c r="F292" s="9" t="str">
        <f ca="1">+WORLDCUP!BD63</f>
        <v>Suecia</v>
      </c>
      <c r="G292" s="9" t="str">
        <f ca="1">+WORLDCUP!BD58</f>
        <v>República Checa</v>
      </c>
      <c r="H292" s="9" t="str">
        <f ca="1">+WORLDCUP!BD64</f>
        <v>Nueva Zelanda</v>
      </c>
      <c r="I292" s="9" t="str">
        <f ca="1">+WORLDCUP!BD69</f>
        <v>Croacia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Argelia</v>
      </c>
      <c r="E293" s="9" t="str">
        <f ca="1">+WORLDCUP!BD59</f>
        <v>Catar</v>
      </c>
      <c r="F293" s="9" t="str">
        <f ca="1">+WORLDCUP!BD63</f>
        <v>Suecia</v>
      </c>
      <c r="G293" s="9" t="str">
        <f ca="1">+WORLDCUP!BD58</f>
        <v>República Checa</v>
      </c>
      <c r="H293" s="9" t="str">
        <f ca="1">+WORLDCUP!BD64</f>
        <v>Nueva Zelanda</v>
      </c>
      <c r="I293" s="9" t="str">
        <f ca="1">+WORLDCUP!BD66</f>
        <v>Senegal</v>
      </c>
      <c r="J293" s="9" t="str">
        <f ca="1">+WORLDCUP!BD68</f>
        <v>Uzbekistán</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Argelia</v>
      </c>
      <c r="E294" s="9" t="str">
        <f ca="1">+WORLDCUP!BD59</f>
        <v>Catar</v>
      </c>
      <c r="F294" s="9" t="str">
        <f ca="1">+WORLDCUP!BD58</f>
        <v>República Checa</v>
      </c>
      <c r="G294" s="9" t="str">
        <f ca="1">+WORLDCUP!BD66</f>
        <v>Senegal</v>
      </c>
      <c r="H294" s="9" t="str">
        <f ca="1">+WORLDCUP!BD65</f>
        <v>Arabia Saudita</v>
      </c>
      <c r="I294" s="9" t="str">
        <f ca="1">+WORLDCUP!BD69</f>
        <v>Croacia</v>
      </c>
      <c r="J294" s="9" t="str">
        <f ca="1">+WORLDCUP!BD68</f>
        <v>Uzbekistán</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Argelia</v>
      </c>
      <c r="E295" s="9" t="str">
        <f ca="1">+WORLDCUP!BD59</f>
        <v>Catar</v>
      </c>
      <c r="F295" s="9" t="str">
        <f ca="1">+WORLDCUP!BD58</f>
        <v>República Checa</v>
      </c>
      <c r="G295" s="9" t="str">
        <f ca="1">+WORLDCUP!BD66</f>
        <v>Senegal</v>
      </c>
      <c r="H295" s="9" t="str">
        <f ca="1">+WORLDCUP!BD64</f>
        <v>Nueva Zelanda</v>
      </c>
      <c r="I295" s="9" t="str">
        <f ca="1">+WORLDCUP!BD69</f>
        <v>Croacia</v>
      </c>
      <c r="J295" s="9" t="str">
        <f ca="1">+WORLDCUP!BD68</f>
        <v>Uzbekistán</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Argelia</v>
      </c>
      <c r="E296" s="9" t="str">
        <f ca="1">+WORLDCUP!BD59</f>
        <v>Catar</v>
      </c>
      <c r="F296" s="9" t="str">
        <f ca="1">+WORLDCUP!BD58</f>
        <v>República Checa</v>
      </c>
      <c r="G296" s="9" t="str">
        <f ca="1">+WORLDCUP!BD65</f>
        <v>Arabia Saudita</v>
      </c>
      <c r="H296" s="9" t="str">
        <f ca="1">+WORLDCUP!BD64</f>
        <v>Nueva Zelanda</v>
      </c>
      <c r="I296" s="9" t="str">
        <f ca="1">+WORLDCUP!BD69</f>
        <v>Croacia</v>
      </c>
      <c r="J296" s="9" t="str">
        <f ca="1">+WORLDCUP!BD68</f>
        <v>Uzbekistán</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Nueva Zelanda</v>
      </c>
      <c r="E297" s="9" t="str">
        <f ca="1">+WORLDCUP!BD59</f>
        <v>Catar</v>
      </c>
      <c r="F297" s="9" t="str">
        <f ca="1">+WORLDCUP!BD58</f>
        <v>República Checa</v>
      </c>
      <c r="G297" s="9" t="str">
        <f ca="1">+WORLDCUP!BD66</f>
        <v>Senegal</v>
      </c>
      <c r="H297" s="9" t="str">
        <f ca="1">+WORLDCUP!BD65</f>
        <v>Arabia Saudita</v>
      </c>
      <c r="I297" s="9" t="str">
        <f ca="1">+WORLDCUP!BD69</f>
        <v>Croacia</v>
      </c>
      <c r="J297" s="9" t="str">
        <f ca="1">+WORLDCUP!BD68</f>
        <v>Uzbekistán</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Argelia</v>
      </c>
      <c r="E298" s="9" t="str">
        <f ca="1">+WORLDCUP!BD59</f>
        <v>Catar</v>
      </c>
      <c r="F298" s="9" t="str">
        <f ca="1">+WORLDCUP!BD58</f>
        <v>República Checa</v>
      </c>
      <c r="G298" s="9" t="str">
        <f ca="1">+WORLDCUP!BD65</f>
        <v>Arabia Saudita</v>
      </c>
      <c r="H298" s="9" t="str">
        <f ca="1">+WORLDCUP!BD64</f>
        <v>Nueva Zelanda</v>
      </c>
      <c r="I298" s="9" t="str">
        <f ca="1">+WORLDCUP!BD69</f>
        <v>Croacia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Argelia</v>
      </c>
      <c r="E299" s="9" t="str">
        <f ca="1">+WORLDCUP!BD59</f>
        <v>Catar</v>
      </c>
      <c r="F299" s="9" t="str">
        <f ca="1">+WORLDCUP!BD58</f>
        <v>República Checa</v>
      </c>
      <c r="G299" s="9" t="str">
        <f ca="1">+WORLDCUP!BD65</f>
        <v>Arabia Saudita</v>
      </c>
      <c r="H299" s="9" t="str">
        <f ca="1">+WORLDCUP!BD64</f>
        <v>Nueva Zelanda</v>
      </c>
      <c r="I299" s="9" t="str">
        <f ca="1">+WORLDCUP!BD66</f>
        <v>Senegal</v>
      </c>
      <c r="J299" s="9" t="str">
        <f ca="1">+WORLDCUP!BD68</f>
        <v>Uzbekistán</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Argelia</v>
      </c>
      <c r="E300" s="9" t="str">
        <f ca="1">+WORLDCUP!BD59</f>
        <v>Catar</v>
      </c>
      <c r="F300" s="9" t="str">
        <f ca="1">+WORLDCUP!BD58</f>
        <v>República Checa</v>
      </c>
      <c r="G300" s="9" t="str">
        <f ca="1">+WORLDCUP!BD66</f>
        <v>Senegal</v>
      </c>
      <c r="H300" s="9" t="str">
        <f ca="1">+WORLDCUP!BD63</f>
        <v>Suecia</v>
      </c>
      <c r="I300" s="9" t="str">
        <f ca="1">+WORLDCUP!BD69</f>
        <v>Croacia</v>
      </c>
      <c r="J300" s="9" t="str">
        <f ca="1">+WORLDCUP!BD68</f>
        <v>Uzbekistán</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Argelia</v>
      </c>
      <c r="E301" s="9" t="str">
        <f ca="1">+WORLDCUP!BD59</f>
        <v>Catar</v>
      </c>
      <c r="F301" s="9" t="str">
        <f ca="1">+WORLDCUP!BD63</f>
        <v>Suecia</v>
      </c>
      <c r="G301" s="9" t="str">
        <f ca="1">+WORLDCUP!BD58</f>
        <v>República Checa</v>
      </c>
      <c r="H301" s="9" t="str">
        <f ca="1">+WORLDCUP!BD65</f>
        <v>Arabia Saudita</v>
      </c>
      <c r="I301" s="9" t="str">
        <f ca="1">+WORLDCUP!BD69</f>
        <v>Croacia</v>
      </c>
      <c r="J301" s="9" t="str">
        <f ca="1">+WORLDCUP!BD68</f>
        <v>Uzbekistán</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Senegal</v>
      </c>
      <c r="E302" s="9" t="str">
        <f ca="1">+WORLDCUP!BD59</f>
        <v>Catar</v>
      </c>
      <c r="F302" s="9" t="str">
        <f ca="1">+WORLDCUP!BD63</f>
        <v>Suecia</v>
      </c>
      <c r="G302" s="9" t="str">
        <f ca="1">+WORLDCUP!BD58</f>
        <v>República Checa</v>
      </c>
      <c r="H302" s="9" t="str">
        <f ca="1">+WORLDCUP!BD65</f>
        <v>Arabia Saudita</v>
      </c>
      <c r="I302" s="9" t="str">
        <f ca="1">+WORLDCUP!BD69</f>
        <v>Croacia</v>
      </c>
      <c r="J302" s="9" t="str">
        <f ca="1">+WORLDCUP!BD68</f>
        <v>Uzbekistán</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Argelia</v>
      </c>
      <c r="E303" s="9" t="str">
        <f ca="1">+WORLDCUP!BD59</f>
        <v>Catar</v>
      </c>
      <c r="F303" s="9" t="str">
        <f ca="1">+WORLDCUP!BD63</f>
        <v>Suecia</v>
      </c>
      <c r="G303" s="9" t="str">
        <f ca="1">+WORLDCUP!BD58</f>
        <v>República Checa</v>
      </c>
      <c r="H303" s="9" t="str">
        <f ca="1">+WORLDCUP!BD65</f>
        <v>Arabia Saudita</v>
      </c>
      <c r="I303" s="9" t="str">
        <f ca="1">+WORLDCUP!BD69</f>
        <v>Croacia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Argelia</v>
      </c>
      <c r="E304" s="9" t="str">
        <f ca="1">+WORLDCUP!BD59</f>
        <v>Catar</v>
      </c>
      <c r="F304" s="9" t="str">
        <f ca="1">+WORLDCUP!BD63</f>
        <v>Suecia</v>
      </c>
      <c r="G304" s="9" t="str">
        <f ca="1">+WORLDCUP!BD58</f>
        <v>República Checa</v>
      </c>
      <c r="H304" s="9" t="str">
        <f ca="1">+WORLDCUP!BD65</f>
        <v>Arabia Saudita</v>
      </c>
      <c r="I304" s="9" t="str">
        <f ca="1">+WORLDCUP!BD66</f>
        <v>Senegal</v>
      </c>
      <c r="J304" s="9" t="str">
        <f ca="1">+WORLDCUP!BD68</f>
        <v>Uzbekistán</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Argelia</v>
      </c>
      <c r="E305" s="9" t="str">
        <f ca="1">+WORLDCUP!BD59</f>
        <v>Catar</v>
      </c>
      <c r="F305" s="9" t="str">
        <f ca="1">+WORLDCUP!BD63</f>
        <v>Suecia</v>
      </c>
      <c r="G305" s="9" t="str">
        <f ca="1">+WORLDCUP!BD58</f>
        <v>República Checa</v>
      </c>
      <c r="H305" s="9" t="str">
        <f ca="1">+WORLDCUP!BD64</f>
        <v>Nueva Zelanda</v>
      </c>
      <c r="I305" s="9" t="str">
        <f ca="1">+WORLDCUP!BD69</f>
        <v>Croacia</v>
      </c>
      <c r="J305" s="9" t="str">
        <f ca="1">+WORLDCUP!BD68</f>
        <v>Uzbekistán</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Nueva Zelanda</v>
      </c>
      <c r="E306" s="9" t="str">
        <f ca="1">+WORLDCUP!BD59</f>
        <v>Catar</v>
      </c>
      <c r="F306" s="9" t="str">
        <f ca="1">+WORLDCUP!BD58</f>
        <v>República Checa</v>
      </c>
      <c r="G306" s="9" t="str">
        <f ca="1">+WORLDCUP!BD66</f>
        <v>Senegal</v>
      </c>
      <c r="H306" s="9" t="str">
        <f ca="1">+WORLDCUP!BD63</f>
        <v>Suecia</v>
      </c>
      <c r="I306" s="9" t="str">
        <f ca="1">+WORLDCUP!BD69</f>
        <v>Croacia</v>
      </c>
      <c r="J306" s="9" t="str">
        <f ca="1">+WORLDCUP!BD68</f>
        <v>Uzbekistán</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Argelia</v>
      </c>
      <c r="E307" s="9" t="str">
        <f ca="1">+WORLDCUP!BD59</f>
        <v>Catar</v>
      </c>
      <c r="F307" s="9" t="str">
        <f ca="1">+WORLDCUP!BD63</f>
        <v>Suecia</v>
      </c>
      <c r="G307" s="9" t="str">
        <f ca="1">+WORLDCUP!BD58</f>
        <v>República Checa</v>
      </c>
      <c r="H307" s="9" t="str">
        <f ca="1">+WORLDCUP!BD64</f>
        <v>Nueva Zelanda</v>
      </c>
      <c r="I307" s="9" t="str">
        <f ca="1">+WORLDCUP!BD69</f>
        <v>Croacia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Argelia</v>
      </c>
      <c r="E308" s="9" t="str">
        <f ca="1">+WORLDCUP!BD59</f>
        <v>Catar</v>
      </c>
      <c r="F308" s="9" t="str">
        <f ca="1">+WORLDCUP!BD63</f>
        <v>Suecia</v>
      </c>
      <c r="G308" s="9" t="str">
        <f ca="1">+WORLDCUP!BD58</f>
        <v>República Checa</v>
      </c>
      <c r="H308" s="9" t="str">
        <f ca="1">+WORLDCUP!BD64</f>
        <v>Nueva Zelanda</v>
      </c>
      <c r="I308" s="9" t="str">
        <f ca="1">+WORLDCUP!BD66</f>
        <v>Senegal</v>
      </c>
      <c r="J308" s="9" t="str">
        <f ca="1">+WORLDCUP!BD68</f>
        <v>Uzbekistán</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Nueva Zelanda</v>
      </c>
      <c r="E309" s="9" t="str">
        <f ca="1">+WORLDCUP!BD59</f>
        <v>Catar</v>
      </c>
      <c r="F309" s="9" t="str">
        <f ca="1">+WORLDCUP!BD63</f>
        <v>Suecia</v>
      </c>
      <c r="G309" s="9" t="str">
        <f ca="1">+WORLDCUP!BD58</f>
        <v>República Checa</v>
      </c>
      <c r="H309" s="9" t="str">
        <f ca="1">+WORLDCUP!BD65</f>
        <v>Arabia Saudita</v>
      </c>
      <c r="I309" s="9" t="str">
        <f ca="1">+WORLDCUP!BD69</f>
        <v>Croacia</v>
      </c>
      <c r="J309" s="9" t="str">
        <f ca="1">+WORLDCUP!BD68</f>
        <v>Uzbekistán</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Argelia</v>
      </c>
      <c r="E310" s="9" t="str">
        <f ca="1">+WORLDCUP!BD59</f>
        <v>Catar</v>
      </c>
      <c r="F310" s="9" t="str">
        <f ca="1">+WORLDCUP!BD63</f>
        <v>Suecia</v>
      </c>
      <c r="G310" s="9" t="str">
        <f ca="1">+WORLDCUP!BD58</f>
        <v>República Checa</v>
      </c>
      <c r="H310" s="9" t="str">
        <f ca="1">+WORLDCUP!BD64</f>
        <v>Nueva Zelanda</v>
      </c>
      <c r="I310" s="9" t="str">
        <f ca="1">+WORLDCUP!BD69</f>
        <v>Croacia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Argelia</v>
      </c>
      <c r="E311" s="9" t="str">
        <f ca="1">+WORLDCUP!BD59</f>
        <v>Catar</v>
      </c>
      <c r="F311" s="9" t="str">
        <f ca="1">+WORLDCUP!BD63</f>
        <v>Suecia</v>
      </c>
      <c r="G311" s="9" t="str">
        <f ca="1">+WORLDCUP!BD58</f>
        <v>República Checa</v>
      </c>
      <c r="H311" s="9" t="str">
        <f ca="1">+WORLDCUP!BD64</f>
        <v>Nueva Zelanda</v>
      </c>
      <c r="I311" s="9" t="str">
        <f ca="1">+WORLDCUP!BD62</f>
        <v>Costa de Marfil</v>
      </c>
      <c r="J311" s="9" t="str">
        <f ca="1">+WORLDCUP!BD68</f>
        <v>Uzbekistán</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Nueva Zelanda</v>
      </c>
      <c r="E312" s="9" t="str">
        <f ca="1">+WORLDCUP!BD59</f>
        <v>Catar</v>
      </c>
      <c r="F312" s="9" t="str">
        <f ca="1">+WORLDCUP!BD63</f>
        <v>Suecia</v>
      </c>
      <c r="G312" s="9" t="str">
        <f ca="1">+WORLDCUP!BD58</f>
        <v>República Checa</v>
      </c>
      <c r="H312" s="9" t="str">
        <f ca="1">+WORLDCUP!BD65</f>
        <v>Arabia Saudita</v>
      </c>
      <c r="I312" s="9" t="str">
        <f ca="1">+WORLDCUP!BD69</f>
        <v>Croacia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Nueva Zelanda</v>
      </c>
      <c r="E313" s="9" t="str">
        <f ca="1">+WORLDCUP!BD59</f>
        <v>Catar</v>
      </c>
      <c r="F313" s="9" t="str">
        <f ca="1">+WORLDCUP!BD63</f>
        <v>Suecia</v>
      </c>
      <c r="G313" s="9" t="str">
        <f ca="1">+WORLDCUP!BD58</f>
        <v>República Checa</v>
      </c>
      <c r="H313" s="9" t="str">
        <f ca="1">+WORLDCUP!BD65</f>
        <v>Arabia Saudita</v>
      </c>
      <c r="I313" s="9" t="str">
        <f ca="1">+WORLDCUP!BD66</f>
        <v>Senegal</v>
      </c>
      <c r="J313" s="9" t="str">
        <f ca="1">+WORLDCUP!BD68</f>
        <v>Uzbekistán</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Argelia</v>
      </c>
      <c r="E314" s="9" t="str">
        <f ca="1">+WORLDCUP!BD59</f>
        <v>Catar</v>
      </c>
      <c r="F314" s="9" t="str">
        <f ca="1">+WORLDCUP!BD63</f>
        <v>Suecia</v>
      </c>
      <c r="G314" s="9" t="str">
        <f ca="1">+WORLDCUP!BD58</f>
        <v>República Checa</v>
      </c>
      <c r="H314" s="9" t="str">
        <f ca="1">+WORLDCUP!BD64</f>
        <v>Nueva Zelanda</v>
      </c>
      <c r="I314" s="9" t="str">
        <f ca="1">+WORLDCUP!BD62</f>
        <v>Costa de Marfil</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Catar</v>
      </c>
      <c r="F315" s="9" t="str">
        <f ca="1">+WORLDCUP!BD61</f>
        <v>Paraguay</v>
      </c>
      <c r="G315" s="9" t="str">
        <f ca="1">+WORLDCUP!BD58</f>
        <v>República Checa</v>
      </c>
      <c r="H315" s="9" t="str">
        <f ca="1">+WORLDCUP!BD65</f>
        <v>Arabia Saudita</v>
      </c>
      <c r="I315" s="9" t="str">
        <f ca="1">+WORLDCUP!BD69</f>
        <v>Croacia</v>
      </c>
      <c r="J315" s="9" t="str">
        <f ca="1">+WORLDCUP!BD68</f>
        <v>Uzbekistán</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Catar</v>
      </c>
      <c r="F316" s="9" t="str">
        <f ca="1">+WORLDCUP!BD61</f>
        <v>Paraguay</v>
      </c>
      <c r="G316" s="9" t="str">
        <f ca="1">+WORLDCUP!BD58</f>
        <v>República Checa</v>
      </c>
      <c r="H316" s="9" t="str">
        <f ca="1">+WORLDCUP!BD64</f>
        <v>Nueva Zelanda</v>
      </c>
      <c r="I316" s="9" t="str">
        <f ca="1">+WORLDCUP!BD69</f>
        <v>Croacia</v>
      </c>
      <c r="J316" s="9" t="str">
        <f ca="1">+WORLDCUP!BD68</f>
        <v>Uzbekistán</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Argelia</v>
      </c>
      <c r="E317" s="9" t="str">
        <f ca="1">+WORLDCUP!BD59</f>
        <v>Catar</v>
      </c>
      <c r="F317" s="9" t="str">
        <f ca="1">+WORLDCUP!BD61</f>
        <v>Paraguay</v>
      </c>
      <c r="G317" s="9" t="str">
        <f ca="1">+WORLDCUP!BD58</f>
        <v>República Checa</v>
      </c>
      <c r="H317" s="9" t="str">
        <f ca="1">+WORLDCUP!BD64</f>
        <v>Nueva Zelanda</v>
      </c>
      <c r="I317" s="9" t="str">
        <f ca="1">+WORLDCUP!BD69</f>
        <v>Croacia</v>
      </c>
      <c r="J317" s="9" t="str">
        <f ca="1">+WORLDCUP!BD68</f>
        <v>Uzbekistán</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Nueva Zelanda</v>
      </c>
      <c r="E318" s="9" t="str">
        <f ca="1">+WORLDCUP!BD59</f>
        <v>Catar</v>
      </c>
      <c r="F318" s="9" t="str">
        <f ca="1">+WORLDCUP!BD61</f>
        <v>Paraguay</v>
      </c>
      <c r="G318" s="9" t="str">
        <f ca="1">+WORLDCUP!BD58</f>
        <v>República Checa</v>
      </c>
      <c r="H318" s="9" t="str">
        <f ca="1">+WORLDCUP!BD65</f>
        <v>Arabia Saudita</v>
      </c>
      <c r="I318" s="9" t="str">
        <f ca="1">+WORLDCUP!BD69</f>
        <v>Croacia</v>
      </c>
      <c r="J318" s="9" t="str">
        <f ca="1">+WORLDCUP!BD68</f>
        <v>Uzbekistán</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Argelia</v>
      </c>
      <c r="E319" s="9" t="str">
        <f ca="1">+WORLDCUP!BD59</f>
        <v>Catar</v>
      </c>
      <c r="F319" s="9" t="str">
        <f ca="1">+WORLDCUP!BD61</f>
        <v>Paraguay</v>
      </c>
      <c r="G319" s="9" t="str">
        <f ca="1">+WORLDCUP!BD58</f>
        <v>República Checa</v>
      </c>
      <c r="H319" s="9" t="str">
        <f ca="1">+WORLDCUP!BD64</f>
        <v>Nueva Zelanda</v>
      </c>
      <c r="I319" s="9" t="str">
        <f ca="1">+WORLDCUP!BD69</f>
        <v>Croacia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Argelia</v>
      </c>
      <c r="E320" s="9" t="str">
        <f ca="1">+WORLDCUP!BD59</f>
        <v>Catar</v>
      </c>
      <c r="F320" s="9" t="str">
        <f ca="1">+WORLDCUP!BD61</f>
        <v>Paraguay</v>
      </c>
      <c r="G320" s="9" t="str">
        <f ca="1">+WORLDCUP!BD58</f>
        <v>República Checa</v>
      </c>
      <c r="H320" s="9" t="str">
        <f ca="1">+WORLDCUP!BD64</f>
        <v>Nueva Zelanda</v>
      </c>
      <c r="I320" s="9" t="str">
        <f ca="1">+WORLDCUP!BD66</f>
        <v>Senegal</v>
      </c>
      <c r="J320" s="9" t="str">
        <f ca="1">+WORLDCUP!BD68</f>
        <v>Uzbekistán</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Catar</v>
      </c>
      <c r="F321" s="9" t="str">
        <f ca="1">+WORLDCUP!BD61</f>
        <v>Paraguay</v>
      </c>
      <c r="G321" s="9" t="str">
        <f ca="1">+WORLDCUP!BD58</f>
        <v>República Checa</v>
      </c>
      <c r="H321" s="9" t="str">
        <f ca="1">+WORLDCUP!BD63</f>
        <v>Suecia</v>
      </c>
      <c r="I321" s="9" t="str">
        <f ca="1">+WORLDCUP!BD69</f>
        <v>Croacia</v>
      </c>
      <c r="J321" s="9" t="str">
        <f ca="1">+WORLDCUP!BD68</f>
        <v>Uzbekistán</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Argelia</v>
      </c>
      <c r="E322" s="9" t="str">
        <f ca="1">+WORLDCUP!BD59</f>
        <v>Catar</v>
      </c>
      <c r="F322" s="9" t="str">
        <f ca="1">+WORLDCUP!BD61</f>
        <v>Paraguay</v>
      </c>
      <c r="G322" s="9" t="str">
        <f ca="1">+WORLDCUP!BD58</f>
        <v>República Checa</v>
      </c>
      <c r="H322" s="9" t="str">
        <f ca="1">+WORLDCUP!BD63</f>
        <v>Suecia</v>
      </c>
      <c r="I322" s="9" t="str">
        <f ca="1">+WORLDCUP!BD69</f>
        <v>Croacia</v>
      </c>
      <c r="J322" s="9" t="str">
        <f ca="1">+WORLDCUP!BD68</f>
        <v>Uzbekistán</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Catar</v>
      </c>
      <c r="F323" s="9" t="str">
        <f ca="1">+WORLDCUP!BD61</f>
        <v>Paraguay</v>
      </c>
      <c r="G323" s="9" t="str">
        <f ca="1">+WORLDCUP!BD58</f>
        <v>República Checa</v>
      </c>
      <c r="H323" s="9" t="str">
        <f ca="1">+WORLDCUP!BD63</f>
        <v>Suecia</v>
      </c>
      <c r="I323" s="9" t="str">
        <f ca="1">+WORLDCUP!BD69</f>
        <v>Croacia</v>
      </c>
      <c r="J323" s="9" t="str">
        <f ca="1">+WORLDCUP!BD68</f>
        <v>Uzbekistán</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Argelia</v>
      </c>
      <c r="E324" s="9" t="str">
        <f ca="1">+WORLDCUP!BD59</f>
        <v>Catar</v>
      </c>
      <c r="F324" s="9" t="str">
        <f ca="1">+WORLDCUP!BD61</f>
        <v>Paraguay</v>
      </c>
      <c r="G324" s="9" t="str">
        <f ca="1">+WORLDCUP!BD58</f>
        <v>República Checa</v>
      </c>
      <c r="H324" s="9" t="str">
        <f ca="1">+WORLDCUP!BD63</f>
        <v>Suecia</v>
      </c>
      <c r="I324" s="9" t="str">
        <f ca="1">+WORLDCUP!BD69</f>
        <v>Croacia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Argelia</v>
      </c>
      <c r="E325" s="9" t="str">
        <f ca="1">+WORLDCUP!BD59</f>
        <v>Catar</v>
      </c>
      <c r="F325" s="9" t="str">
        <f ca="1">+WORLDCUP!BD61</f>
        <v>Paraguay</v>
      </c>
      <c r="G325" s="9" t="str">
        <f ca="1">+WORLDCUP!BD58</f>
        <v>República Checa</v>
      </c>
      <c r="H325" s="9" t="str">
        <f ca="1">+WORLDCUP!BD63</f>
        <v>Suecia</v>
      </c>
      <c r="I325" s="9" t="str">
        <f ca="1">+WORLDCUP!BD66</f>
        <v>Senegal</v>
      </c>
      <c r="J325" s="9" t="str">
        <f ca="1">+WORLDCUP!BD68</f>
        <v>Uzbekistán</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Catar</v>
      </c>
      <c r="F326" s="9" t="str">
        <f ca="1">+WORLDCUP!BD61</f>
        <v>Paraguay</v>
      </c>
      <c r="G326" s="9" t="str">
        <f ca="1">+WORLDCUP!BD58</f>
        <v>República Checa</v>
      </c>
      <c r="H326" s="9" t="str">
        <f ca="1">+WORLDCUP!BD64</f>
        <v>Nueva Zelanda</v>
      </c>
      <c r="I326" s="9" t="str">
        <f ca="1">+WORLDCUP!BD69</f>
        <v>Croacia</v>
      </c>
      <c r="J326" s="9" t="str">
        <f ca="1">+WORLDCUP!BD68</f>
        <v>Uzbekistán</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Nueva Zelanda</v>
      </c>
      <c r="E327" s="9" t="str">
        <f ca="1">+WORLDCUP!BD59</f>
        <v>Catar</v>
      </c>
      <c r="F327" s="9" t="str">
        <f ca="1">+WORLDCUP!BD61</f>
        <v>Paraguay</v>
      </c>
      <c r="G327" s="9" t="str">
        <f ca="1">+WORLDCUP!BD58</f>
        <v>República Checa</v>
      </c>
      <c r="H327" s="9" t="str">
        <f ca="1">+WORLDCUP!BD63</f>
        <v>Suecia</v>
      </c>
      <c r="I327" s="9" t="str">
        <f ca="1">+WORLDCUP!BD69</f>
        <v>Croacia</v>
      </c>
      <c r="J327" s="9" t="str">
        <f ca="1">+WORLDCUP!BD68</f>
        <v>Uzbekistán</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Catar</v>
      </c>
      <c r="F328" s="9" t="str">
        <f ca="1">+WORLDCUP!BD61</f>
        <v>Paraguay</v>
      </c>
      <c r="G328" s="9" t="str">
        <f ca="1">+WORLDCUP!BD58</f>
        <v>República Checa</v>
      </c>
      <c r="H328" s="9" t="str">
        <f ca="1">+WORLDCUP!BD64</f>
        <v>Nueva Zelanda</v>
      </c>
      <c r="I328" s="9" t="str">
        <f ca="1">+WORLDCUP!BD69</f>
        <v>Croacia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Catar</v>
      </c>
      <c r="F329" s="9" t="str">
        <f ca="1">+WORLDCUP!BD61</f>
        <v>Paraguay</v>
      </c>
      <c r="G329" s="9" t="str">
        <f ca="1">+WORLDCUP!BD58</f>
        <v>República Checa</v>
      </c>
      <c r="H329" s="9" t="str">
        <f ca="1">+WORLDCUP!BD64</f>
        <v>Nueva Zelanda</v>
      </c>
      <c r="I329" s="9" t="str">
        <f ca="1">+WORLDCUP!BD66</f>
        <v>Senegal</v>
      </c>
      <c r="J329" s="9" t="str">
        <f ca="1">+WORLDCUP!BD68</f>
        <v>Uzbekistán</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Nueva Zelanda</v>
      </c>
      <c r="E330" s="9" t="str">
        <f ca="1">+WORLDCUP!BD59</f>
        <v>Catar</v>
      </c>
      <c r="F330" s="9" t="str">
        <f ca="1">+WORLDCUP!BD61</f>
        <v>Paraguay</v>
      </c>
      <c r="G330" s="9" t="str">
        <f ca="1">+WORLDCUP!BD58</f>
        <v>República Checa</v>
      </c>
      <c r="H330" s="9" t="str">
        <f ca="1">+WORLDCUP!BD63</f>
        <v>Suecia</v>
      </c>
      <c r="I330" s="9" t="str">
        <f ca="1">+WORLDCUP!BD69</f>
        <v>Croacia</v>
      </c>
      <c r="J330" s="9" t="str">
        <f ca="1">+WORLDCUP!BD68</f>
        <v>Uzbekistán</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Nueva Zelanda</v>
      </c>
      <c r="E331" s="9" t="str">
        <f ca="1">+WORLDCUP!BD59</f>
        <v>Catar</v>
      </c>
      <c r="F331" s="9" t="str">
        <f ca="1">+WORLDCUP!BD61</f>
        <v>Paraguay</v>
      </c>
      <c r="G331" s="9" t="str">
        <f ca="1">+WORLDCUP!BD58</f>
        <v>República Checa</v>
      </c>
      <c r="H331" s="9" t="str">
        <f ca="1">+WORLDCUP!BD63</f>
        <v>Suecia</v>
      </c>
      <c r="I331" s="9" t="str">
        <f ca="1">+WORLDCUP!BD69</f>
        <v>Croacia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Nueva Zelanda</v>
      </c>
      <c r="E332" s="9" t="str">
        <f ca="1">+WORLDCUP!BD59</f>
        <v>Catar</v>
      </c>
      <c r="F332" s="9" t="str">
        <f ca="1">+WORLDCUP!BD61</f>
        <v>Paraguay</v>
      </c>
      <c r="G332" s="9" t="str">
        <f ca="1">+WORLDCUP!BD58</f>
        <v>República Checa</v>
      </c>
      <c r="H332" s="9" t="str">
        <f ca="1">+WORLDCUP!BD63</f>
        <v>Suecia</v>
      </c>
      <c r="I332" s="9" t="str">
        <f ca="1">+WORLDCUP!BD67</f>
        <v>Argelia</v>
      </c>
      <c r="J332" s="9" t="str">
        <f ca="1">+WORLDCUP!BD68</f>
        <v>Uzbekistán</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Nueva Zelanda</v>
      </c>
      <c r="E333" s="9" t="str">
        <f ca="1">+WORLDCUP!BD59</f>
        <v>Catar</v>
      </c>
      <c r="F333" s="9" t="str">
        <f ca="1">+WORLDCUP!BD61</f>
        <v>Paraguay</v>
      </c>
      <c r="G333" s="9" t="str">
        <f ca="1">+WORLDCUP!BD58</f>
        <v>República Checa</v>
      </c>
      <c r="H333" s="9" t="str">
        <f ca="1">+WORLDCUP!BD63</f>
        <v>Suecia</v>
      </c>
      <c r="I333" s="9" t="str">
        <f ca="1">+WORLDCUP!BD69</f>
        <v>Croacia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Nueva Zelanda</v>
      </c>
      <c r="E334" s="9" t="str">
        <f ca="1">+WORLDCUP!BD59</f>
        <v>Catar</v>
      </c>
      <c r="F334" s="9" t="str">
        <f ca="1">+WORLDCUP!BD61</f>
        <v>Paraguay</v>
      </c>
      <c r="G334" s="9" t="str">
        <f ca="1">+WORLDCUP!BD58</f>
        <v>República Checa</v>
      </c>
      <c r="H334" s="9" t="str">
        <f ca="1">+WORLDCUP!BD63</f>
        <v>Suecia</v>
      </c>
      <c r="I334" s="9" t="str">
        <f ca="1">+WORLDCUP!BD66</f>
        <v>Senegal</v>
      </c>
      <c r="J334" s="9" t="str">
        <f ca="1">+WORLDCUP!BD68</f>
        <v>Uzbekistán</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Nueva Zelanda</v>
      </c>
      <c r="E335" s="9" t="str">
        <f ca="1">+WORLDCUP!BD59</f>
        <v>Catar</v>
      </c>
      <c r="F335" s="9" t="str">
        <f ca="1">+WORLDCUP!BD61</f>
        <v>Paraguay</v>
      </c>
      <c r="G335" s="9" t="str">
        <f ca="1">+WORLDCUP!BD58</f>
        <v>República Checa</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Argelia</v>
      </c>
      <c r="E336" s="9" t="str">
        <f ca="1">+WORLDCUP!BD59</f>
        <v>Catar</v>
      </c>
      <c r="F336" s="9" t="str">
        <f ca="1">+WORLDCUP!BD58</f>
        <v>República Checa</v>
      </c>
      <c r="G336" s="9" t="str">
        <f ca="1">+WORLDCUP!BD66</f>
        <v>Senegal</v>
      </c>
      <c r="H336" s="9" t="str">
        <f ca="1">+WORLDCUP!BD61</f>
        <v>Paraguay</v>
      </c>
      <c r="I336" s="9" t="str">
        <f ca="1">+WORLDCUP!BD69</f>
        <v>Croacia</v>
      </c>
      <c r="J336" s="9" t="str">
        <f ca="1">+WORLDCUP!BD68</f>
        <v>Uzbekistán</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Argelia</v>
      </c>
      <c r="E337" s="9" t="str">
        <f ca="1">+WORLDCUP!BD59</f>
        <v>Catar</v>
      </c>
      <c r="F337" s="9" t="str">
        <f ca="1">+WORLDCUP!BD61</f>
        <v>Paraguay</v>
      </c>
      <c r="G337" s="9" t="str">
        <f ca="1">+WORLDCUP!BD58</f>
        <v>República Checa</v>
      </c>
      <c r="H337" s="9" t="str">
        <f ca="1">+WORLDCUP!BD65</f>
        <v>Arabia Saudita</v>
      </c>
      <c r="I337" s="9" t="str">
        <f ca="1">+WORLDCUP!BD69</f>
        <v>Croacia</v>
      </c>
      <c r="J337" s="9" t="str">
        <f ca="1">+WORLDCUP!BD68</f>
        <v>Uzbekistán</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Senegal</v>
      </c>
      <c r="E338" s="9" t="str">
        <f ca="1">+WORLDCUP!BD59</f>
        <v>Catar</v>
      </c>
      <c r="F338" s="9" t="str">
        <f ca="1">+WORLDCUP!BD61</f>
        <v>Paraguay</v>
      </c>
      <c r="G338" s="9" t="str">
        <f ca="1">+WORLDCUP!BD58</f>
        <v>República Checa</v>
      </c>
      <c r="H338" s="9" t="str">
        <f ca="1">+WORLDCUP!BD65</f>
        <v>Arabia Saudita</v>
      </c>
      <c r="I338" s="9" t="str">
        <f ca="1">+WORLDCUP!BD69</f>
        <v>Croacia</v>
      </c>
      <c r="J338" s="9" t="str">
        <f ca="1">+WORLDCUP!BD68</f>
        <v>Uzbekistán</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Argelia</v>
      </c>
      <c r="E339" s="9" t="str">
        <f ca="1">+WORLDCUP!BD59</f>
        <v>Catar</v>
      </c>
      <c r="F339" s="9" t="str">
        <f ca="1">+WORLDCUP!BD61</f>
        <v>Paraguay</v>
      </c>
      <c r="G339" s="9" t="str">
        <f ca="1">+WORLDCUP!BD58</f>
        <v>República Checa</v>
      </c>
      <c r="H339" s="9" t="str">
        <f ca="1">+WORLDCUP!BD65</f>
        <v>Arabia Saudita</v>
      </c>
      <c r="I339" s="9" t="str">
        <f ca="1">+WORLDCUP!BD69</f>
        <v>Croacia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Argelia</v>
      </c>
      <c r="E340" s="9" t="str">
        <f ca="1">+WORLDCUP!BD59</f>
        <v>Catar</v>
      </c>
      <c r="F340" s="9" t="str">
        <f ca="1">+WORLDCUP!BD61</f>
        <v>Paraguay</v>
      </c>
      <c r="G340" s="9" t="str">
        <f ca="1">+WORLDCUP!BD58</f>
        <v>República Checa</v>
      </c>
      <c r="H340" s="9" t="str">
        <f ca="1">+WORLDCUP!BD65</f>
        <v>Arabia Saudita</v>
      </c>
      <c r="I340" s="9" t="str">
        <f ca="1">+WORLDCUP!BD66</f>
        <v>Senegal</v>
      </c>
      <c r="J340" s="9" t="str">
        <f ca="1">+WORLDCUP!BD68</f>
        <v>Uzbekistán</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Argelia</v>
      </c>
      <c r="E341" s="9" t="str">
        <f ca="1">+WORLDCUP!BD59</f>
        <v>Catar</v>
      </c>
      <c r="F341" s="9" t="str">
        <f ca="1">+WORLDCUP!BD61</f>
        <v>Paraguay</v>
      </c>
      <c r="G341" s="9" t="str">
        <f ca="1">+WORLDCUP!BD58</f>
        <v>República Checa</v>
      </c>
      <c r="H341" s="9" t="str">
        <f ca="1">+WORLDCUP!BD64</f>
        <v>Nueva Zelanda</v>
      </c>
      <c r="I341" s="9" t="str">
        <f ca="1">+WORLDCUP!BD69</f>
        <v>Croacia</v>
      </c>
      <c r="J341" s="9" t="str">
        <f ca="1">+WORLDCUP!BD68</f>
        <v>Uzbekistán</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Nueva Zelanda</v>
      </c>
      <c r="E342" s="9" t="str">
        <f ca="1">+WORLDCUP!BD59</f>
        <v>Catar</v>
      </c>
      <c r="F342" s="9" t="str">
        <f ca="1">+WORLDCUP!BD58</f>
        <v>República Checa</v>
      </c>
      <c r="G342" s="9" t="str">
        <f ca="1">+WORLDCUP!BD66</f>
        <v>Senegal</v>
      </c>
      <c r="H342" s="9" t="str">
        <f ca="1">+WORLDCUP!BD61</f>
        <v>Paraguay</v>
      </c>
      <c r="I342" s="9" t="str">
        <f ca="1">+WORLDCUP!BD69</f>
        <v>Croacia</v>
      </c>
      <c r="J342" s="9" t="str">
        <f ca="1">+WORLDCUP!BD68</f>
        <v>Uzbekistán</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Argelia</v>
      </c>
      <c r="E343" s="9" t="str">
        <f ca="1">+WORLDCUP!BD59</f>
        <v>Catar</v>
      </c>
      <c r="F343" s="9" t="str">
        <f ca="1">+WORLDCUP!BD61</f>
        <v>Paraguay</v>
      </c>
      <c r="G343" s="9" t="str">
        <f ca="1">+WORLDCUP!BD58</f>
        <v>República Checa</v>
      </c>
      <c r="H343" s="9" t="str">
        <f ca="1">+WORLDCUP!BD64</f>
        <v>Nueva Zelanda</v>
      </c>
      <c r="I343" s="9" t="str">
        <f ca="1">+WORLDCUP!BD69</f>
        <v>Croacia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Argelia</v>
      </c>
      <c r="E344" s="9" t="str">
        <f ca="1">+WORLDCUP!BD59</f>
        <v>Catar</v>
      </c>
      <c r="F344" s="9" t="str">
        <f ca="1">+WORLDCUP!BD61</f>
        <v>Paraguay</v>
      </c>
      <c r="G344" s="9" t="str">
        <f ca="1">+WORLDCUP!BD58</f>
        <v>República Checa</v>
      </c>
      <c r="H344" s="9" t="str">
        <f ca="1">+WORLDCUP!BD64</f>
        <v>Nueva Zelanda</v>
      </c>
      <c r="I344" s="9" t="str">
        <f ca="1">+WORLDCUP!BD66</f>
        <v>Senegal</v>
      </c>
      <c r="J344" s="9" t="str">
        <f ca="1">+WORLDCUP!BD68</f>
        <v>Uzbekistán</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Nueva Zelanda</v>
      </c>
      <c r="E345" s="9" t="str">
        <f ca="1">+WORLDCUP!BD59</f>
        <v>Catar</v>
      </c>
      <c r="F345" s="9" t="str">
        <f ca="1">+WORLDCUP!BD61</f>
        <v>Paraguay</v>
      </c>
      <c r="G345" s="9" t="str">
        <f ca="1">+WORLDCUP!BD58</f>
        <v>República Checa</v>
      </c>
      <c r="H345" s="9" t="str">
        <f ca="1">+WORLDCUP!BD65</f>
        <v>Arabia Saudita</v>
      </c>
      <c r="I345" s="9" t="str">
        <f ca="1">+WORLDCUP!BD69</f>
        <v>Croacia</v>
      </c>
      <c r="J345" s="9" t="str">
        <f ca="1">+WORLDCUP!BD68</f>
        <v>Uzbekistán</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Argelia</v>
      </c>
      <c r="E346" s="9" t="str">
        <f ca="1">+WORLDCUP!BD59</f>
        <v>Catar</v>
      </c>
      <c r="F346" s="9" t="str">
        <f ca="1">+WORLDCUP!BD61</f>
        <v>Paraguay</v>
      </c>
      <c r="G346" s="9" t="str">
        <f ca="1">+WORLDCUP!BD58</f>
        <v>República Checa</v>
      </c>
      <c r="H346" s="9" t="str">
        <f ca="1">+WORLDCUP!BD64</f>
        <v>Nueva Zelanda</v>
      </c>
      <c r="I346" s="9" t="str">
        <f ca="1">+WORLDCUP!BD69</f>
        <v>Croacia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Argelia</v>
      </c>
      <c r="E347" s="9" t="str">
        <f ca="1">+WORLDCUP!BD59</f>
        <v>Catar</v>
      </c>
      <c r="F347" s="9" t="str">
        <f ca="1">+WORLDCUP!BD61</f>
        <v>Paraguay</v>
      </c>
      <c r="G347" s="9" t="str">
        <f ca="1">+WORLDCUP!BD58</f>
        <v>República Checa</v>
      </c>
      <c r="H347" s="9" t="str">
        <f ca="1">+WORLDCUP!BD64</f>
        <v>Nueva Zelanda</v>
      </c>
      <c r="I347" s="9" t="str">
        <f ca="1">+WORLDCUP!BD62</f>
        <v>Costa de Marfil</v>
      </c>
      <c r="J347" s="9" t="str">
        <f ca="1">+WORLDCUP!BD68</f>
        <v>Uzbekistán</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Nueva Zelanda</v>
      </c>
      <c r="E348" s="9" t="str">
        <f ca="1">+WORLDCUP!BD59</f>
        <v>Catar</v>
      </c>
      <c r="F348" s="9" t="str">
        <f ca="1">+WORLDCUP!BD61</f>
        <v>Paraguay</v>
      </c>
      <c r="G348" s="9" t="str">
        <f ca="1">+WORLDCUP!BD58</f>
        <v>República Checa</v>
      </c>
      <c r="H348" s="9" t="str">
        <f ca="1">+WORLDCUP!BD65</f>
        <v>Arabia Saudita</v>
      </c>
      <c r="I348" s="9" t="str">
        <f ca="1">+WORLDCUP!BD69</f>
        <v>Croacia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Nueva Zelanda</v>
      </c>
      <c r="E349" s="9" t="str">
        <f ca="1">+WORLDCUP!BD59</f>
        <v>Catar</v>
      </c>
      <c r="F349" s="9" t="str">
        <f ca="1">+WORLDCUP!BD61</f>
        <v>Paraguay</v>
      </c>
      <c r="G349" s="9" t="str">
        <f ca="1">+WORLDCUP!BD58</f>
        <v>República Checa</v>
      </c>
      <c r="H349" s="9" t="str">
        <f ca="1">+WORLDCUP!BD65</f>
        <v>Arabia Saudita</v>
      </c>
      <c r="I349" s="9" t="str">
        <f ca="1">+WORLDCUP!BD66</f>
        <v>Senegal</v>
      </c>
      <c r="J349" s="9" t="str">
        <f ca="1">+WORLDCUP!BD68</f>
        <v>Uzbekistán</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Argelia</v>
      </c>
      <c r="E350" s="9" t="str">
        <f ca="1">+WORLDCUP!BD59</f>
        <v>Catar</v>
      </c>
      <c r="F350" s="9" t="str">
        <f ca="1">+WORLDCUP!BD61</f>
        <v>Paraguay</v>
      </c>
      <c r="G350" s="9" t="str">
        <f ca="1">+WORLDCUP!BD58</f>
        <v>República Checa</v>
      </c>
      <c r="H350" s="9" t="str">
        <f ca="1">+WORLDCUP!BD64</f>
        <v>Nueva Zelanda</v>
      </c>
      <c r="I350" s="9" t="str">
        <f ca="1">+WORLDCUP!BD62</f>
        <v>Costa de Marfil</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Argelia</v>
      </c>
      <c r="E351" s="9" t="str">
        <f ca="1">+WORLDCUP!BD59</f>
        <v>Catar</v>
      </c>
      <c r="F351" s="9" t="str">
        <f ca="1">+WORLDCUP!BD61</f>
        <v>Paraguay</v>
      </c>
      <c r="G351" s="9" t="str">
        <f ca="1">+WORLDCUP!BD58</f>
        <v>República Checa</v>
      </c>
      <c r="H351" s="9" t="str">
        <f ca="1">+WORLDCUP!BD63</f>
        <v>Suecia</v>
      </c>
      <c r="I351" s="9" t="str">
        <f ca="1">+WORLDCUP!BD69</f>
        <v>Croacia</v>
      </c>
      <c r="J351" s="9" t="str">
        <f ca="1">+WORLDCUP!BD68</f>
        <v>Uzbekistán</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Costa de Marfil</v>
      </c>
      <c r="D352" s="9" t="str">
        <f ca="1">+WORLDCUP!BD66</f>
        <v>Senegal</v>
      </c>
      <c r="E352" s="9" t="str">
        <f ca="1">+WORLDCUP!BD59</f>
        <v>Catar</v>
      </c>
      <c r="F352" s="9" t="str">
        <f ca="1">+WORLDCUP!BD61</f>
        <v>Paraguay</v>
      </c>
      <c r="G352" s="9" t="str">
        <f ca="1">+WORLDCUP!BD58</f>
        <v>República Checa</v>
      </c>
      <c r="H352" s="9" t="str">
        <f ca="1">+WORLDCUP!BD63</f>
        <v>Suecia</v>
      </c>
      <c r="I352" s="9" t="str">
        <f ca="1">+WORLDCUP!BD69</f>
        <v>Croacia</v>
      </c>
      <c r="J352" s="9" t="str">
        <f ca="1">+WORLDCUP!BD68</f>
        <v>Uzbekistán</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Argelia</v>
      </c>
      <c r="E353" s="9" t="str">
        <f ca="1">+WORLDCUP!BD59</f>
        <v>Catar</v>
      </c>
      <c r="F353" s="9" t="str">
        <f ca="1">+WORLDCUP!BD61</f>
        <v>Paraguay</v>
      </c>
      <c r="G353" s="9" t="str">
        <f ca="1">+WORLDCUP!BD58</f>
        <v>República Checa</v>
      </c>
      <c r="H353" s="9" t="str">
        <f ca="1">+WORLDCUP!BD63</f>
        <v>Suecia</v>
      </c>
      <c r="I353" s="9" t="str">
        <f ca="1">+WORLDCUP!BD69</f>
        <v>Croacia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Argelia</v>
      </c>
      <c r="E354" s="9" t="str">
        <f ca="1">+WORLDCUP!BD59</f>
        <v>Catar</v>
      </c>
      <c r="F354" s="9" t="str">
        <f ca="1">+WORLDCUP!BD61</f>
        <v>Paraguay</v>
      </c>
      <c r="G354" s="9" t="str">
        <f ca="1">+WORLDCUP!BD58</f>
        <v>República Checa</v>
      </c>
      <c r="H354" s="9" t="str">
        <f ca="1">+WORLDCUP!BD63</f>
        <v>Suecia</v>
      </c>
      <c r="I354" s="9" t="str">
        <f ca="1">+WORLDCUP!BD66</f>
        <v>Senegal</v>
      </c>
      <c r="J354" s="9" t="str">
        <f ca="1">+WORLDCUP!BD68</f>
        <v>Uzbekistán</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Costa de Marfil</v>
      </c>
      <c r="E355" s="9" t="str">
        <f ca="1">+WORLDCUP!BD59</f>
        <v>Catar</v>
      </c>
      <c r="F355" s="9" t="str">
        <f ca="1">+WORLDCUP!BD61</f>
        <v>Paraguay</v>
      </c>
      <c r="G355" s="9" t="str">
        <f ca="1">+WORLDCUP!BD58</f>
        <v>República Checa</v>
      </c>
      <c r="H355" s="9" t="str">
        <f ca="1">+WORLDCUP!BD63</f>
        <v>Suecia</v>
      </c>
      <c r="I355" s="9" t="str">
        <f ca="1">+WORLDCUP!BD69</f>
        <v>Croacia</v>
      </c>
      <c r="J355" s="9" t="str">
        <f ca="1">+WORLDCUP!BD68</f>
        <v>Uzbekistán</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Argelia</v>
      </c>
      <c r="E356" s="9" t="str">
        <f ca="1">+WORLDCUP!BD59</f>
        <v>Catar</v>
      </c>
      <c r="F356" s="9" t="str">
        <f ca="1">+WORLDCUP!BD61</f>
        <v>Paraguay</v>
      </c>
      <c r="G356" s="9" t="str">
        <f ca="1">+WORLDCUP!BD58</f>
        <v>República Checa</v>
      </c>
      <c r="H356" s="9" t="str">
        <f ca="1">+WORLDCUP!BD63</f>
        <v>Suecia</v>
      </c>
      <c r="I356" s="9" t="str">
        <f ca="1">+WORLDCUP!BD69</f>
        <v>Croacia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Argelia</v>
      </c>
      <c r="E357" s="9" t="str">
        <f ca="1">+WORLDCUP!BD59</f>
        <v>Catar</v>
      </c>
      <c r="F357" s="9" t="str">
        <f ca="1">+WORLDCUP!BD61</f>
        <v>Paraguay</v>
      </c>
      <c r="G357" s="9" t="str">
        <f ca="1">+WORLDCUP!BD58</f>
        <v>República Checa</v>
      </c>
      <c r="H357" s="9" t="str">
        <f ca="1">+WORLDCUP!BD63</f>
        <v>Suecia</v>
      </c>
      <c r="I357" s="9" t="str">
        <f ca="1">+WORLDCUP!BD62</f>
        <v>Costa de Marfil</v>
      </c>
      <c r="J357" s="9" t="str">
        <f ca="1">+WORLDCUP!BD68</f>
        <v>Uzbekistán</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Costa de Marfil</v>
      </c>
      <c r="E358" s="9" t="str">
        <f ca="1">+WORLDCUP!BD59</f>
        <v>Catar</v>
      </c>
      <c r="F358" s="9" t="str">
        <f ca="1">+WORLDCUP!BD61</f>
        <v>Paraguay</v>
      </c>
      <c r="G358" s="9" t="str">
        <f ca="1">+WORLDCUP!BD58</f>
        <v>República Checa</v>
      </c>
      <c r="H358" s="9" t="str">
        <f ca="1">+WORLDCUP!BD63</f>
        <v>Suecia</v>
      </c>
      <c r="I358" s="9" t="str">
        <f ca="1">+WORLDCUP!BD69</f>
        <v>Croacia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Costa de Marfil</v>
      </c>
      <c r="E359" s="9" t="str">
        <f ca="1">+WORLDCUP!BD59</f>
        <v>Catar</v>
      </c>
      <c r="F359" s="9" t="str">
        <f ca="1">+WORLDCUP!BD61</f>
        <v>Paraguay</v>
      </c>
      <c r="G359" s="9" t="str">
        <f ca="1">+WORLDCUP!BD58</f>
        <v>República Checa</v>
      </c>
      <c r="H359" s="9" t="str">
        <f ca="1">+WORLDCUP!BD63</f>
        <v>Suecia</v>
      </c>
      <c r="I359" s="9" t="str">
        <f ca="1">+WORLDCUP!BD66</f>
        <v>Senegal</v>
      </c>
      <c r="J359" s="9" t="str">
        <f ca="1">+WORLDCUP!BD68</f>
        <v>Uzbekistán</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Argelia</v>
      </c>
      <c r="E360" s="9" t="str">
        <f ca="1">+WORLDCUP!BD59</f>
        <v>Catar</v>
      </c>
      <c r="F360" s="9" t="str">
        <f ca="1">+WORLDCUP!BD61</f>
        <v>Paraguay</v>
      </c>
      <c r="G360" s="9" t="str">
        <f ca="1">+WORLDCUP!BD58</f>
        <v>República Checa</v>
      </c>
      <c r="H360" s="9" t="str">
        <f ca="1">+WORLDCUP!BD63</f>
        <v>Suecia</v>
      </c>
      <c r="I360" s="9" t="str">
        <f ca="1">+WORLDCUP!BD62</f>
        <v>Costa de Marfil</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Nueva Zelanda</v>
      </c>
      <c r="E361" s="9" t="str">
        <f ca="1">+WORLDCUP!BD59</f>
        <v>Catar</v>
      </c>
      <c r="F361" s="9" t="str">
        <f ca="1">+WORLDCUP!BD61</f>
        <v>Paraguay</v>
      </c>
      <c r="G361" s="9" t="str">
        <f ca="1">+WORLDCUP!BD58</f>
        <v>República Checa</v>
      </c>
      <c r="H361" s="9" t="str">
        <f ca="1">+WORLDCUP!BD63</f>
        <v>Suecia</v>
      </c>
      <c r="I361" s="9" t="str">
        <f ca="1">+WORLDCUP!BD69</f>
        <v>Croacia</v>
      </c>
      <c r="J361" s="9" t="str">
        <f ca="1">+WORLDCUP!BD68</f>
        <v>Uzbekistán</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Nueva Zelanda</v>
      </c>
      <c r="E362" s="9" t="str">
        <f ca="1">+WORLDCUP!BD59</f>
        <v>Catar</v>
      </c>
      <c r="F362" s="9" t="str">
        <f ca="1">+WORLDCUP!BD61</f>
        <v>Paraguay</v>
      </c>
      <c r="G362" s="9" t="str">
        <f ca="1">+WORLDCUP!BD58</f>
        <v>República Checa</v>
      </c>
      <c r="H362" s="9" t="str">
        <f ca="1">+WORLDCUP!BD63</f>
        <v>Suecia</v>
      </c>
      <c r="I362" s="9" t="str">
        <f ca="1">+WORLDCUP!BD69</f>
        <v>Croacia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Nueva Zelanda</v>
      </c>
      <c r="E363" s="9" t="str">
        <f ca="1">+WORLDCUP!BD59</f>
        <v>Catar</v>
      </c>
      <c r="F363" s="9" t="str">
        <f ca="1">+WORLDCUP!BD61</f>
        <v>Paraguay</v>
      </c>
      <c r="G363" s="9" t="str">
        <f ca="1">+WORLDCUP!BD58</f>
        <v>República Checa</v>
      </c>
      <c r="H363" s="9" t="str">
        <f ca="1">+WORLDCUP!BD63</f>
        <v>Suecia</v>
      </c>
      <c r="I363" s="9" t="str">
        <f ca="1">+WORLDCUP!BD67</f>
        <v>Argelia</v>
      </c>
      <c r="J363" s="9" t="str">
        <f ca="1">+WORLDCUP!BD68</f>
        <v>Uzbekistán</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Nueva Zelanda</v>
      </c>
      <c r="E364" s="9" t="str">
        <f ca="1">+WORLDCUP!BD59</f>
        <v>Catar</v>
      </c>
      <c r="F364" s="9" t="str">
        <f ca="1">+WORLDCUP!BD61</f>
        <v>Paraguay</v>
      </c>
      <c r="G364" s="9" t="str">
        <f ca="1">+WORLDCUP!BD58</f>
        <v>República Checa</v>
      </c>
      <c r="H364" s="9" t="str">
        <f ca="1">+WORLDCUP!BD63</f>
        <v>Suecia</v>
      </c>
      <c r="I364" s="9" t="str">
        <f ca="1">+WORLDCUP!BD69</f>
        <v>Croacia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Nueva Zelanda</v>
      </c>
      <c r="E365" s="9" t="str">
        <f ca="1">+WORLDCUP!BD59</f>
        <v>Catar</v>
      </c>
      <c r="F365" s="9" t="str">
        <f ca="1">+WORLDCUP!BD61</f>
        <v>Paraguay</v>
      </c>
      <c r="G365" s="9" t="str">
        <f ca="1">+WORLDCUP!BD58</f>
        <v>República Checa</v>
      </c>
      <c r="H365" s="9" t="str">
        <f ca="1">+WORLDCUP!BD63</f>
        <v>Suecia</v>
      </c>
      <c r="I365" s="9" t="str">
        <f ca="1">+WORLDCUP!BD66</f>
        <v>Senegal</v>
      </c>
      <c r="J365" s="9" t="str">
        <f ca="1">+WORLDCUP!BD68</f>
        <v>Uzbekistán</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Nueva Zelanda</v>
      </c>
      <c r="E366" s="9" t="str">
        <f ca="1">+WORLDCUP!BD59</f>
        <v>Catar</v>
      </c>
      <c r="F366" s="9" t="str">
        <f ca="1">+WORLDCUP!BD61</f>
        <v>Paraguay</v>
      </c>
      <c r="G366" s="9" t="str">
        <f ca="1">+WORLDCUP!BD58</f>
        <v>República Checa</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Nueva Zelanda</v>
      </c>
      <c r="E367" s="9" t="str">
        <f ca="1">+WORLDCUP!BD59</f>
        <v>Catar</v>
      </c>
      <c r="F367" s="9" t="str">
        <f ca="1">+WORLDCUP!BD61</f>
        <v>Paraguay</v>
      </c>
      <c r="G367" s="9" t="str">
        <f ca="1">+WORLDCUP!BD58</f>
        <v>República Checa</v>
      </c>
      <c r="H367" s="9" t="str">
        <f ca="1">+WORLDCUP!BD63</f>
        <v>Suecia</v>
      </c>
      <c r="I367" s="9" t="str">
        <f ca="1">+WORLDCUP!BD69</f>
        <v>Croacia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Nueva Zelanda</v>
      </c>
      <c r="E368" s="9" t="str">
        <f ca="1">+WORLDCUP!BD59</f>
        <v>Catar</v>
      </c>
      <c r="F368" s="9" t="str">
        <f ca="1">+WORLDCUP!BD61</f>
        <v>Paraguay</v>
      </c>
      <c r="G368" s="9" t="str">
        <f ca="1">+WORLDCUP!BD58</f>
        <v>República Checa</v>
      </c>
      <c r="H368" s="9" t="str">
        <f ca="1">+WORLDCUP!BD63</f>
        <v>Suecia</v>
      </c>
      <c r="I368" s="9" t="str">
        <f ca="1">+WORLDCUP!BD62</f>
        <v>Costa de Marfil</v>
      </c>
      <c r="J368" s="9" t="str">
        <f ca="1">+WORLDCUP!BD68</f>
        <v>Uzbekistán</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Nueva Zelanda</v>
      </c>
      <c r="E369" s="9" t="str">
        <f ca="1">+WORLDCUP!BD59</f>
        <v>Catar</v>
      </c>
      <c r="F369" s="9" t="str">
        <f ca="1">+WORLDCUP!BD61</f>
        <v>Paraguay</v>
      </c>
      <c r="G369" s="9" t="str">
        <f ca="1">+WORLDCUP!BD58</f>
        <v>República Checa</v>
      </c>
      <c r="H369" s="9" t="str">
        <f ca="1">+WORLDCUP!BD63</f>
        <v>Suecia</v>
      </c>
      <c r="I369" s="9" t="str">
        <f ca="1">+WORLDCUP!BD62</f>
        <v>Costa de Marfil</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Nueva Zelanda</v>
      </c>
      <c r="E370" s="9" t="str">
        <f ca="1">+WORLDCUP!BD59</f>
        <v>Catar</v>
      </c>
      <c r="F370" s="9" t="str">
        <f ca="1">+WORLDCUP!BD61</f>
        <v>Paraguay</v>
      </c>
      <c r="G370" s="9" t="str">
        <f ca="1">+WORLDCUP!BD58</f>
        <v>República Checa</v>
      </c>
      <c r="H370" s="9" t="str">
        <f ca="1">+WORLDCUP!BD63</f>
        <v>Suecia</v>
      </c>
      <c r="I370" s="9" t="str">
        <f ca="1">+WORLDCUP!BD62</f>
        <v>Costa de Marfil</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Catar</v>
      </c>
      <c r="F371" s="9" t="str">
        <f ca="1">+WORLDCUP!BD60</f>
        <v>Escocia</v>
      </c>
      <c r="G371" s="9" t="str">
        <f ca="1">+WORLDCUP!BD58</f>
        <v>República Checa</v>
      </c>
      <c r="H371" s="9" t="str">
        <f ca="1">+WORLDCUP!BD65</f>
        <v>Arabia Saudita</v>
      </c>
      <c r="I371" s="9" t="str">
        <f ca="1">+WORLDCUP!BD69</f>
        <v>Croacia</v>
      </c>
      <c r="J371" s="9" t="str">
        <f ca="1">+WORLDCUP!BD68</f>
        <v>Uzbekistán</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Catar</v>
      </c>
      <c r="F372" s="9" t="str">
        <f ca="1">+WORLDCUP!BD60</f>
        <v>Escocia</v>
      </c>
      <c r="G372" s="9" t="str">
        <f ca="1">+WORLDCUP!BD58</f>
        <v>República Checa</v>
      </c>
      <c r="H372" s="9" t="str">
        <f ca="1">+WORLDCUP!BD64</f>
        <v>Nueva Zelanda</v>
      </c>
      <c r="I372" s="9" t="str">
        <f ca="1">+WORLDCUP!BD69</f>
        <v>Croacia</v>
      </c>
      <c r="J372" s="9" t="str">
        <f ca="1">+WORLDCUP!BD68</f>
        <v>Uzbekistán</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Argelia</v>
      </c>
      <c r="E373" s="9" t="str">
        <f ca="1">+WORLDCUP!BD59</f>
        <v>Catar</v>
      </c>
      <c r="F373" s="9" t="str">
        <f ca="1">+WORLDCUP!BD60</f>
        <v>Escocia</v>
      </c>
      <c r="G373" s="9" t="str">
        <f ca="1">+WORLDCUP!BD58</f>
        <v>República Checa</v>
      </c>
      <c r="H373" s="9" t="str">
        <f ca="1">+WORLDCUP!BD64</f>
        <v>Nueva Zelanda</v>
      </c>
      <c r="I373" s="9" t="str">
        <f ca="1">+WORLDCUP!BD69</f>
        <v>Croacia</v>
      </c>
      <c r="J373" s="9" t="str">
        <f ca="1">+WORLDCUP!BD68</f>
        <v>Uzbekistán</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Nueva Zelanda</v>
      </c>
      <c r="E374" s="9" t="str">
        <f ca="1">+WORLDCUP!BD59</f>
        <v>Catar</v>
      </c>
      <c r="F374" s="9" t="str">
        <f ca="1">+WORLDCUP!BD60</f>
        <v>Escocia</v>
      </c>
      <c r="G374" s="9" t="str">
        <f ca="1">+WORLDCUP!BD58</f>
        <v>República Checa</v>
      </c>
      <c r="H374" s="9" t="str">
        <f ca="1">+WORLDCUP!BD65</f>
        <v>Arabia Saudita</v>
      </c>
      <c r="I374" s="9" t="str">
        <f ca="1">+WORLDCUP!BD69</f>
        <v>Croacia</v>
      </c>
      <c r="J374" s="9" t="str">
        <f ca="1">+WORLDCUP!BD68</f>
        <v>Uzbekistán</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Argelia</v>
      </c>
      <c r="E375" s="9" t="str">
        <f ca="1">+WORLDCUP!BD59</f>
        <v>Catar</v>
      </c>
      <c r="F375" s="9" t="str">
        <f ca="1">+WORLDCUP!BD60</f>
        <v>Escocia</v>
      </c>
      <c r="G375" s="9" t="str">
        <f ca="1">+WORLDCUP!BD58</f>
        <v>República Checa</v>
      </c>
      <c r="H375" s="9" t="str">
        <f ca="1">+WORLDCUP!BD64</f>
        <v>Nueva Zelanda</v>
      </c>
      <c r="I375" s="9" t="str">
        <f ca="1">+WORLDCUP!BD69</f>
        <v>Croacia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Argelia</v>
      </c>
      <c r="E376" s="9" t="str">
        <f ca="1">+WORLDCUP!BD59</f>
        <v>Catar</v>
      </c>
      <c r="F376" s="9" t="str">
        <f ca="1">+WORLDCUP!BD60</f>
        <v>Escocia</v>
      </c>
      <c r="G376" s="9" t="str">
        <f ca="1">+WORLDCUP!BD58</f>
        <v>República Checa</v>
      </c>
      <c r="H376" s="9" t="str">
        <f ca="1">+WORLDCUP!BD64</f>
        <v>Nueva Zelanda</v>
      </c>
      <c r="I376" s="9" t="str">
        <f ca="1">+WORLDCUP!BD66</f>
        <v>Senegal</v>
      </c>
      <c r="J376" s="9" t="str">
        <f ca="1">+WORLDCUP!BD68</f>
        <v>Uzbekistán</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Catar</v>
      </c>
      <c r="F377" s="9" t="str">
        <f ca="1">+WORLDCUP!BD60</f>
        <v>Escocia</v>
      </c>
      <c r="G377" s="9" t="str">
        <f ca="1">+WORLDCUP!BD58</f>
        <v>República Checa</v>
      </c>
      <c r="H377" s="9" t="str">
        <f ca="1">+WORLDCUP!BD63</f>
        <v>Suecia</v>
      </c>
      <c r="I377" s="9" t="str">
        <f ca="1">+WORLDCUP!BD69</f>
        <v>Croacia</v>
      </c>
      <c r="J377" s="9" t="str">
        <f ca="1">+WORLDCUP!BD68</f>
        <v>Uzbekistán</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Argelia</v>
      </c>
      <c r="E378" s="9" t="str">
        <f ca="1">+WORLDCUP!BD59</f>
        <v>Catar</v>
      </c>
      <c r="F378" s="9" t="str">
        <f ca="1">+WORLDCUP!BD60</f>
        <v>Escocia</v>
      </c>
      <c r="G378" s="9" t="str">
        <f ca="1">+WORLDCUP!BD58</f>
        <v>República Checa</v>
      </c>
      <c r="H378" s="9" t="str">
        <f ca="1">+WORLDCUP!BD63</f>
        <v>Suecia</v>
      </c>
      <c r="I378" s="9" t="str">
        <f ca="1">+WORLDCUP!BD69</f>
        <v>Croacia</v>
      </c>
      <c r="J378" s="9" t="str">
        <f ca="1">+WORLDCUP!BD68</f>
        <v>Uzbekistán</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Catar</v>
      </c>
      <c r="F379" s="9" t="str">
        <f ca="1">+WORLDCUP!BD60</f>
        <v>Escocia</v>
      </c>
      <c r="G379" s="9" t="str">
        <f ca="1">+WORLDCUP!BD58</f>
        <v>República Checa</v>
      </c>
      <c r="H379" s="9" t="str">
        <f ca="1">+WORLDCUP!BD63</f>
        <v>Suecia</v>
      </c>
      <c r="I379" s="9" t="str">
        <f ca="1">+WORLDCUP!BD69</f>
        <v>Croacia</v>
      </c>
      <c r="J379" s="9" t="str">
        <f ca="1">+WORLDCUP!BD68</f>
        <v>Uzbekistán</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Argelia</v>
      </c>
      <c r="E380" s="9" t="str">
        <f ca="1">+WORLDCUP!BD59</f>
        <v>Catar</v>
      </c>
      <c r="F380" s="9" t="str">
        <f ca="1">+WORLDCUP!BD60</f>
        <v>Escocia</v>
      </c>
      <c r="G380" s="9" t="str">
        <f ca="1">+WORLDCUP!BD58</f>
        <v>República Checa</v>
      </c>
      <c r="H380" s="9" t="str">
        <f ca="1">+WORLDCUP!BD63</f>
        <v>Suecia</v>
      </c>
      <c r="I380" s="9" t="str">
        <f ca="1">+WORLDCUP!BD69</f>
        <v>Croacia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Argelia</v>
      </c>
      <c r="E381" s="9" t="str">
        <f ca="1">+WORLDCUP!BD59</f>
        <v>Catar</v>
      </c>
      <c r="F381" s="9" t="str">
        <f ca="1">+WORLDCUP!BD60</f>
        <v>Escocia</v>
      </c>
      <c r="G381" s="9" t="str">
        <f ca="1">+WORLDCUP!BD58</f>
        <v>República Checa</v>
      </c>
      <c r="H381" s="9" t="str">
        <f ca="1">+WORLDCUP!BD63</f>
        <v>Suecia</v>
      </c>
      <c r="I381" s="9" t="str">
        <f ca="1">+WORLDCUP!BD66</f>
        <v>Senegal</v>
      </c>
      <c r="J381" s="9" t="str">
        <f ca="1">+WORLDCUP!BD68</f>
        <v>Uzbekistán</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Catar</v>
      </c>
      <c r="F382" s="9" t="str">
        <f ca="1">+WORLDCUP!BD63</f>
        <v>Suecia</v>
      </c>
      <c r="G382" s="9" t="str">
        <f ca="1">+WORLDCUP!BD58</f>
        <v>República Checa</v>
      </c>
      <c r="H382" s="9" t="str">
        <f ca="1">+WORLDCUP!BD64</f>
        <v>Nueva Zelanda</v>
      </c>
      <c r="I382" s="9" t="str">
        <f ca="1">+WORLDCUP!BD69</f>
        <v>Croacia</v>
      </c>
      <c r="J382" s="9" t="str">
        <f ca="1">+WORLDCUP!BD68</f>
        <v>Uzbekistán</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Nueva Zelanda</v>
      </c>
      <c r="E383" s="9" t="str">
        <f ca="1">+WORLDCUP!BD59</f>
        <v>Catar</v>
      </c>
      <c r="F383" s="9" t="str">
        <f ca="1">+WORLDCUP!BD60</f>
        <v>Escocia</v>
      </c>
      <c r="G383" s="9" t="str">
        <f ca="1">+WORLDCUP!BD58</f>
        <v>República Checa</v>
      </c>
      <c r="H383" s="9" t="str">
        <f ca="1">+WORLDCUP!BD63</f>
        <v>Suecia</v>
      </c>
      <c r="I383" s="9" t="str">
        <f ca="1">+WORLDCUP!BD69</f>
        <v>Croacia</v>
      </c>
      <c r="J383" s="9" t="str">
        <f ca="1">+WORLDCUP!BD68</f>
        <v>Uzbekistán</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Catar</v>
      </c>
      <c r="F384" s="9" t="str">
        <f ca="1">+WORLDCUP!BD63</f>
        <v>Suecia</v>
      </c>
      <c r="G384" s="9" t="str">
        <f ca="1">+WORLDCUP!BD58</f>
        <v>República Checa</v>
      </c>
      <c r="H384" s="9" t="str">
        <f ca="1">+WORLDCUP!BD64</f>
        <v>Nueva Zelanda</v>
      </c>
      <c r="I384" s="9" t="str">
        <f ca="1">+WORLDCUP!BD69</f>
        <v>Croacia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Catar</v>
      </c>
      <c r="F385" s="9" t="str">
        <f ca="1">+WORLDCUP!BD63</f>
        <v>Suecia</v>
      </c>
      <c r="G385" s="9" t="str">
        <f ca="1">+WORLDCUP!BD58</f>
        <v>República Checa</v>
      </c>
      <c r="H385" s="9" t="str">
        <f ca="1">+WORLDCUP!BD64</f>
        <v>Nueva Zelanda</v>
      </c>
      <c r="I385" s="9" t="str">
        <f ca="1">+WORLDCUP!BD66</f>
        <v>Senegal</v>
      </c>
      <c r="J385" s="9" t="str">
        <f ca="1">+WORLDCUP!BD68</f>
        <v>Uzbekistán</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Nueva Zelanda</v>
      </c>
      <c r="E386" s="9" t="str">
        <f ca="1">+WORLDCUP!BD59</f>
        <v>Catar</v>
      </c>
      <c r="F386" s="9" t="str">
        <f ca="1">+WORLDCUP!BD60</f>
        <v>Escocia</v>
      </c>
      <c r="G386" s="9" t="str">
        <f ca="1">+WORLDCUP!BD58</f>
        <v>República Checa</v>
      </c>
      <c r="H386" s="9" t="str">
        <f ca="1">+WORLDCUP!BD63</f>
        <v>Suecia</v>
      </c>
      <c r="I386" s="9" t="str">
        <f ca="1">+WORLDCUP!BD69</f>
        <v>Croacia</v>
      </c>
      <c r="J386" s="9" t="str">
        <f ca="1">+WORLDCUP!BD68</f>
        <v>Uzbekistán</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Nueva Zelanda</v>
      </c>
      <c r="E387" s="9" t="str">
        <f ca="1">+WORLDCUP!BD59</f>
        <v>Catar</v>
      </c>
      <c r="F387" s="9" t="str">
        <f ca="1">+WORLDCUP!BD60</f>
        <v>Escocia</v>
      </c>
      <c r="G387" s="9" t="str">
        <f ca="1">+WORLDCUP!BD58</f>
        <v>República Checa</v>
      </c>
      <c r="H387" s="9" t="str">
        <f ca="1">+WORLDCUP!BD63</f>
        <v>Suecia</v>
      </c>
      <c r="I387" s="9" t="str">
        <f ca="1">+WORLDCUP!BD69</f>
        <v>Croacia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Nueva Zelanda</v>
      </c>
      <c r="E388" s="9" t="str">
        <f ca="1">+WORLDCUP!BD59</f>
        <v>Catar</v>
      </c>
      <c r="F388" s="9" t="str">
        <f ca="1">+WORLDCUP!BD60</f>
        <v>Escocia</v>
      </c>
      <c r="G388" s="9" t="str">
        <f ca="1">+WORLDCUP!BD58</f>
        <v>República Checa</v>
      </c>
      <c r="H388" s="9" t="str">
        <f ca="1">+WORLDCUP!BD63</f>
        <v>Suecia</v>
      </c>
      <c r="I388" s="9" t="str">
        <f ca="1">+WORLDCUP!BD67</f>
        <v>Argelia</v>
      </c>
      <c r="J388" s="9" t="str">
        <f ca="1">+WORLDCUP!BD68</f>
        <v>Uzbekistán</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Nueva Zelanda</v>
      </c>
      <c r="E389" s="9" t="str">
        <f ca="1">+WORLDCUP!BD59</f>
        <v>Catar</v>
      </c>
      <c r="F389" s="9" t="str">
        <f ca="1">+WORLDCUP!BD60</f>
        <v>Escocia</v>
      </c>
      <c r="G389" s="9" t="str">
        <f ca="1">+WORLDCUP!BD58</f>
        <v>República Checa</v>
      </c>
      <c r="H389" s="9" t="str">
        <f ca="1">+WORLDCUP!BD63</f>
        <v>Suecia</v>
      </c>
      <c r="I389" s="9" t="str">
        <f ca="1">+WORLDCUP!BD69</f>
        <v>Croacia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Nueva Zelanda</v>
      </c>
      <c r="E390" s="9" t="str">
        <f ca="1">+WORLDCUP!BD59</f>
        <v>Catar</v>
      </c>
      <c r="F390" s="9" t="str">
        <f ca="1">+WORLDCUP!BD60</f>
        <v>Escocia</v>
      </c>
      <c r="G390" s="9" t="str">
        <f ca="1">+WORLDCUP!BD58</f>
        <v>República Checa</v>
      </c>
      <c r="H390" s="9" t="str">
        <f ca="1">+WORLDCUP!BD63</f>
        <v>Suecia</v>
      </c>
      <c r="I390" s="9" t="str">
        <f ca="1">+WORLDCUP!BD66</f>
        <v>Senegal</v>
      </c>
      <c r="J390" s="9" t="str">
        <f ca="1">+WORLDCUP!BD68</f>
        <v>Uzbekistán</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Nueva Zelanda</v>
      </c>
      <c r="E391" s="9" t="str">
        <f ca="1">+WORLDCUP!BD59</f>
        <v>Catar</v>
      </c>
      <c r="F391" s="9" t="str">
        <f ca="1">+WORLDCUP!BD60</f>
        <v>Escocia</v>
      </c>
      <c r="G391" s="9" t="str">
        <f ca="1">+WORLDCUP!BD58</f>
        <v>República Checa</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Argelia</v>
      </c>
      <c r="E392" s="9" t="str">
        <f ca="1">+WORLDCUP!BD59</f>
        <v>Catar</v>
      </c>
      <c r="F392" s="9" t="str">
        <f ca="1">+WORLDCUP!BD58</f>
        <v>República Checa</v>
      </c>
      <c r="G392" s="9" t="str">
        <f ca="1">+WORLDCUP!BD66</f>
        <v>Senegal</v>
      </c>
      <c r="H392" s="9" t="str">
        <f ca="1">+WORLDCUP!BD60</f>
        <v>Escocia</v>
      </c>
      <c r="I392" s="9" t="str">
        <f ca="1">+WORLDCUP!BD69</f>
        <v>Croacia</v>
      </c>
      <c r="J392" s="9" t="str">
        <f ca="1">+WORLDCUP!BD68</f>
        <v>Uzbekistán</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Argelia</v>
      </c>
      <c r="E393" s="9" t="str">
        <f ca="1">+WORLDCUP!BD59</f>
        <v>Catar</v>
      </c>
      <c r="F393" s="9" t="str">
        <f ca="1">+WORLDCUP!BD60</f>
        <v>Escocia</v>
      </c>
      <c r="G393" s="9" t="str">
        <f ca="1">+WORLDCUP!BD58</f>
        <v>República Checa</v>
      </c>
      <c r="H393" s="9" t="str">
        <f ca="1">+WORLDCUP!BD65</f>
        <v>Arabia Saudita</v>
      </c>
      <c r="I393" s="9" t="str">
        <f ca="1">+WORLDCUP!BD69</f>
        <v>Croacia</v>
      </c>
      <c r="J393" s="9" t="str">
        <f ca="1">+WORLDCUP!BD68</f>
        <v>Uzbekistán</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Senegal</v>
      </c>
      <c r="E394" s="9" t="str">
        <f ca="1">+WORLDCUP!BD59</f>
        <v>Catar</v>
      </c>
      <c r="F394" s="9" t="str">
        <f ca="1">+WORLDCUP!BD60</f>
        <v>Escocia</v>
      </c>
      <c r="G394" s="9" t="str">
        <f ca="1">+WORLDCUP!BD58</f>
        <v>República Checa</v>
      </c>
      <c r="H394" s="9" t="str">
        <f ca="1">+WORLDCUP!BD65</f>
        <v>Arabia Saudita</v>
      </c>
      <c r="I394" s="9" t="str">
        <f ca="1">+WORLDCUP!BD69</f>
        <v>Croacia</v>
      </c>
      <c r="J394" s="9" t="str">
        <f ca="1">+WORLDCUP!BD68</f>
        <v>Uzbekistán</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Argelia</v>
      </c>
      <c r="E395" s="9" t="str">
        <f ca="1">+WORLDCUP!BD59</f>
        <v>Catar</v>
      </c>
      <c r="F395" s="9" t="str">
        <f ca="1">+WORLDCUP!BD60</f>
        <v>Escocia</v>
      </c>
      <c r="G395" s="9" t="str">
        <f ca="1">+WORLDCUP!BD58</f>
        <v>República Checa</v>
      </c>
      <c r="H395" s="9" t="str">
        <f ca="1">+WORLDCUP!BD65</f>
        <v>Arabia Saudita</v>
      </c>
      <c r="I395" s="9" t="str">
        <f ca="1">+WORLDCUP!BD69</f>
        <v>Croacia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Argelia</v>
      </c>
      <c r="E396" s="9" t="str">
        <f ca="1">+WORLDCUP!BD59</f>
        <v>Catar</v>
      </c>
      <c r="F396" s="9" t="str">
        <f ca="1">+WORLDCUP!BD60</f>
        <v>Escocia</v>
      </c>
      <c r="G396" s="9" t="str">
        <f ca="1">+WORLDCUP!BD58</f>
        <v>República Checa</v>
      </c>
      <c r="H396" s="9" t="str">
        <f ca="1">+WORLDCUP!BD65</f>
        <v>Arabia Saudita</v>
      </c>
      <c r="I396" s="9" t="str">
        <f ca="1">+WORLDCUP!BD66</f>
        <v>Senegal</v>
      </c>
      <c r="J396" s="9" t="str">
        <f ca="1">+WORLDCUP!BD68</f>
        <v>Uzbekistán</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Argelia</v>
      </c>
      <c r="E397" s="9" t="str">
        <f ca="1">+WORLDCUP!BD59</f>
        <v>Catar</v>
      </c>
      <c r="F397" s="9" t="str">
        <f ca="1">+WORLDCUP!BD60</f>
        <v>Escocia</v>
      </c>
      <c r="G397" s="9" t="str">
        <f ca="1">+WORLDCUP!BD58</f>
        <v>República Checa</v>
      </c>
      <c r="H397" s="9" t="str">
        <f ca="1">+WORLDCUP!BD64</f>
        <v>Nueva Zelanda</v>
      </c>
      <c r="I397" s="9" t="str">
        <f ca="1">+WORLDCUP!BD69</f>
        <v>Croacia</v>
      </c>
      <c r="J397" s="9" t="str">
        <f ca="1">+WORLDCUP!BD68</f>
        <v>Uzbekistán</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Nueva Zelanda</v>
      </c>
      <c r="E398" s="9" t="str">
        <f ca="1">+WORLDCUP!BD59</f>
        <v>Catar</v>
      </c>
      <c r="F398" s="9" t="str">
        <f ca="1">+WORLDCUP!BD58</f>
        <v>República Checa</v>
      </c>
      <c r="G398" s="9" t="str">
        <f ca="1">+WORLDCUP!BD66</f>
        <v>Senegal</v>
      </c>
      <c r="H398" s="9" t="str">
        <f ca="1">+WORLDCUP!BD60</f>
        <v>Escocia</v>
      </c>
      <c r="I398" s="9" t="str">
        <f ca="1">+WORLDCUP!BD69</f>
        <v>Croacia</v>
      </c>
      <c r="J398" s="9" t="str">
        <f ca="1">+WORLDCUP!BD68</f>
        <v>Uzbekistán</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Argelia</v>
      </c>
      <c r="E399" s="9" t="str">
        <f ca="1">+WORLDCUP!BD59</f>
        <v>Catar</v>
      </c>
      <c r="F399" s="9" t="str">
        <f ca="1">+WORLDCUP!BD60</f>
        <v>Escocia</v>
      </c>
      <c r="G399" s="9" t="str">
        <f ca="1">+WORLDCUP!BD58</f>
        <v>República Checa</v>
      </c>
      <c r="H399" s="9" t="str">
        <f ca="1">+WORLDCUP!BD64</f>
        <v>Nueva Zelanda</v>
      </c>
      <c r="I399" s="9" t="str">
        <f ca="1">+WORLDCUP!BD69</f>
        <v>Croacia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Argelia</v>
      </c>
      <c r="E400" s="9" t="str">
        <f ca="1">+WORLDCUP!BD59</f>
        <v>Catar</v>
      </c>
      <c r="F400" s="9" t="str">
        <f ca="1">+WORLDCUP!BD60</f>
        <v>Escocia</v>
      </c>
      <c r="G400" s="9" t="str">
        <f ca="1">+WORLDCUP!BD58</f>
        <v>República Checa</v>
      </c>
      <c r="H400" s="9" t="str">
        <f ca="1">+WORLDCUP!BD64</f>
        <v>Nueva Zelanda</v>
      </c>
      <c r="I400" s="9" t="str">
        <f ca="1">+WORLDCUP!BD66</f>
        <v>Senegal</v>
      </c>
      <c r="J400" s="9" t="str">
        <f ca="1">+WORLDCUP!BD68</f>
        <v>Uzbekistán</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Nueva Zelanda</v>
      </c>
      <c r="E401" s="9" t="str">
        <f ca="1">+WORLDCUP!BD59</f>
        <v>Catar</v>
      </c>
      <c r="F401" s="9" t="str">
        <f ca="1">+WORLDCUP!BD60</f>
        <v>Escocia</v>
      </c>
      <c r="G401" s="9" t="str">
        <f ca="1">+WORLDCUP!BD58</f>
        <v>República Checa</v>
      </c>
      <c r="H401" s="9" t="str">
        <f ca="1">+WORLDCUP!BD65</f>
        <v>Arabia Saudita</v>
      </c>
      <c r="I401" s="9" t="str">
        <f ca="1">+WORLDCUP!BD69</f>
        <v>Croacia</v>
      </c>
      <c r="J401" s="9" t="str">
        <f ca="1">+WORLDCUP!BD68</f>
        <v>Uzbekistán</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Argelia</v>
      </c>
      <c r="E402" s="9" t="str">
        <f ca="1">+WORLDCUP!BD59</f>
        <v>Catar</v>
      </c>
      <c r="F402" s="9" t="str">
        <f ca="1">+WORLDCUP!BD60</f>
        <v>Escocia</v>
      </c>
      <c r="G402" s="9" t="str">
        <f ca="1">+WORLDCUP!BD58</f>
        <v>República Checa</v>
      </c>
      <c r="H402" s="9" t="str">
        <f ca="1">+WORLDCUP!BD64</f>
        <v>Nueva Zelanda</v>
      </c>
      <c r="I402" s="9" t="str">
        <f ca="1">+WORLDCUP!BD69</f>
        <v>Croacia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Argelia</v>
      </c>
      <c r="E403" s="9" t="str">
        <f ca="1">+WORLDCUP!BD59</f>
        <v>Catar</v>
      </c>
      <c r="F403" s="9" t="str">
        <f ca="1">+WORLDCUP!BD60</f>
        <v>Escocia</v>
      </c>
      <c r="G403" s="9" t="str">
        <f ca="1">+WORLDCUP!BD58</f>
        <v>República Checa</v>
      </c>
      <c r="H403" s="9" t="str">
        <f ca="1">+WORLDCUP!BD64</f>
        <v>Nueva Zelanda</v>
      </c>
      <c r="I403" s="9" t="str">
        <f ca="1">+WORLDCUP!BD62</f>
        <v>Costa de Marfil</v>
      </c>
      <c r="J403" s="9" t="str">
        <f ca="1">+WORLDCUP!BD68</f>
        <v>Uzbekistán</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Nueva Zelanda</v>
      </c>
      <c r="E404" s="9" t="str">
        <f ca="1">+WORLDCUP!BD59</f>
        <v>Catar</v>
      </c>
      <c r="F404" s="9" t="str">
        <f ca="1">+WORLDCUP!BD60</f>
        <v>Escocia</v>
      </c>
      <c r="G404" s="9" t="str">
        <f ca="1">+WORLDCUP!BD58</f>
        <v>República Checa</v>
      </c>
      <c r="H404" s="9" t="str">
        <f ca="1">+WORLDCUP!BD65</f>
        <v>Arabia Saudita</v>
      </c>
      <c r="I404" s="9" t="str">
        <f ca="1">+WORLDCUP!BD69</f>
        <v>Croacia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Nueva Zelanda</v>
      </c>
      <c r="E405" s="9" t="str">
        <f ca="1">+WORLDCUP!BD59</f>
        <v>Catar</v>
      </c>
      <c r="F405" s="9" t="str">
        <f ca="1">+WORLDCUP!BD60</f>
        <v>Escocia</v>
      </c>
      <c r="G405" s="9" t="str">
        <f ca="1">+WORLDCUP!BD58</f>
        <v>República Checa</v>
      </c>
      <c r="H405" s="9" t="str">
        <f ca="1">+WORLDCUP!BD65</f>
        <v>Arabia Saudita</v>
      </c>
      <c r="I405" s="9" t="str">
        <f ca="1">+WORLDCUP!BD66</f>
        <v>Senegal</v>
      </c>
      <c r="J405" s="9" t="str">
        <f ca="1">+WORLDCUP!BD68</f>
        <v>Uzbekistán</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Argelia</v>
      </c>
      <c r="E406" s="9" t="str">
        <f ca="1">+WORLDCUP!BD59</f>
        <v>Catar</v>
      </c>
      <c r="F406" s="9" t="str">
        <f ca="1">+WORLDCUP!BD60</f>
        <v>Escocia</v>
      </c>
      <c r="G406" s="9" t="str">
        <f ca="1">+WORLDCUP!BD58</f>
        <v>República Checa</v>
      </c>
      <c r="H406" s="9" t="str">
        <f ca="1">+WORLDCUP!BD64</f>
        <v>Nueva Zelanda</v>
      </c>
      <c r="I406" s="9" t="str">
        <f ca="1">+WORLDCUP!BD62</f>
        <v>Costa de Marfil</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Argelia</v>
      </c>
      <c r="E407" s="9" t="str">
        <f ca="1">+WORLDCUP!BD59</f>
        <v>Catar</v>
      </c>
      <c r="F407" s="9" t="str">
        <f ca="1">+WORLDCUP!BD60</f>
        <v>Escocia</v>
      </c>
      <c r="G407" s="9" t="str">
        <f ca="1">+WORLDCUP!BD58</f>
        <v>República Checa</v>
      </c>
      <c r="H407" s="9" t="str">
        <f ca="1">+WORLDCUP!BD63</f>
        <v>Suecia</v>
      </c>
      <c r="I407" s="9" t="str">
        <f ca="1">+WORLDCUP!BD69</f>
        <v>Croacia</v>
      </c>
      <c r="J407" s="9" t="str">
        <f ca="1">+WORLDCUP!BD68</f>
        <v>Uzbekistán</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Costa de Marfil</v>
      </c>
      <c r="D408" s="9" t="str">
        <f ca="1">+WORLDCUP!BD66</f>
        <v>Senegal</v>
      </c>
      <c r="E408" s="9" t="str">
        <f ca="1">+WORLDCUP!BD59</f>
        <v>Catar</v>
      </c>
      <c r="F408" s="9" t="str">
        <f ca="1">+WORLDCUP!BD60</f>
        <v>Escocia</v>
      </c>
      <c r="G408" s="9" t="str">
        <f ca="1">+WORLDCUP!BD58</f>
        <v>República Checa</v>
      </c>
      <c r="H408" s="9" t="str">
        <f ca="1">+WORLDCUP!BD63</f>
        <v>Suecia</v>
      </c>
      <c r="I408" s="9" t="str">
        <f ca="1">+WORLDCUP!BD69</f>
        <v>Croacia</v>
      </c>
      <c r="J408" s="9" t="str">
        <f ca="1">+WORLDCUP!BD68</f>
        <v>Uzbekistán</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Argelia</v>
      </c>
      <c r="E409" s="9" t="str">
        <f ca="1">+WORLDCUP!BD59</f>
        <v>Catar</v>
      </c>
      <c r="F409" s="9" t="str">
        <f ca="1">+WORLDCUP!BD60</f>
        <v>Escocia</v>
      </c>
      <c r="G409" s="9" t="str">
        <f ca="1">+WORLDCUP!BD58</f>
        <v>República Checa</v>
      </c>
      <c r="H409" s="9" t="str">
        <f ca="1">+WORLDCUP!BD63</f>
        <v>Suecia</v>
      </c>
      <c r="I409" s="9" t="str">
        <f ca="1">+WORLDCUP!BD69</f>
        <v>Croacia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Argelia</v>
      </c>
      <c r="E410" s="9" t="str">
        <f ca="1">+WORLDCUP!BD59</f>
        <v>Catar</v>
      </c>
      <c r="F410" s="9" t="str">
        <f ca="1">+WORLDCUP!BD60</f>
        <v>Escocia</v>
      </c>
      <c r="G410" s="9" t="str">
        <f ca="1">+WORLDCUP!BD58</f>
        <v>República Checa</v>
      </c>
      <c r="H410" s="9" t="str">
        <f ca="1">+WORLDCUP!BD63</f>
        <v>Suecia</v>
      </c>
      <c r="I410" s="9" t="str">
        <f ca="1">+WORLDCUP!BD66</f>
        <v>Senegal</v>
      </c>
      <c r="J410" s="9" t="str">
        <f ca="1">+WORLDCUP!BD68</f>
        <v>Uzbekistán</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Costa de Marfil</v>
      </c>
      <c r="E411" s="9" t="str">
        <f ca="1">+WORLDCUP!BD59</f>
        <v>Catar</v>
      </c>
      <c r="F411" s="9" t="str">
        <f ca="1">+WORLDCUP!BD60</f>
        <v>Escocia</v>
      </c>
      <c r="G411" s="9" t="str">
        <f ca="1">+WORLDCUP!BD58</f>
        <v>República Checa</v>
      </c>
      <c r="H411" s="9" t="str">
        <f ca="1">+WORLDCUP!BD63</f>
        <v>Suecia</v>
      </c>
      <c r="I411" s="9" t="str">
        <f ca="1">+WORLDCUP!BD69</f>
        <v>Croacia</v>
      </c>
      <c r="J411" s="9" t="str">
        <f ca="1">+WORLDCUP!BD68</f>
        <v>Uzbekistán</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Argelia</v>
      </c>
      <c r="E412" s="9" t="str">
        <f ca="1">+WORLDCUP!BD59</f>
        <v>Catar</v>
      </c>
      <c r="F412" s="9" t="str">
        <f ca="1">+WORLDCUP!BD60</f>
        <v>Escocia</v>
      </c>
      <c r="G412" s="9" t="str">
        <f ca="1">+WORLDCUP!BD58</f>
        <v>República Checa</v>
      </c>
      <c r="H412" s="9" t="str">
        <f ca="1">+WORLDCUP!BD63</f>
        <v>Suecia</v>
      </c>
      <c r="I412" s="9" t="str">
        <f ca="1">+WORLDCUP!BD69</f>
        <v>Croacia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Argelia</v>
      </c>
      <c r="E413" s="9" t="str">
        <f ca="1">+WORLDCUP!BD59</f>
        <v>Catar</v>
      </c>
      <c r="F413" s="9" t="str">
        <f ca="1">+WORLDCUP!BD60</f>
        <v>Escocia</v>
      </c>
      <c r="G413" s="9" t="str">
        <f ca="1">+WORLDCUP!BD58</f>
        <v>República Checa</v>
      </c>
      <c r="H413" s="9" t="str">
        <f ca="1">+WORLDCUP!BD63</f>
        <v>Suecia</v>
      </c>
      <c r="I413" s="9" t="str">
        <f ca="1">+WORLDCUP!BD62</f>
        <v>Costa de Marfil</v>
      </c>
      <c r="J413" s="9" t="str">
        <f ca="1">+WORLDCUP!BD68</f>
        <v>Uzbekistán</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Costa de Marfil</v>
      </c>
      <c r="E414" s="9" t="str">
        <f ca="1">+WORLDCUP!BD59</f>
        <v>Catar</v>
      </c>
      <c r="F414" s="9" t="str">
        <f ca="1">+WORLDCUP!BD60</f>
        <v>Escocia</v>
      </c>
      <c r="G414" s="9" t="str">
        <f ca="1">+WORLDCUP!BD58</f>
        <v>República Checa</v>
      </c>
      <c r="H414" s="9" t="str">
        <f ca="1">+WORLDCUP!BD63</f>
        <v>Suecia</v>
      </c>
      <c r="I414" s="9" t="str">
        <f ca="1">+WORLDCUP!BD69</f>
        <v>Croacia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Costa de Marfil</v>
      </c>
      <c r="E415" s="9" t="str">
        <f ca="1">+WORLDCUP!BD59</f>
        <v>Catar</v>
      </c>
      <c r="F415" s="9" t="str">
        <f ca="1">+WORLDCUP!BD60</f>
        <v>Escocia</v>
      </c>
      <c r="G415" s="9" t="str">
        <f ca="1">+WORLDCUP!BD58</f>
        <v>República Checa</v>
      </c>
      <c r="H415" s="9" t="str">
        <f ca="1">+WORLDCUP!BD63</f>
        <v>Suecia</v>
      </c>
      <c r="I415" s="9" t="str">
        <f ca="1">+WORLDCUP!BD66</f>
        <v>Senegal</v>
      </c>
      <c r="J415" s="9" t="str">
        <f ca="1">+WORLDCUP!BD68</f>
        <v>Uzbekistán</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Argelia</v>
      </c>
      <c r="E416" s="9" t="str">
        <f ca="1">+WORLDCUP!BD59</f>
        <v>Catar</v>
      </c>
      <c r="F416" s="9" t="str">
        <f ca="1">+WORLDCUP!BD60</f>
        <v>Escocia</v>
      </c>
      <c r="G416" s="9" t="str">
        <f ca="1">+WORLDCUP!BD58</f>
        <v>República Checa</v>
      </c>
      <c r="H416" s="9" t="str">
        <f ca="1">+WORLDCUP!BD63</f>
        <v>Suecia</v>
      </c>
      <c r="I416" s="9" t="str">
        <f ca="1">+WORLDCUP!BD62</f>
        <v>Costa de Marfil</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Nueva Zelanda</v>
      </c>
      <c r="E417" s="9" t="str">
        <f ca="1">+WORLDCUP!BD59</f>
        <v>Catar</v>
      </c>
      <c r="F417" s="9" t="str">
        <f ca="1">+WORLDCUP!BD60</f>
        <v>Escocia</v>
      </c>
      <c r="G417" s="9" t="str">
        <f ca="1">+WORLDCUP!BD58</f>
        <v>República Checa</v>
      </c>
      <c r="H417" s="9" t="str">
        <f ca="1">+WORLDCUP!BD63</f>
        <v>Suecia</v>
      </c>
      <c r="I417" s="9" t="str">
        <f ca="1">+WORLDCUP!BD69</f>
        <v>Croacia</v>
      </c>
      <c r="J417" s="9" t="str">
        <f ca="1">+WORLDCUP!BD68</f>
        <v>Uzbekistán</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Nueva Zelanda</v>
      </c>
      <c r="E418" s="9" t="str">
        <f ca="1">+WORLDCUP!BD59</f>
        <v>Catar</v>
      </c>
      <c r="F418" s="9" t="str">
        <f ca="1">+WORLDCUP!BD60</f>
        <v>Escocia</v>
      </c>
      <c r="G418" s="9" t="str">
        <f ca="1">+WORLDCUP!BD58</f>
        <v>República Checa</v>
      </c>
      <c r="H418" s="9" t="str">
        <f ca="1">+WORLDCUP!BD63</f>
        <v>Suecia</v>
      </c>
      <c r="I418" s="9" t="str">
        <f ca="1">+WORLDCUP!BD69</f>
        <v>Croacia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Nueva Zelanda</v>
      </c>
      <c r="E419" s="9" t="str">
        <f ca="1">+WORLDCUP!BD59</f>
        <v>Catar</v>
      </c>
      <c r="F419" s="9" t="str">
        <f ca="1">+WORLDCUP!BD60</f>
        <v>Escocia</v>
      </c>
      <c r="G419" s="9" t="str">
        <f ca="1">+WORLDCUP!BD58</f>
        <v>República Checa</v>
      </c>
      <c r="H419" s="9" t="str">
        <f ca="1">+WORLDCUP!BD63</f>
        <v>Suecia</v>
      </c>
      <c r="I419" s="9" t="str">
        <f ca="1">+WORLDCUP!BD67</f>
        <v>Argelia</v>
      </c>
      <c r="J419" s="9" t="str">
        <f ca="1">+WORLDCUP!BD68</f>
        <v>Uzbekistán</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Nueva Zelanda</v>
      </c>
      <c r="E420" s="9" t="str">
        <f ca="1">+WORLDCUP!BD59</f>
        <v>Catar</v>
      </c>
      <c r="F420" s="9" t="str">
        <f ca="1">+WORLDCUP!BD60</f>
        <v>Escocia</v>
      </c>
      <c r="G420" s="9" t="str">
        <f ca="1">+WORLDCUP!BD58</f>
        <v>República Checa</v>
      </c>
      <c r="H420" s="9" t="str">
        <f ca="1">+WORLDCUP!BD63</f>
        <v>Suecia</v>
      </c>
      <c r="I420" s="9" t="str">
        <f ca="1">+WORLDCUP!BD69</f>
        <v>Croacia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Nueva Zelanda</v>
      </c>
      <c r="E421" s="9" t="str">
        <f ca="1">+WORLDCUP!BD59</f>
        <v>Catar</v>
      </c>
      <c r="F421" s="9" t="str">
        <f ca="1">+WORLDCUP!BD60</f>
        <v>Escocia</v>
      </c>
      <c r="G421" s="9" t="str">
        <f ca="1">+WORLDCUP!BD58</f>
        <v>República Checa</v>
      </c>
      <c r="H421" s="9" t="str">
        <f ca="1">+WORLDCUP!BD63</f>
        <v>Suecia</v>
      </c>
      <c r="I421" s="9" t="str">
        <f ca="1">+WORLDCUP!BD66</f>
        <v>Senegal</v>
      </c>
      <c r="J421" s="9" t="str">
        <f ca="1">+WORLDCUP!BD68</f>
        <v>Uzbekistán</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Nueva Zelanda</v>
      </c>
      <c r="E422" s="9" t="str">
        <f ca="1">+WORLDCUP!BD59</f>
        <v>Catar</v>
      </c>
      <c r="F422" s="9" t="str">
        <f ca="1">+WORLDCUP!BD60</f>
        <v>Escocia</v>
      </c>
      <c r="G422" s="9" t="str">
        <f ca="1">+WORLDCUP!BD58</f>
        <v>República Checa</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Nueva Zelanda</v>
      </c>
      <c r="E423" s="9" t="str">
        <f ca="1">+WORLDCUP!BD59</f>
        <v>Catar</v>
      </c>
      <c r="F423" s="9" t="str">
        <f ca="1">+WORLDCUP!BD60</f>
        <v>Escocia</v>
      </c>
      <c r="G423" s="9" t="str">
        <f ca="1">+WORLDCUP!BD58</f>
        <v>República Checa</v>
      </c>
      <c r="H423" s="9" t="str">
        <f ca="1">+WORLDCUP!BD63</f>
        <v>Suecia</v>
      </c>
      <c r="I423" s="9" t="str">
        <f ca="1">+WORLDCUP!BD69</f>
        <v>Croacia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Nueva Zelanda</v>
      </c>
      <c r="E424" s="9" t="str">
        <f ca="1">+WORLDCUP!BD59</f>
        <v>Catar</v>
      </c>
      <c r="F424" s="9" t="str">
        <f ca="1">+WORLDCUP!BD60</f>
        <v>Escocia</v>
      </c>
      <c r="G424" s="9" t="str">
        <f ca="1">+WORLDCUP!BD58</f>
        <v>República Checa</v>
      </c>
      <c r="H424" s="9" t="str">
        <f ca="1">+WORLDCUP!BD63</f>
        <v>Suecia</v>
      </c>
      <c r="I424" s="9" t="str">
        <f ca="1">+WORLDCUP!BD62</f>
        <v>Costa de Marfil</v>
      </c>
      <c r="J424" s="9" t="str">
        <f ca="1">+WORLDCUP!BD68</f>
        <v>Uzbekistán</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Nueva Zelanda</v>
      </c>
      <c r="E425" s="9" t="str">
        <f ca="1">+WORLDCUP!BD59</f>
        <v>Catar</v>
      </c>
      <c r="F425" s="9" t="str">
        <f ca="1">+WORLDCUP!BD60</f>
        <v>Escocia</v>
      </c>
      <c r="G425" s="9" t="str">
        <f ca="1">+WORLDCUP!BD58</f>
        <v>República Checa</v>
      </c>
      <c r="H425" s="9" t="str">
        <f ca="1">+WORLDCUP!BD63</f>
        <v>Suecia</v>
      </c>
      <c r="I425" s="9" t="str">
        <f ca="1">+WORLDCUP!BD62</f>
        <v>Costa de Marfil</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Nueva Zelanda</v>
      </c>
      <c r="E426" s="9" t="str">
        <f ca="1">+WORLDCUP!BD59</f>
        <v>Catar</v>
      </c>
      <c r="F426" s="9" t="str">
        <f ca="1">+WORLDCUP!BD60</f>
        <v>Escocia</v>
      </c>
      <c r="G426" s="9" t="str">
        <f ca="1">+WORLDCUP!BD58</f>
        <v>República Checa</v>
      </c>
      <c r="H426" s="9" t="str">
        <f ca="1">+WORLDCUP!BD63</f>
        <v>Suecia</v>
      </c>
      <c r="I426" s="9" t="str">
        <f ca="1">+WORLDCUP!BD62</f>
        <v>Costa de Marfil</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Catar</v>
      </c>
      <c r="F427" s="9" t="str">
        <f ca="1">+WORLDCUP!BD60</f>
        <v>Escocia</v>
      </c>
      <c r="G427" s="9" t="str">
        <f ca="1">+WORLDCUP!BD58</f>
        <v>República Checa</v>
      </c>
      <c r="H427" s="9" t="str">
        <f ca="1">+WORLDCUP!BD61</f>
        <v>Paraguay</v>
      </c>
      <c r="I427" s="9" t="str">
        <f ca="1">+WORLDCUP!BD69</f>
        <v>Croacia</v>
      </c>
      <c r="J427" s="9" t="str">
        <f ca="1">+WORLDCUP!BD68</f>
        <v>Uzbekistán</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Argelia</v>
      </c>
      <c r="E428" s="9" t="str">
        <f ca="1">+WORLDCUP!BD59</f>
        <v>Catar</v>
      </c>
      <c r="F428" s="9" t="str">
        <f ca="1">+WORLDCUP!BD60</f>
        <v>Escocia</v>
      </c>
      <c r="G428" s="9" t="str">
        <f ca="1">+WORLDCUP!BD58</f>
        <v>República Checa</v>
      </c>
      <c r="H428" s="9" t="str">
        <f ca="1">+WORLDCUP!BD61</f>
        <v>Paraguay</v>
      </c>
      <c r="I428" s="9" t="str">
        <f ca="1">+WORLDCUP!BD69</f>
        <v>Croacia</v>
      </c>
      <c r="J428" s="9" t="str">
        <f ca="1">+WORLDCUP!BD68</f>
        <v>Uzbekistán</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Catar</v>
      </c>
      <c r="F429" s="9" t="str">
        <f ca="1">+WORLDCUP!BD60</f>
        <v>Escocia</v>
      </c>
      <c r="G429" s="9" t="str">
        <f ca="1">+WORLDCUP!BD58</f>
        <v>República Checa</v>
      </c>
      <c r="H429" s="9" t="str">
        <f ca="1">+WORLDCUP!BD61</f>
        <v>Paraguay</v>
      </c>
      <c r="I429" s="9" t="str">
        <f ca="1">+WORLDCUP!BD69</f>
        <v>Croacia</v>
      </c>
      <c r="J429" s="9" t="str">
        <f ca="1">+WORLDCUP!BD68</f>
        <v>Uzbekistán</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Argelia</v>
      </c>
      <c r="E430" s="9" t="str">
        <f ca="1">+WORLDCUP!BD59</f>
        <v>Catar</v>
      </c>
      <c r="F430" s="9" t="str">
        <f ca="1">+WORLDCUP!BD60</f>
        <v>Escocia</v>
      </c>
      <c r="G430" s="9" t="str">
        <f ca="1">+WORLDCUP!BD58</f>
        <v>República Checa</v>
      </c>
      <c r="H430" s="9" t="str">
        <f ca="1">+WORLDCUP!BD61</f>
        <v>Paraguay</v>
      </c>
      <c r="I430" s="9" t="str">
        <f ca="1">+WORLDCUP!BD69</f>
        <v>Croacia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Argelia</v>
      </c>
      <c r="E431" s="9" t="str">
        <f ca="1">+WORLDCUP!BD59</f>
        <v>Catar</v>
      </c>
      <c r="F431" s="9" t="str">
        <f ca="1">+WORLDCUP!BD60</f>
        <v>Escocia</v>
      </c>
      <c r="G431" s="9" t="str">
        <f ca="1">+WORLDCUP!BD58</f>
        <v>República Checa</v>
      </c>
      <c r="H431" s="9" t="str">
        <f ca="1">+WORLDCUP!BD61</f>
        <v>Paraguay</v>
      </c>
      <c r="I431" s="9" t="str">
        <f ca="1">+WORLDCUP!BD66</f>
        <v>Senegal</v>
      </c>
      <c r="J431" s="9" t="str">
        <f ca="1">+WORLDCUP!BD68</f>
        <v>Uzbekistán</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Catar</v>
      </c>
      <c r="F432" s="9" t="str">
        <f ca="1">+WORLDCUP!BD61</f>
        <v>Paraguay</v>
      </c>
      <c r="G432" s="9" t="str">
        <f ca="1">+WORLDCUP!BD58</f>
        <v>República Checa</v>
      </c>
      <c r="H432" s="9" t="str">
        <f ca="1">+WORLDCUP!BD64</f>
        <v>Nueva Zelanda</v>
      </c>
      <c r="I432" s="9" t="str">
        <f ca="1">+WORLDCUP!BD69</f>
        <v>Croacia</v>
      </c>
      <c r="J432" s="9" t="str">
        <f ca="1">+WORLDCUP!BD68</f>
        <v>Uzbekistán</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Nueva Zelanda</v>
      </c>
      <c r="E433" s="9" t="str">
        <f ca="1">+WORLDCUP!BD59</f>
        <v>Catar</v>
      </c>
      <c r="F433" s="9" t="str">
        <f ca="1">+WORLDCUP!BD60</f>
        <v>Escocia</v>
      </c>
      <c r="G433" s="9" t="str">
        <f ca="1">+WORLDCUP!BD58</f>
        <v>República Checa</v>
      </c>
      <c r="H433" s="9" t="str">
        <f ca="1">+WORLDCUP!BD61</f>
        <v>Paraguay</v>
      </c>
      <c r="I433" s="9" t="str">
        <f ca="1">+WORLDCUP!BD69</f>
        <v>Croacia</v>
      </c>
      <c r="J433" s="9" t="str">
        <f ca="1">+WORLDCUP!BD68</f>
        <v>Uzbekistán</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Catar</v>
      </c>
      <c r="F434" s="9" t="str">
        <f ca="1">+WORLDCUP!BD61</f>
        <v>Paraguay</v>
      </c>
      <c r="G434" s="9" t="str">
        <f ca="1">+WORLDCUP!BD58</f>
        <v>República Checa</v>
      </c>
      <c r="H434" s="9" t="str">
        <f ca="1">+WORLDCUP!BD64</f>
        <v>Nueva Zelanda</v>
      </c>
      <c r="I434" s="9" t="str">
        <f ca="1">+WORLDCUP!BD69</f>
        <v>Croacia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Catar</v>
      </c>
      <c r="F435" s="9" t="str">
        <f ca="1">+WORLDCUP!BD61</f>
        <v>Paraguay</v>
      </c>
      <c r="G435" s="9" t="str">
        <f ca="1">+WORLDCUP!BD58</f>
        <v>República Checa</v>
      </c>
      <c r="H435" s="9" t="str">
        <f ca="1">+WORLDCUP!BD64</f>
        <v>Nueva Zelanda</v>
      </c>
      <c r="I435" s="9" t="str">
        <f ca="1">+WORLDCUP!BD66</f>
        <v>Senegal</v>
      </c>
      <c r="J435" s="9" t="str">
        <f ca="1">+WORLDCUP!BD68</f>
        <v>Uzbekistán</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Nueva Zelanda</v>
      </c>
      <c r="E436" s="9" t="str">
        <f ca="1">+WORLDCUP!BD59</f>
        <v>Catar</v>
      </c>
      <c r="F436" s="9" t="str">
        <f ca="1">+WORLDCUP!BD60</f>
        <v>Escocia</v>
      </c>
      <c r="G436" s="9" t="str">
        <f ca="1">+WORLDCUP!BD58</f>
        <v>República Checa</v>
      </c>
      <c r="H436" s="9" t="str">
        <f ca="1">+WORLDCUP!BD61</f>
        <v>Paraguay</v>
      </c>
      <c r="I436" s="9" t="str">
        <f ca="1">+WORLDCUP!BD69</f>
        <v>Croacia</v>
      </c>
      <c r="J436" s="9" t="str">
        <f ca="1">+WORLDCUP!BD68</f>
        <v>Uzbekistán</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Nueva Zelanda</v>
      </c>
      <c r="E437" s="9" t="str">
        <f ca="1">+WORLDCUP!BD59</f>
        <v>Catar</v>
      </c>
      <c r="F437" s="9" t="str">
        <f ca="1">+WORLDCUP!BD60</f>
        <v>Escocia</v>
      </c>
      <c r="G437" s="9" t="str">
        <f ca="1">+WORLDCUP!BD58</f>
        <v>República Checa</v>
      </c>
      <c r="H437" s="9" t="str">
        <f ca="1">+WORLDCUP!BD61</f>
        <v>Paraguay</v>
      </c>
      <c r="I437" s="9" t="str">
        <f ca="1">+WORLDCUP!BD69</f>
        <v>Croacia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Nueva Zelanda</v>
      </c>
      <c r="E438" s="9" t="str">
        <f ca="1">+WORLDCUP!BD59</f>
        <v>Catar</v>
      </c>
      <c r="F438" s="9" t="str">
        <f ca="1">+WORLDCUP!BD60</f>
        <v>Escocia</v>
      </c>
      <c r="G438" s="9" t="str">
        <f ca="1">+WORLDCUP!BD58</f>
        <v>República Checa</v>
      </c>
      <c r="H438" s="9" t="str">
        <f ca="1">+WORLDCUP!BD61</f>
        <v>Paraguay</v>
      </c>
      <c r="I438" s="9" t="str">
        <f ca="1">+WORLDCUP!BD67</f>
        <v>Argelia</v>
      </c>
      <c r="J438" s="9" t="str">
        <f ca="1">+WORLDCUP!BD68</f>
        <v>Uzbekistán</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Nueva Zelanda</v>
      </c>
      <c r="E439" s="9" t="str">
        <f ca="1">+WORLDCUP!BD59</f>
        <v>Catar</v>
      </c>
      <c r="F439" s="9" t="str">
        <f ca="1">+WORLDCUP!BD60</f>
        <v>Escocia</v>
      </c>
      <c r="G439" s="9" t="str">
        <f ca="1">+WORLDCUP!BD58</f>
        <v>República Checa</v>
      </c>
      <c r="H439" s="9" t="str">
        <f ca="1">+WORLDCUP!BD61</f>
        <v>Paraguay</v>
      </c>
      <c r="I439" s="9" t="str">
        <f ca="1">+WORLDCUP!BD69</f>
        <v>Croacia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Nueva Zelanda</v>
      </c>
      <c r="E440" s="9" t="str">
        <f ca="1">+WORLDCUP!BD59</f>
        <v>Catar</v>
      </c>
      <c r="F440" s="9" t="str">
        <f ca="1">+WORLDCUP!BD60</f>
        <v>Escocia</v>
      </c>
      <c r="G440" s="9" t="str">
        <f ca="1">+WORLDCUP!BD58</f>
        <v>República Checa</v>
      </c>
      <c r="H440" s="9" t="str">
        <f ca="1">+WORLDCUP!BD61</f>
        <v>Paraguay</v>
      </c>
      <c r="I440" s="9" t="str">
        <f ca="1">+WORLDCUP!BD66</f>
        <v>Senegal</v>
      </c>
      <c r="J440" s="9" t="str">
        <f ca="1">+WORLDCUP!BD68</f>
        <v>Uzbekistán</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Nueva Zelanda</v>
      </c>
      <c r="E441" s="9" t="str">
        <f ca="1">+WORLDCUP!BD59</f>
        <v>Catar</v>
      </c>
      <c r="F441" s="9" t="str">
        <f ca="1">+WORLDCUP!BD60</f>
        <v>Escocia</v>
      </c>
      <c r="G441" s="9" t="str">
        <f ca="1">+WORLDCUP!BD58</f>
        <v>República Checa</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Catar</v>
      </c>
      <c r="F442" s="9" t="str">
        <f ca="1">+WORLDCUP!BD61</f>
        <v>Paraguay</v>
      </c>
      <c r="G442" s="9" t="str">
        <f ca="1">+WORLDCUP!BD58</f>
        <v>República Checa</v>
      </c>
      <c r="H442" s="9" t="str">
        <f ca="1">+WORLDCUP!BD63</f>
        <v>Suecia</v>
      </c>
      <c r="I442" s="9" t="str">
        <f ca="1">+WORLDCUP!BD69</f>
        <v>Croacia</v>
      </c>
      <c r="J442" s="9" t="str">
        <f ca="1">+WORLDCUP!BD68</f>
        <v>Uzbekistán</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Catar</v>
      </c>
      <c r="F443" s="9" t="str">
        <f ca="1">+WORLDCUP!BD61</f>
        <v>Paraguay</v>
      </c>
      <c r="G443" s="9" t="str">
        <f ca="1">+WORLDCUP!BD58</f>
        <v>República Checa</v>
      </c>
      <c r="H443" s="9" t="str">
        <f ca="1">+WORLDCUP!BD63</f>
        <v>Suecia</v>
      </c>
      <c r="I443" s="9" t="str">
        <f ca="1">+WORLDCUP!BD69</f>
        <v>Croacia</v>
      </c>
      <c r="J443" s="9" t="str">
        <f ca="1">+WORLDCUP!BD68</f>
        <v>Uzbekistán</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Catar</v>
      </c>
      <c r="F444" s="9" t="str">
        <f ca="1">+WORLDCUP!BD61</f>
        <v>Paraguay</v>
      </c>
      <c r="G444" s="9" t="str">
        <f ca="1">+WORLDCUP!BD58</f>
        <v>República Checa</v>
      </c>
      <c r="H444" s="9" t="str">
        <f ca="1">+WORLDCUP!BD63</f>
        <v>Suecia</v>
      </c>
      <c r="I444" s="9" t="str">
        <f ca="1">+WORLDCUP!BD69</f>
        <v>Croacia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Catar</v>
      </c>
      <c r="F445" s="9" t="str">
        <f ca="1">+WORLDCUP!BD61</f>
        <v>Paraguay</v>
      </c>
      <c r="G445" s="9" t="str">
        <f ca="1">+WORLDCUP!BD58</f>
        <v>República Checa</v>
      </c>
      <c r="H445" s="9" t="str">
        <f ca="1">+WORLDCUP!BD63</f>
        <v>Suecia</v>
      </c>
      <c r="I445" s="9" t="str">
        <f ca="1">+WORLDCUP!BD66</f>
        <v>Senegal</v>
      </c>
      <c r="J445" s="9" t="str">
        <f ca="1">+WORLDCUP!BD68</f>
        <v>Uzbekistán</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Suecia</v>
      </c>
      <c r="E446" s="9" t="str">
        <f ca="1">+WORLDCUP!BD59</f>
        <v>Catar</v>
      </c>
      <c r="F446" s="9" t="str">
        <f ca="1">+WORLDCUP!BD60</f>
        <v>Escocia</v>
      </c>
      <c r="G446" s="9" t="str">
        <f ca="1">+WORLDCUP!BD58</f>
        <v>República Checa</v>
      </c>
      <c r="H446" s="9" t="str">
        <f ca="1">+WORLDCUP!BD61</f>
        <v>Paraguay</v>
      </c>
      <c r="I446" s="9" t="str">
        <f ca="1">+WORLDCUP!BD69</f>
        <v>Croacia</v>
      </c>
      <c r="J446" s="9" t="str">
        <f ca="1">+WORLDCUP!BD68</f>
        <v>Uzbekistán</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Catar</v>
      </c>
      <c r="F447" s="9" t="str">
        <f ca="1">+WORLDCUP!BD61</f>
        <v>Paraguay</v>
      </c>
      <c r="G447" s="9" t="str">
        <f ca="1">+WORLDCUP!BD58</f>
        <v>República Checa</v>
      </c>
      <c r="H447" s="9" t="str">
        <f ca="1">+WORLDCUP!BD63</f>
        <v>Suecia</v>
      </c>
      <c r="I447" s="9" t="str">
        <f ca="1">+WORLDCUP!BD69</f>
        <v>Croacia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Argelia</v>
      </c>
      <c r="E448" s="9" t="str">
        <f ca="1">+WORLDCUP!BD59</f>
        <v>Catar</v>
      </c>
      <c r="F448" s="9" t="str">
        <f ca="1">+WORLDCUP!BD60</f>
        <v>Escocia</v>
      </c>
      <c r="G448" s="9" t="str">
        <f ca="1">+WORLDCUP!BD58</f>
        <v>República Checa</v>
      </c>
      <c r="H448" s="9" t="str">
        <f ca="1">+WORLDCUP!BD63</f>
        <v>Suecia</v>
      </c>
      <c r="I448" s="9" t="str">
        <f ca="1">+WORLDCUP!BD61</f>
        <v>Paraguay</v>
      </c>
      <c r="J448" s="9" t="str">
        <f ca="1">+WORLDCUP!BD68</f>
        <v>Uzbekistán</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Suecia</v>
      </c>
      <c r="E449" s="9" t="str">
        <f ca="1">+WORLDCUP!BD59</f>
        <v>Catar</v>
      </c>
      <c r="F449" s="9" t="str">
        <f ca="1">+WORLDCUP!BD60</f>
        <v>Escocia</v>
      </c>
      <c r="G449" s="9" t="str">
        <f ca="1">+WORLDCUP!BD58</f>
        <v>República Checa</v>
      </c>
      <c r="H449" s="9" t="str">
        <f ca="1">+WORLDCUP!BD61</f>
        <v>Paraguay</v>
      </c>
      <c r="I449" s="9" t="str">
        <f ca="1">+WORLDCUP!BD69</f>
        <v>Croacia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Suecia</v>
      </c>
      <c r="E450" s="9" t="str">
        <f ca="1">+WORLDCUP!BD59</f>
        <v>Catar</v>
      </c>
      <c r="F450" s="9" t="str">
        <f ca="1">+WORLDCUP!BD60</f>
        <v>Escocia</v>
      </c>
      <c r="G450" s="9" t="str">
        <f ca="1">+WORLDCUP!BD58</f>
        <v>República Checa</v>
      </c>
      <c r="H450" s="9" t="str">
        <f ca="1">+WORLDCUP!BD61</f>
        <v>Paraguay</v>
      </c>
      <c r="I450" s="9" t="str">
        <f ca="1">+WORLDCUP!BD66</f>
        <v>Senegal</v>
      </c>
      <c r="J450" s="9" t="str">
        <f ca="1">+WORLDCUP!BD68</f>
        <v>Uzbekistán</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Argelia</v>
      </c>
      <c r="E451" s="9" t="str">
        <f ca="1">+WORLDCUP!BD59</f>
        <v>Catar</v>
      </c>
      <c r="F451" s="9" t="str">
        <f ca="1">+WORLDCUP!BD60</f>
        <v>Escocia</v>
      </c>
      <c r="G451" s="9" t="str">
        <f ca="1">+WORLDCUP!BD58</f>
        <v>República Checa</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Nueva Zelanda</v>
      </c>
      <c r="E452" s="9" t="str">
        <f ca="1">+WORLDCUP!BD59</f>
        <v>Catar</v>
      </c>
      <c r="F452" s="9" t="str">
        <f ca="1">+WORLDCUP!BD61</f>
        <v>Paraguay</v>
      </c>
      <c r="G452" s="9" t="str">
        <f ca="1">+WORLDCUP!BD58</f>
        <v>República Checa</v>
      </c>
      <c r="H452" s="9" t="str">
        <f ca="1">+WORLDCUP!BD63</f>
        <v>Suecia</v>
      </c>
      <c r="I452" s="9" t="str">
        <f ca="1">+WORLDCUP!BD69</f>
        <v>Croacia</v>
      </c>
      <c r="J452" s="9" t="str">
        <f ca="1">+WORLDCUP!BD68</f>
        <v>Uzbekistán</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Nueva Zelanda</v>
      </c>
      <c r="E453" s="9" t="str">
        <f ca="1">+WORLDCUP!BD59</f>
        <v>Catar</v>
      </c>
      <c r="F453" s="9" t="str">
        <f ca="1">+WORLDCUP!BD61</f>
        <v>Paraguay</v>
      </c>
      <c r="G453" s="9" t="str">
        <f ca="1">+WORLDCUP!BD58</f>
        <v>República Checa</v>
      </c>
      <c r="H453" s="9" t="str">
        <f ca="1">+WORLDCUP!BD63</f>
        <v>Suecia</v>
      </c>
      <c r="I453" s="9" t="str">
        <f ca="1">+WORLDCUP!BD69</f>
        <v>Croacia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Nueva Zelanda</v>
      </c>
      <c r="E454" s="9" t="str">
        <f ca="1">+WORLDCUP!BD59</f>
        <v>Catar</v>
      </c>
      <c r="F454" s="9" t="str">
        <f ca="1">+WORLDCUP!BD61</f>
        <v>Paraguay</v>
      </c>
      <c r="G454" s="9" t="str">
        <f ca="1">+WORLDCUP!BD58</f>
        <v>República Checa</v>
      </c>
      <c r="H454" s="9" t="str">
        <f ca="1">+WORLDCUP!BD63</f>
        <v>Suecia</v>
      </c>
      <c r="I454" s="9" t="str">
        <f ca="1">+WORLDCUP!BD67</f>
        <v>Argelia</v>
      </c>
      <c r="J454" s="9" t="str">
        <f ca="1">+WORLDCUP!BD68</f>
        <v>Uzbekistán</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Nueva Zelanda</v>
      </c>
      <c r="E455" s="9" t="str">
        <f ca="1">+WORLDCUP!BD59</f>
        <v>Catar</v>
      </c>
      <c r="F455" s="9" t="str">
        <f ca="1">+WORLDCUP!BD61</f>
        <v>Paraguay</v>
      </c>
      <c r="G455" s="9" t="str">
        <f ca="1">+WORLDCUP!BD58</f>
        <v>República Checa</v>
      </c>
      <c r="H455" s="9" t="str">
        <f ca="1">+WORLDCUP!BD63</f>
        <v>Suecia</v>
      </c>
      <c r="I455" s="9" t="str">
        <f ca="1">+WORLDCUP!BD69</f>
        <v>Croacia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Nueva Zelanda</v>
      </c>
      <c r="E456" s="9" t="str">
        <f ca="1">+WORLDCUP!BD59</f>
        <v>Catar</v>
      </c>
      <c r="F456" s="9" t="str">
        <f ca="1">+WORLDCUP!BD61</f>
        <v>Paraguay</v>
      </c>
      <c r="G456" s="9" t="str">
        <f ca="1">+WORLDCUP!BD58</f>
        <v>República Checa</v>
      </c>
      <c r="H456" s="9" t="str">
        <f ca="1">+WORLDCUP!BD63</f>
        <v>Suecia</v>
      </c>
      <c r="I456" s="9" t="str">
        <f ca="1">+WORLDCUP!BD66</f>
        <v>Senegal</v>
      </c>
      <c r="J456" s="9" t="str">
        <f ca="1">+WORLDCUP!BD68</f>
        <v>Uzbekistán</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Nueva Zelanda</v>
      </c>
      <c r="E457" s="9" t="str">
        <f ca="1">+WORLDCUP!BD59</f>
        <v>Catar</v>
      </c>
      <c r="F457" s="9" t="str">
        <f ca="1">+WORLDCUP!BD61</f>
        <v>Paraguay</v>
      </c>
      <c r="G457" s="9" t="str">
        <f ca="1">+WORLDCUP!BD58</f>
        <v>República Checa</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Nueva Zelanda</v>
      </c>
      <c r="E458" s="9" t="str">
        <f ca="1">+WORLDCUP!BD59</f>
        <v>Catar</v>
      </c>
      <c r="F458" s="9" t="str">
        <f ca="1">+WORLDCUP!BD61</f>
        <v>Paraguay</v>
      </c>
      <c r="G458" s="9" t="str">
        <f ca="1">+WORLDCUP!BD58</f>
        <v>República Checa</v>
      </c>
      <c r="H458" s="9" t="str">
        <f ca="1">+WORLDCUP!BD63</f>
        <v>Suecia</v>
      </c>
      <c r="I458" s="9" t="str">
        <f ca="1">+WORLDCUP!BD69</f>
        <v>Croacia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Nueva Zelanda</v>
      </c>
      <c r="E459" s="9" t="str">
        <f ca="1">+WORLDCUP!BD59</f>
        <v>Catar</v>
      </c>
      <c r="F459" s="9" t="str">
        <f ca="1">+WORLDCUP!BD60</f>
        <v>Escocia</v>
      </c>
      <c r="G459" s="9" t="str">
        <f ca="1">+WORLDCUP!BD58</f>
        <v>República Checa</v>
      </c>
      <c r="H459" s="9" t="str">
        <f ca="1">+WORLDCUP!BD63</f>
        <v>Suecia</v>
      </c>
      <c r="I459" s="9" t="str">
        <f ca="1">+WORLDCUP!BD61</f>
        <v>Paraguay</v>
      </c>
      <c r="J459" s="9" t="str">
        <f ca="1">+WORLDCUP!BD68</f>
        <v>Uzbekistán</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Nueva Zelanda</v>
      </c>
      <c r="E460" s="9" t="str">
        <f ca="1">+WORLDCUP!BD59</f>
        <v>Catar</v>
      </c>
      <c r="F460" s="9" t="str">
        <f ca="1">+WORLDCUP!BD60</f>
        <v>Escocia</v>
      </c>
      <c r="G460" s="9" t="str">
        <f ca="1">+WORLDCUP!BD58</f>
        <v>República Checa</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Nueva Zelanda</v>
      </c>
      <c r="E461" s="9" t="str">
        <f ca="1">+WORLDCUP!BD59</f>
        <v>Catar</v>
      </c>
      <c r="F461" s="9" t="str">
        <f ca="1">+WORLDCUP!BD60</f>
        <v>Escocia</v>
      </c>
      <c r="G461" s="9" t="str">
        <f ca="1">+WORLDCUP!BD58</f>
        <v>República Checa</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Argelia</v>
      </c>
      <c r="E462" s="9" t="str">
        <f ca="1">+WORLDCUP!BD59</f>
        <v>Catar</v>
      </c>
      <c r="F462" s="9" t="str">
        <f ca="1">+WORLDCUP!BD60</f>
        <v>Escocia</v>
      </c>
      <c r="G462" s="9" t="str">
        <f ca="1">+WORLDCUP!BD58</f>
        <v>República Checa</v>
      </c>
      <c r="H462" s="9" t="str">
        <f ca="1">+WORLDCUP!BD61</f>
        <v>Paraguay</v>
      </c>
      <c r="I462" s="9" t="str">
        <f ca="1">+WORLDCUP!BD69</f>
        <v>Croacia</v>
      </c>
      <c r="J462" s="9" t="str">
        <f ca="1">+WORLDCUP!BD68</f>
        <v>Uzbekistán</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Senegal</v>
      </c>
      <c r="E463" s="9" t="str">
        <f ca="1">+WORLDCUP!BD59</f>
        <v>Catar</v>
      </c>
      <c r="F463" s="9" t="str">
        <f ca="1">+WORLDCUP!BD60</f>
        <v>Escocia</v>
      </c>
      <c r="G463" s="9" t="str">
        <f ca="1">+WORLDCUP!BD58</f>
        <v>República Checa</v>
      </c>
      <c r="H463" s="9" t="str">
        <f ca="1">+WORLDCUP!BD61</f>
        <v>Paraguay</v>
      </c>
      <c r="I463" s="9" t="str">
        <f ca="1">+WORLDCUP!BD69</f>
        <v>Croacia</v>
      </c>
      <c r="J463" s="9" t="str">
        <f ca="1">+WORLDCUP!BD68</f>
        <v>Uzbekistán</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Costa de Marfil</v>
      </c>
      <c r="D464" s="9" t="str">
        <f ca="1">+WORLDCUP!BD67</f>
        <v>Argelia</v>
      </c>
      <c r="E464" s="9" t="str">
        <f ca="1">+WORLDCUP!BD59</f>
        <v>Catar</v>
      </c>
      <c r="F464" s="9" t="str">
        <f ca="1">+WORLDCUP!BD60</f>
        <v>Escocia</v>
      </c>
      <c r="G464" s="9" t="str">
        <f ca="1">+WORLDCUP!BD58</f>
        <v>República Checa</v>
      </c>
      <c r="H464" s="9" t="str">
        <f ca="1">+WORLDCUP!BD61</f>
        <v>Paraguay</v>
      </c>
      <c r="I464" s="9" t="str">
        <f ca="1">+WORLDCUP!BD69</f>
        <v>Croacia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Argelia</v>
      </c>
      <c r="E465" s="9" t="str">
        <f ca="1">+WORLDCUP!BD59</f>
        <v>Catar</v>
      </c>
      <c r="F465" s="9" t="str">
        <f ca="1">+WORLDCUP!BD60</f>
        <v>Escocia</v>
      </c>
      <c r="G465" s="9" t="str">
        <f ca="1">+WORLDCUP!BD58</f>
        <v>República Checa</v>
      </c>
      <c r="H465" s="9" t="str">
        <f ca="1">+WORLDCUP!BD61</f>
        <v>Paraguay</v>
      </c>
      <c r="I465" s="9" t="str">
        <f ca="1">+WORLDCUP!BD66</f>
        <v>Senegal</v>
      </c>
      <c r="J465" s="9" t="str">
        <f ca="1">+WORLDCUP!BD68</f>
        <v>Uzbekistán</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Costa de Marfil</v>
      </c>
      <c r="E466" s="9" t="str">
        <f ca="1">+WORLDCUP!BD59</f>
        <v>Catar</v>
      </c>
      <c r="F466" s="9" t="str">
        <f ca="1">+WORLDCUP!BD60</f>
        <v>Escocia</v>
      </c>
      <c r="G466" s="9" t="str">
        <f ca="1">+WORLDCUP!BD58</f>
        <v>República Checa</v>
      </c>
      <c r="H466" s="9" t="str">
        <f ca="1">+WORLDCUP!BD61</f>
        <v>Paraguay</v>
      </c>
      <c r="I466" s="9" t="str">
        <f ca="1">+WORLDCUP!BD69</f>
        <v>Croacia</v>
      </c>
      <c r="J466" s="9" t="str">
        <f ca="1">+WORLDCUP!BD68</f>
        <v>Uzbekistán</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Argelia</v>
      </c>
      <c r="E467" s="9" t="str">
        <f ca="1">+WORLDCUP!BD59</f>
        <v>Catar</v>
      </c>
      <c r="F467" s="9" t="str">
        <f ca="1">+WORLDCUP!BD60</f>
        <v>Escocia</v>
      </c>
      <c r="G467" s="9" t="str">
        <f ca="1">+WORLDCUP!BD58</f>
        <v>República Checa</v>
      </c>
      <c r="H467" s="9" t="str">
        <f ca="1">+WORLDCUP!BD61</f>
        <v>Paraguay</v>
      </c>
      <c r="I467" s="9" t="str">
        <f ca="1">+WORLDCUP!BD69</f>
        <v>Croacia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Argelia</v>
      </c>
      <c r="E468" s="9" t="str">
        <f ca="1">+WORLDCUP!BD59</f>
        <v>Catar</v>
      </c>
      <c r="F468" s="9" t="str">
        <f ca="1">+WORLDCUP!BD60</f>
        <v>Escocia</v>
      </c>
      <c r="G468" s="9" t="str">
        <f ca="1">+WORLDCUP!BD58</f>
        <v>República Checa</v>
      </c>
      <c r="H468" s="9" t="str">
        <f ca="1">+WORLDCUP!BD61</f>
        <v>Paraguay</v>
      </c>
      <c r="I468" s="9" t="str">
        <f ca="1">+WORLDCUP!BD62</f>
        <v>Costa de Marfil</v>
      </c>
      <c r="J468" s="9" t="str">
        <f ca="1">+WORLDCUP!BD68</f>
        <v>Uzbekistán</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Costa de Marfil</v>
      </c>
      <c r="E469" s="9" t="str">
        <f ca="1">+WORLDCUP!BD59</f>
        <v>Catar</v>
      </c>
      <c r="F469" s="9" t="str">
        <f ca="1">+WORLDCUP!BD60</f>
        <v>Escocia</v>
      </c>
      <c r="G469" s="9" t="str">
        <f ca="1">+WORLDCUP!BD58</f>
        <v>República Checa</v>
      </c>
      <c r="H469" s="9" t="str">
        <f ca="1">+WORLDCUP!BD61</f>
        <v>Paraguay</v>
      </c>
      <c r="I469" s="9" t="str">
        <f ca="1">+WORLDCUP!BD69</f>
        <v>Croacia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Costa de Marfil</v>
      </c>
      <c r="E470" s="9" t="str">
        <f ca="1">+WORLDCUP!BD59</f>
        <v>Catar</v>
      </c>
      <c r="F470" s="9" t="str">
        <f ca="1">+WORLDCUP!BD60</f>
        <v>Escocia</v>
      </c>
      <c r="G470" s="9" t="str">
        <f ca="1">+WORLDCUP!BD58</f>
        <v>República Checa</v>
      </c>
      <c r="H470" s="9" t="str">
        <f ca="1">+WORLDCUP!BD61</f>
        <v>Paraguay</v>
      </c>
      <c r="I470" s="9" t="str">
        <f ca="1">+WORLDCUP!BD66</f>
        <v>Senegal</v>
      </c>
      <c r="J470" s="9" t="str">
        <f ca="1">+WORLDCUP!BD68</f>
        <v>Uzbekistán</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Argelia</v>
      </c>
      <c r="E471" s="9" t="str">
        <f ca="1">+WORLDCUP!BD59</f>
        <v>Catar</v>
      </c>
      <c r="F471" s="9" t="str">
        <f ca="1">+WORLDCUP!BD60</f>
        <v>Escocia</v>
      </c>
      <c r="G471" s="9" t="str">
        <f ca="1">+WORLDCUP!BD58</f>
        <v>República Checa</v>
      </c>
      <c r="H471" s="9" t="str">
        <f ca="1">+WORLDCUP!BD61</f>
        <v>Paraguay</v>
      </c>
      <c r="I471" s="9" t="str">
        <f ca="1">+WORLDCUP!BD62</f>
        <v>Costa de Marfil</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Nueva Zelanda</v>
      </c>
      <c r="E472" s="9" t="str">
        <f ca="1">+WORLDCUP!BD59</f>
        <v>Catar</v>
      </c>
      <c r="F472" s="9" t="str">
        <f ca="1">+WORLDCUP!BD60</f>
        <v>Escocia</v>
      </c>
      <c r="G472" s="9" t="str">
        <f ca="1">+WORLDCUP!BD58</f>
        <v>República Checa</v>
      </c>
      <c r="H472" s="9" t="str">
        <f ca="1">+WORLDCUP!BD61</f>
        <v>Paraguay</v>
      </c>
      <c r="I472" s="9" t="str">
        <f ca="1">+WORLDCUP!BD69</f>
        <v>Croacia</v>
      </c>
      <c r="J472" s="9" t="str">
        <f ca="1">+WORLDCUP!BD68</f>
        <v>Uzbekistán</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Costa de Marfil</v>
      </c>
      <c r="D473" s="9" t="str">
        <f ca="1">+WORLDCUP!BD64</f>
        <v>Nueva Zelanda</v>
      </c>
      <c r="E473" s="9" t="str">
        <f ca="1">+WORLDCUP!BD59</f>
        <v>Catar</v>
      </c>
      <c r="F473" s="9" t="str">
        <f ca="1">+WORLDCUP!BD60</f>
        <v>Escocia</v>
      </c>
      <c r="G473" s="9" t="str">
        <f ca="1">+WORLDCUP!BD58</f>
        <v>República Checa</v>
      </c>
      <c r="H473" s="9" t="str">
        <f ca="1">+WORLDCUP!BD61</f>
        <v>Paraguay</v>
      </c>
      <c r="I473" s="9" t="str">
        <f ca="1">+WORLDCUP!BD69</f>
        <v>Croacia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Nueva Zelanda</v>
      </c>
      <c r="E474" s="9" t="str">
        <f ca="1">+WORLDCUP!BD59</f>
        <v>Catar</v>
      </c>
      <c r="F474" s="9" t="str">
        <f ca="1">+WORLDCUP!BD60</f>
        <v>Escocia</v>
      </c>
      <c r="G474" s="9" t="str">
        <f ca="1">+WORLDCUP!BD58</f>
        <v>República Checa</v>
      </c>
      <c r="H474" s="9" t="str">
        <f ca="1">+WORLDCUP!BD61</f>
        <v>Paraguay</v>
      </c>
      <c r="I474" s="9" t="str">
        <f ca="1">+WORLDCUP!BD67</f>
        <v>Argelia</v>
      </c>
      <c r="J474" s="9" t="str">
        <f ca="1">+WORLDCUP!BD68</f>
        <v>Uzbekistán</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Nueva Zelanda</v>
      </c>
      <c r="E475" s="9" t="str">
        <f ca="1">+WORLDCUP!BD59</f>
        <v>Catar</v>
      </c>
      <c r="F475" s="9" t="str">
        <f ca="1">+WORLDCUP!BD60</f>
        <v>Escocia</v>
      </c>
      <c r="G475" s="9" t="str">
        <f ca="1">+WORLDCUP!BD58</f>
        <v>República Checa</v>
      </c>
      <c r="H475" s="9" t="str">
        <f ca="1">+WORLDCUP!BD61</f>
        <v>Paraguay</v>
      </c>
      <c r="I475" s="9" t="str">
        <f ca="1">+WORLDCUP!BD69</f>
        <v>Croacia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Nueva Zelanda</v>
      </c>
      <c r="E476" s="9" t="str">
        <f ca="1">+WORLDCUP!BD59</f>
        <v>Catar</v>
      </c>
      <c r="F476" s="9" t="str">
        <f ca="1">+WORLDCUP!BD60</f>
        <v>Escocia</v>
      </c>
      <c r="G476" s="9" t="str">
        <f ca="1">+WORLDCUP!BD58</f>
        <v>República Checa</v>
      </c>
      <c r="H476" s="9" t="str">
        <f ca="1">+WORLDCUP!BD61</f>
        <v>Paraguay</v>
      </c>
      <c r="I476" s="9" t="str">
        <f ca="1">+WORLDCUP!BD66</f>
        <v>Senegal</v>
      </c>
      <c r="J476" s="9" t="str">
        <f ca="1">+WORLDCUP!BD68</f>
        <v>Uzbekistán</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Nueva Zelanda</v>
      </c>
      <c r="E477" s="9" t="str">
        <f ca="1">+WORLDCUP!BD59</f>
        <v>Catar</v>
      </c>
      <c r="F477" s="9" t="str">
        <f ca="1">+WORLDCUP!BD60</f>
        <v>Escocia</v>
      </c>
      <c r="G477" s="9" t="str">
        <f ca="1">+WORLDCUP!BD58</f>
        <v>República Checa</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Nueva Zelanda</v>
      </c>
      <c r="E478" s="9" t="str">
        <f ca="1">+WORLDCUP!BD59</f>
        <v>Catar</v>
      </c>
      <c r="F478" s="9" t="str">
        <f ca="1">+WORLDCUP!BD60</f>
        <v>Escocia</v>
      </c>
      <c r="G478" s="9" t="str">
        <f ca="1">+WORLDCUP!BD58</f>
        <v>República Checa</v>
      </c>
      <c r="H478" s="9" t="str">
        <f ca="1">+WORLDCUP!BD61</f>
        <v>Paraguay</v>
      </c>
      <c r="I478" s="9" t="str">
        <f ca="1">+WORLDCUP!BD69</f>
        <v>Croacia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Nueva Zelanda</v>
      </c>
      <c r="E479" s="9" t="str">
        <f ca="1">+WORLDCUP!BD59</f>
        <v>Catar</v>
      </c>
      <c r="F479" s="9" t="str">
        <f ca="1">+WORLDCUP!BD60</f>
        <v>Escocia</v>
      </c>
      <c r="G479" s="9" t="str">
        <f ca="1">+WORLDCUP!BD58</f>
        <v>República Checa</v>
      </c>
      <c r="H479" s="9" t="str">
        <f ca="1">+WORLDCUP!BD61</f>
        <v>Paraguay</v>
      </c>
      <c r="I479" s="9" t="str">
        <f ca="1">+WORLDCUP!BD62</f>
        <v>Costa de Marfil</v>
      </c>
      <c r="J479" s="9" t="str">
        <f ca="1">+WORLDCUP!BD68</f>
        <v>Uzbekistán</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Nueva Zelanda</v>
      </c>
      <c r="E480" s="9" t="str">
        <f ca="1">+WORLDCUP!BD59</f>
        <v>Catar</v>
      </c>
      <c r="F480" s="9" t="str">
        <f ca="1">+WORLDCUP!BD60</f>
        <v>Escocia</v>
      </c>
      <c r="G480" s="9" t="str">
        <f ca="1">+WORLDCUP!BD58</f>
        <v>República Checa</v>
      </c>
      <c r="H480" s="9" t="str">
        <f ca="1">+WORLDCUP!BD61</f>
        <v>Paraguay</v>
      </c>
      <c r="I480" s="9" t="str">
        <f ca="1">+WORLDCUP!BD62</f>
        <v>Costa de Marfil</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Nueva Zelanda</v>
      </c>
      <c r="E481" s="9" t="str">
        <f ca="1">+WORLDCUP!BD59</f>
        <v>Catar</v>
      </c>
      <c r="F481" s="9" t="str">
        <f ca="1">+WORLDCUP!BD60</f>
        <v>Escocia</v>
      </c>
      <c r="G481" s="9" t="str">
        <f ca="1">+WORLDCUP!BD58</f>
        <v>República Checa</v>
      </c>
      <c r="H481" s="9" t="str">
        <f ca="1">+WORLDCUP!BD61</f>
        <v>Paraguay</v>
      </c>
      <c r="I481" s="9" t="str">
        <f ca="1">+WORLDCUP!BD62</f>
        <v>Costa de Marfil</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Catar</v>
      </c>
      <c r="F482" s="9" t="str">
        <f ca="1">+WORLDCUP!BD61</f>
        <v>Paraguay</v>
      </c>
      <c r="G482" s="9" t="str">
        <f ca="1">+WORLDCUP!BD58</f>
        <v>República Checa</v>
      </c>
      <c r="H482" s="9" t="str">
        <f ca="1">+WORLDCUP!BD63</f>
        <v>Suecia</v>
      </c>
      <c r="I482" s="9" t="str">
        <f ca="1">+WORLDCUP!BD69</f>
        <v>Croacia</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Catar</v>
      </c>
      <c r="F483" s="9" t="str">
        <f ca="1">+WORLDCUP!BD61</f>
        <v>Paraguay</v>
      </c>
      <c r="G483" s="9" t="str">
        <f ca="1">+WORLDCUP!BD58</f>
        <v>República Checa</v>
      </c>
      <c r="H483" s="9" t="str">
        <f ca="1">+WORLDCUP!BD63</f>
        <v>Suecia</v>
      </c>
      <c r="I483" s="9" t="str">
        <f ca="1">+WORLDCUP!BD69</f>
        <v>Croacia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Catar</v>
      </c>
      <c r="F484" s="9" t="str">
        <f ca="1">+WORLDCUP!BD61</f>
        <v>Paraguay</v>
      </c>
      <c r="G484" s="9" t="str">
        <f ca="1">+WORLDCUP!BD58</f>
        <v>República Checa</v>
      </c>
      <c r="H484" s="9" t="str">
        <f ca="1">+WORLDCUP!BD63</f>
        <v>Suecia</v>
      </c>
      <c r="I484" s="9" t="str">
        <f ca="1">+WORLDCUP!BD62</f>
        <v>Costa de Marfil</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Catar</v>
      </c>
      <c r="F485" s="9" t="str">
        <f ca="1">+WORLDCUP!BD61</f>
        <v>Paraguay</v>
      </c>
      <c r="G485" s="9" t="str">
        <f ca="1">+WORLDCUP!BD58</f>
        <v>República Checa</v>
      </c>
      <c r="H485" s="9" t="str">
        <f ca="1">+WORLDCUP!BD63</f>
        <v>Suecia</v>
      </c>
      <c r="I485" s="9" t="str">
        <f ca="1">+WORLDCUP!BD69</f>
        <v>Croacia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Catar</v>
      </c>
      <c r="F486" s="9" t="str">
        <f ca="1">+WORLDCUP!BD61</f>
        <v>Paraguay</v>
      </c>
      <c r="G486" s="9" t="str">
        <f ca="1">+WORLDCUP!BD58</f>
        <v>República Checa</v>
      </c>
      <c r="H486" s="9" t="str">
        <f ca="1">+WORLDCUP!BD63</f>
        <v>Suecia</v>
      </c>
      <c r="I486" s="9" t="str">
        <f ca="1">+WORLDCUP!BD66</f>
        <v>Senegal</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Catar</v>
      </c>
      <c r="F487" s="9" t="str">
        <f ca="1">+WORLDCUP!BD61</f>
        <v>Paraguay</v>
      </c>
      <c r="G487" s="9" t="str">
        <f ca="1">+WORLDCUP!BD58</f>
        <v>República Checa</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Catar</v>
      </c>
      <c r="F488" s="9" t="str">
        <f ca="1">+WORLDCUP!BD60</f>
        <v>Escocia</v>
      </c>
      <c r="G488" s="9" t="str">
        <f ca="1">+WORLDCUP!BD58</f>
        <v>República Checa</v>
      </c>
      <c r="H488" s="9" t="str">
        <f ca="1">+WORLDCUP!BD61</f>
        <v>Paraguay</v>
      </c>
      <c r="I488" s="9" t="str">
        <f ca="1">+WORLDCUP!BD69</f>
        <v>Croacia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Catar</v>
      </c>
      <c r="F489" s="9" t="str">
        <f ca="1">+WORLDCUP!BD60</f>
        <v>Escocia</v>
      </c>
      <c r="G489" s="9" t="str">
        <f ca="1">+WORLDCUP!BD58</f>
        <v>República Checa</v>
      </c>
      <c r="H489" s="9" t="str">
        <f ca="1">+WORLDCUP!BD63</f>
        <v>Suecia</v>
      </c>
      <c r="I489" s="9" t="str">
        <f ca="1">+WORLDCUP!BD61</f>
        <v>Paraguay</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Catar</v>
      </c>
      <c r="F490" s="9" t="str">
        <f ca="1">+WORLDCUP!BD60</f>
        <v>Escocia</v>
      </c>
      <c r="G490" s="9" t="str">
        <f ca="1">+WORLDCUP!BD58</f>
        <v>República Checa</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Catar</v>
      </c>
      <c r="F491" s="9" t="str">
        <f ca="1">+WORLDCUP!BD60</f>
        <v>Escocia</v>
      </c>
      <c r="G491" s="9" t="str">
        <f ca="1">+WORLDCUP!BD58</f>
        <v>República Checa</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Nueva Zelanda</v>
      </c>
      <c r="E492" s="9" t="str">
        <f ca="1">+WORLDCUP!BD59</f>
        <v>Catar</v>
      </c>
      <c r="F492" s="9" t="str">
        <f ca="1">+WORLDCUP!BD61</f>
        <v>Paraguay</v>
      </c>
      <c r="G492" s="9" t="str">
        <f ca="1">+WORLDCUP!BD58</f>
        <v>República Checa</v>
      </c>
      <c r="H492" s="9" t="str">
        <f ca="1">+WORLDCUP!BD63</f>
        <v>Suecia</v>
      </c>
      <c r="I492" s="9" t="str">
        <f ca="1">+WORLDCUP!BD69</f>
        <v>Croacia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Nueva Zelanda</v>
      </c>
      <c r="E493" s="9" t="str">
        <f ca="1">+WORLDCUP!BD59</f>
        <v>Catar</v>
      </c>
      <c r="F493" s="9" t="str">
        <f ca="1">+WORLDCUP!BD61</f>
        <v>Paraguay</v>
      </c>
      <c r="G493" s="9" t="str">
        <f ca="1">+WORLDCUP!BD58</f>
        <v>República Checa</v>
      </c>
      <c r="H493" s="9" t="str">
        <f ca="1">+WORLDCUP!BD63</f>
        <v>Suecia</v>
      </c>
      <c r="I493" s="9" t="str">
        <f ca="1">+WORLDCUP!BD62</f>
        <v>Costa de Marfil</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Nueva Zelanda</v>
      </c>
      <c r="E494" s="9" t="str">
        <f ca="1">+WORLDCUP!BD59</f>
        <v>Catar</v>
      </c>
      <c r="F494" s="9" t="str">
        <f ca="1">+WORLDCUP!BD61</f>
        <v>Paraguay</v>
      </c>
      <c r="G494" s="9" t="str">
        <f ca="1">+WORLDCUP!BD58</f>
        <v>República Checa</v>
      </c>
      <c r="H494" s="9" t="str">
        <f ca="1">+WORLDCUP!BD63</f>
        <v>Suecia</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Nueva Zelanda</v>
      </c>
      <c r="E495" s="9" t="str">
        <f ca="1">+WORLDCUP!BD59</f>
        <v>Catar</v>
      </c>
      <c r="F495" s="9" t="str">
        <f ca="1">+WORLDCUP!BD61</f>
        <v>Paraguay</v>
      </c>
      <c r="G495" s="9" t="str">
        <f ca="1">+WORLDCUP!BD58</f>
        <v>República Checa</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Nueva Zelanda</v>
      </c>
      <c r="E496" s="9" t="str">
        <f ca="1">+WORLDCUP!BD59</f>
        <v>Catar</v>
      </c>
      <c r="F496" s="9" t="str">
        <f ca="1">+WORLDCUP!BD60</f>
        <v>Escocia</v>
      </c>
      <c r="G496" s="9" t="str">
        <f ca="1">+WORLDCUP!BD58</f>
        <v>República Checa</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c r="L88" s="3"/>
      <c r="M88" s="3"/>
      <c r="N88" s="3"/>
      <c r="O88" s="6"/>
      <c r="P88" s="6"/>
      <c r="Q88" s="6"/>
      <c r="R88" s="6"/>
      <c r="T88" s="16" t="s">
        <v>1478</v>
      </c>
      <c r="U88" s="9" t="s">
        <v>1463</v>
      </c>
      <c r="V88" s="9" t="s">
        <v>1464</v>
      </c>
      <c r="W88" s="9" t="s">
        <v>1465</v>
      </c>
      <c r="X88" s="584" t="e" vm="51">
        <v>#VALUE!</v>
      </c>
      <c r="Y88" s="9">
        <v>4</v>
      </c>
      <c r="Z88" s="6"/>
      <c r="AA88" s="6"/>
      <c r="AB88" s="6"/>
    </row>
    <row r="89" spans="12:28" ht="15.75">
      <c r="L89" s="3"/>
      <c r="M89" s="3"/>
      <c r="N89" s="3"/>
      <c r="O89" s="6"/>
      <c r="P89" s="6"/>
      <c r="Q89" s="6"/>
      <c r="R89" s="6"/>
      <c r="T89" s="16" t="s">
        <v>1479</v>
      </c>
      <c r="U89" s="9" t="s">
        <v>1466</v>
      </c>
      <c r="V89" s="9" t="s">
        <v>1466</v>
      </c>
      <c r="W89" s="585" t="s">
        <v>1468</v>
      </c>
      <c r="X89" s="584" t="e" vm="52">
        <v>#VALUE!</v>
      </c>
      <c r="Y89" s="9">
        <v>-4</v>
      </c>
      <c r="Z89" s="6"/>
      <c r="AA89" s="6"/>
      <c r="AB89" s="6"/>
    </row>
    <row r="90" spans="12:28" ht="15.75">
      <c r="L90" s="3"/>
      <c r="M90" s="3"/>
      <c r="N90" s="3"/>
      <c r="O90" s="6"/>
      <c r="P90" s="6"/>
      <c r="Q90" s="6"/>
      <c r="R90" s="6"/>
      <c r="T90" s="16" t="s">
        <v>1480</v>
      </c>
      <c r="U90" s="9" t="s">
        <v>1467</v>
      </c>
      <c r="V90" s="9" t="s">
        <v>1470</v>
      </c>
      <c r="W90" s="586" t="s">
        <v>1469</v>
      </c>
      <c r="X90" s="584" t="e" vm="53">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1458</v>
      </c>
      <c r="O92" s="409" t="s">
        <v>1459</v>
      </c>
      <c r="P92" s="409" t="s">
        <v>1493</v>
      </c>
      <c r="Q92" s="409" t="s">
        <v>1481</v>
      </c>
      <c r="R92" s="409" t="s">
        <v>1473</v>
      </c>
      <c r="Z92" s="6"/>
      <c r="AA92" s="6"/>
      <c r="AB92" s="6"/>
    </row>
    <row r="93" spans="12:28" ht="24.9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EVC i</cp:lastModifiedBy>
  <cp:lastPrinted>2018-12-06T18:06:35Z</cp:lastPrinted>
  <dcterms:created xsi:type="dcterms:W3CDTF">2015-10-31T09:41:54Z</dcterms:created>
  <dcterms:modified xsi:type="dcterms:W3CDTF">2026-06-11T17:10:35Z</dcterms:modified>
</cp:coreProperties>
</file>